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dpc\Desktop\Nxp\OTP-Sheet-V2\"/>
    </mc:Choice>
  </mc:AlternateContent>
  <xr:revisionPtr revIDLastSave="0" documentId="13_ncr:1_{34B5B347-5FE4-4494-A137-5E3E55D0B370}" xr6:coauthVersionLast="47" xr6:coauthVersionMax="47" xr10:uidLastSave="{00000000-0000-0000-0000-000000000000}"/>
  <bookViews>
    <workbookView xWindow="810" yWindow="-120" windowWidth="37710" windowHeight="21060" tabRatio="836" activeTab="4" xr2:uid="{00000000-000D-0000-FFFF-FFFF00000000}"/>
  </bookViews>
  <sheets>
    <sheet name="Cover_sheet" sheetId="13" r:id="rId1"/>
    <sheet name="OTP_Config_Report" sheetId="18" state="hidden" r:id="rId2"/>
    <sheet name="Load_OTP_&amp;_Apply" sheetId="20" state="hidden" r:id="rId3"/>
    <sheet name="OTP_conf_file_generation" sheetId="15" r:id="rId4"/>
    <sheet name="OTP_conf_summary" sheetId="16" r:id="rId5"/>
    <sheet name="OTP_conf_main_reg" sheetId="2" r:id="rId6"/>
    <sheet name="OTP_conf_main_bits" sheetId="9" r:id="rId7"/>
    <sheet name="OTP_conf_failsafe_reg" sheetId="8" r:id="rId8"/>
    <sheet name="OTP_conf_failsafe_bits" sheetId="11" r:id="rId9"/>
    <sheet name="FS85_VPRE_VBOOST_Components" sheetId="19" r:id="rId10"/>
    <sheet name="Normalized_R_C_Values" sheetId="21" r:id="rId11"/>
  </sheets>
  <externalReferences>
    <externalReference r:id="rId12"/>
    <externalReference r:id="rId13"/>
  </externalReferences>
  <definedNames>
    <definedName name="_xlnm._FilterDatabase" localSheetId="0" hidden="1">Cover_sheet!$B$21:$D$31</definedName>
    <definedName name="_xlnm._FilterDatabase" localSheetId="8" hidden="1">OTP_conf_failsafe_bits!$A$1:$D$321</definedName>
    <definedName name="_xlnm._FilterDatabase" localSheetId="6" hidden="1">OTP_conf_main_bits!$A$1:$D$379</definedName>
    <definedName name="DCR_PI_filter">[1]System_PDTCALC!$C$10</definedName>
    <definedName name="EWARN_TIME">'[2]Register Reference'!$D$66:$D$70</definedName>
    <definedName name="FSS_EN">'[2]Register Reference'!$D$94:$D$96</definedName>
    <definedName name="FSS_RANGE">'[2]Register Reference'!$D$90:$D$92</definedName>
    <definedName name="HS_Igate_Vpre">[1]FS85_PDTCALC!$F$16</definedName>
    <definedName name="HS_QGD_Vpre">[1]FS85_PDTCALC!$F$14</definedName>
    <definedName name="HS_QGS_Vpre">[1]FS85_PDTCALC!$F$15</definedName>
    <definedName name="I_LDO3">[1]System_PDTCALC!$F$10</definedName>
    <definedName name="I_LDO4">[1]System_PDTCALC!$I$10</definedName>
    <definedName name="Iboost_add">[1]FS85_PDTCALC!$R$17</definedName>
    <definedName name="Iboost_tot">[1]FS85_PDTCALC!$R$18</definedName>
    <definedName name="ILIMBYPASS">'[2]Register Reference'!$D$1083:$D$1085</definedName>
    <definedName name="ISUP">[1]System_PDTCALC!$C$8</definedName>
    <definedName name="LDO1_ALT">OFFSET([2]SEQ!$G$47,9,1,1,[2]SEQ!$E$63/10+40)</definedName>
    <definedName name="LDO1_RANGE">OFFSET([2]SEQ!$D$2,9,1,1,[2]SEQ!$C$4+5)</definedName>
    <definedName name="LDO1_SD">OFFSET([2]SEQ!$G$5,9,1,1,[2]SEQ!$E$21/10+40)</definedName>
    <definedName name="LDO2_ALT">OFFSET([2]SEQ!$G$47,10,1,1,[2]SEQ!$E$63/10+40)</definedName>
    <definedName name="LDO2_RANGE">OFFSET([2]SEQ!$D$2,10,1,1,[2]SEQ!$C$4+5)</definedName>
    <definedName name="LDO2_SD">OFFSET([2]SEQ!$G$5,10,1,1,[2]SEQ!$E$21/10+40)</definedName>
    <definedName name="LDO3_ALT">OFFSET([2]SEQ!$G$47,11,1,1,[2]SEQ!$E$63/10+40)</definedName>
    <definedName name="LDO3_in">[1]System_PDTCALC!$F$8</definedName>
    <definedName name="LDO3_out">[1]System_PDTCALC!$F$9</definedName>
    <definedName name="LDO3_RANGE">OFFSET([2]SEQ!$D$2,11,1,1,[2]SEQ!$C$4+5)</definedName>
    <definedName name="LDO3_SD">OFFSET([2]SEQ!$G$5,11,1,1,[2]SEQ!$E$21/10+40)</definedName>
    <definedName name="LDO4_ALT">OFFSET([2]SEQ!$G$47,12,1,1,[2]SEQ!$E$63/10+40)</definedName>
    <definedName name="LDO4_in">[1]System_PDTCALC!$I$8</definedName>
    <definedName name="LDO4_out">[1]System_PDTCALC!$I$9</definedName>
    <definedName name="LDO4_RANGE">OFFSET([2]SEQ!$D$2,12,1,1,[2]SEQ!$C$4+5)</definedName>
    <definedName name="LDO4_SD">OFFSET([2]SEQ!$G$5,12,1,1,[2]SEQ!$E$21/10+40)</definedName>
    <definedName name="LS_Igate_Vpre">[1]FS85_PDTCALC!$F$23</definedName>
    <definedName name="LS_QGD_Vpre">[1]FS85_PDTCALC!$F$21</definedName>
    <definedName name="LS_QGS_Vpre">[1]FS85_PDTCALC!$F$22</definedName>
    <definedName name="LS_SlewRate">[1]FS85_PDTCALC!$O$14</definedName>
    <definedName name="OVBYPASS">'[2]Register Reference'!$D$1059:$D$1061</definedName>
    <definedName name="Package">INDIRECT(#REF!)</definedName>
    <definedName name="PD_SEQ_DLY">'[2]Register Reference'!$D$335:$D$339</definedName>
    <definedName name="Pdis_LDO3">[1]System_PDTCALC!$F$16</definedName>
    <definedName name="Pdis_LDO4">[1]System_PDTCALC!$I$16</definedName>
    <definedName name="Pdis_PI_filter">[1]System_PDTCALC!$C$16</definedName>
    <definedName name="Pdis_RB_diode">[1]System_PDTCALC!$C$15</definedName>
    <definedName name="PGOOD_ALT">OFFSET([2]SEQ!$G$47,14,1,1,[2]SEQ!$E$63/10+40)</definedName>
    <definedName name="PGOOD_RANGE">OFFSET([2]SEQ!$D$2,14,1,1,[2]SEQ!$C$4+5)</definedName>
    <definedName name="PGOOD_SD">OFFSET([2]SEQ!$G$5,14,1,1,[2]SEQ!$E$21/10+40)</definedName>
    <definedName name="Pout_LDO3">[1]System_PDTCALC!$F$15</definedName>
    <definedName name="Pout_LDO4">[1]System_PDTCALC!$I$15</definedName>
    <definedName name="PROG_ID">'[2]Register Reference'!$D$1113:$D$1147</definedName>
    <definedName name="PROG_IDH">'[2]Register Reference'!$D$1095:$D$1111</definedName>
    <definedName name="RB_diode">[1]System_PDTCALC!$C$9</definedName>
    <definedName name="REV_HISTORY">[2]Rev_History!$B$3:$E$40</definedName>
    <definedName name="Revision">Cover_sheet!$B$22:$B$31</definedName>
    <definedName name="RSTB_ALT">OFFSET([2]SEQ!$G$47,13,1,1,[2]SEQ!$E$63/10+40)</definedName>
    <definedName name="RSTB_RANGE">OFFSET([2]SEQ!$D$2,13,1,1,[2]SEQ!$C$4+5)</definedName>
    <definedName name="RSTB_SD">OFFSET([2]SEQ!$G$5,13,1,1,[2]SEQ!$E$21/10+40)</definedName>
    <definedName name="S_BGMON">'[2]Register Reference'!$D$1003:$D$1005</definedName>
    <definedName name="S_CLK_FREQ">'[2]Register Reference'!$D$124:$D$133</definedName>
    <definedName name="S_Device_Type">'[2]Register Reference'!$D$7:$D$9</definedName>
    <definedName name="S_DVS">'[2]Register Reference'!$D$941:$D$943</definedName>
    <definedName name="S_FAULT_MAX">'[2]Register Reference'!$D$259:$D$275</definedName>
    <definedName name="S_FS_BYPASS">'[2]Register Reference'!$D$62:$D$64</definedName>
    <definedName name="S_FS_MAX">'[2]Register Reference'!$D$277:$D$293</definedName>
    <definedName name="S_FS_OK">'[2]Register Reference'!$D$313:$D$321</definedName>
    <definedName name="S_FSOB_ASS_EN">'[2]Register Reference'!$D$29:$D$31</definedName>
    <definedName name="S_FSOB_Hardfault">'[2]Register Reference'!$D$13:$D$15</definedName>
    <definedName name="S_FSOB_Softfault">'[2]Register Reference'!$D$25:$D$27</definedName>
    <definedName name="S_FSOB_WDC">'[2]Register Reference'!$D$17:$D$19</definedName>
    <definedName name="S_FSOB_WDI">'[2]Register Reference'!$D$21:$D$23</definedName>
    <definedName name="S_FSYNC_RANGE">'[2]Register Reference'!$D$135:$D$137</definedName>
    <definedName name="S_GRP_DLY">'[2]Register Reference'!$D$323:$D$327</definedName>
    <definedName name="S_I2C_ADDR1">'[2]Register Reference'!$D$33:$D$40</definedName>
    <definedName name="S_I2C_SECURE">'[2]Register Reference'!$D$46:$D$48</definedName>
    <definedName name="S_LDO_LS">'[2]Register Reference'!$D$984:$D$986</definedName>
    <definedName name="S_LDO2HW_EN">'[2]Register Reference'!$D$989:$D$991</definedName>
    <definedName name="S_LSELECT">'[2]Register Reference'!$D$958:$D$962</definedName>
    <definedName name="S_OTP_CRC">'[2]Register Reference'!$D$42:$D$44</definedName>
    <definedName name="s_OTP_TBB">'[2]Register Reference'!$J$6:$J$9</definedName>
    <definedName name="S_OV_TH">'[2]Register Reference'!$D$893:$D$897</definedName>
    <definedName name="S_OVLO_DBNC">'[2]Register Reference'!$D$72:$D$76</definedName>
    <definedName name="S_OVLO_EN">'[2]Register Reference'!$D$78:$D$80</definedName>
    <definedName name="S_OVLO_SDWN">'[2]Register Reference'!$D$82:$D$84</definedName>
    <definedName name="S_PD_GROUP">'[2]Register Reference'!$D$347:$D$351</definedName>
    <definedName name="S_PG_ACTIVE">'[2]Register Reference'!$D$54:$D$56</definedName>
    <definedName name="S_PG_EN">'[2]Register Reference'!$D$929:$D$931</definedName>
    <definedName name="S_PGOOD_CHECK">'[2]Register Reference'!$D$50:$D$52</definedName>
    <definedName name="S_PWRDWN_MODE">'[2]Register Reference'!$D$365:$D$367</definedName>
    <definedName name="S_PWRON_DBNC">'[2]Register Reference'!$D$179:$D$183</definedName>
    <definedName name="S_PWRON_MODE">'[2]Register Reference'!$D$185:$D$187</definedName>
    <definedName name="S_PWRON_RST">'[2]Register Reference'!$D$175:$D$177</definedName>
    <definedName name="S_PWRUP_SEQ">'[2]Register Reference'!$D$369:$D$625</definedName>
    <definedName name="S_Request_Type">'[2]Register Reference'!$D$2:$D$5</definedName>
    <definedName name="S_RSTBMCU_DLY">'[2]Register Reference'!$D$329:$D$333</definedName>
    <definedName name="S_SEQ_TBASE">'[2]Register Reference'!$D$341:$D$345</definedName>
    <definedName name="S_STANDBYINV">'[2]Register Reference'!$D$58:$D$60</definedName>
    <definedName name="S_SW_COMP">'[2]Register Reference'!$D$1007:$D$1015</definedName>
    <definedName name="S_SW1CONFIG">'[2]Register Reference'!$D$98:$D$102</definedName>
    <definedName name="S_SW4CONFIG">'[2]Register Reference'!$D$104:$D$108</definedName>
    <definedName name="S_SW5CONFIG">'[2]Register Reference'!$D$110:$D$114</definedName>
    <definedName name="S_SW6VTT">'[2]Register Reference'!$D$116:$D$118</definedName>
    <definedName name="S_SW7_GM">'[2]Register Reference'!$D$1017:$D$1019</definedName>
    <definedName name="S_SW7RC">'[2]Register Reference'!$D$1021:$D$1023</definedName>
    <definedName name="S_SWILIM">'[2]Register Reference'!$D$885:$D$889</definedName>
    <definedName name="S_SWPHASE">'[2]Register Reference'!$D$948:$D$956</definedName>
    <definedName name="S_SYNCIN">'[2]Register Reference'!$D$143:$D$145</definedName>
    <definedName name="S_SYNCOUT">'[2]Register Reference'!$D$139:$D$141</definedName>
    <definedName name="S_TIMER_FAULT">'[2]Register Reference'!$D$295:$D$311</definedName>
    <definedName name="S_TRESET">'[2]Register Reference'!$D$169:$D$173</definedName>
    <definedName name="S_UV_TH">'[2]Register Reference'!$D$905:$D$909</definedName>
    <definedName name="S_VCOIN">'[2]Register Reference'!$D$151:$D$167</definedName>
    <definedName name="S_VLDO">'[2]Register Reference'!$D$966:$D$982</definedName>
    <definedName name="S_VSELECT_EN">'[2]Register Reference'!$D$993:$D$995</definedName>
    <definedName name="S_VSNVS">'[2]Register Reference'!$D$997:$D$1001</definedName>
    <definedName name="S_VSW">'[2]Register Reference'!$D$627:$D$805</definedName>
    <definedName name="S_VSW7">'[2]Register Reference'!$D$1025:$D$1057</definedName>
    <definedName name="S_WD_DURATION">'[2]Register Reference'!$D$241:$D$257</definedName>
    <definedName name="S_WD_EN">'[2]Register Reference'!$D$201:$D$203</definedName>
    <definedName name="S_WD_MAX_CNT">'[2]Register Reference'!$D$223:$D$239</definedName>
    <definedName name="S_WD_MAX_EXPIRE">'[2]Register Reference'!$D$213:$D$221</definedName>
    <definedName name="S_WD_STBY">'[2]Register Reference'!$D$197:$D$199</definedName>
    <definedName name="S_WDBYPASS">'[2]Register Reference'!$D$917:$D$919</definedName>
    <definedName name="S_WDI_INV">'[2]Register Reference'!$D$205:$D$207</definedName>
    <definedName name="S_WDI_MODE">'[2]Register Reference'!$D$209:$D$211</definedName>
    <definedName name="S_WDI_STBY">'[2]Register Reference'!$D$193:$D$195</definedName>
    <definedName name="S_WDWINDOW">'[2]Register Reference'!$D$189:$D$191</definedName>
    <definedName name="SEQ_SLOT">OFFSET([2]SEQ!$D$2,0,0,16,1)</definedName>
    <definedName name="SW_MODE">'[2]Register Reference'!$D$147:$D$149</definedName>
    <definedName name="SW1_ALT">OFFSET([2]SEQ!$G$47,2,1,1,[2]SEQ!$E$63/10+40)</definedName>
    <definedName name="SW1_RANGE">OFFSET([2]SEQ!$D$2,2,1,1,[2]SEQ!$C$4+5)</definedName>
    <definedName name="SW1_SD">OFFSET([2]SEQ!$G$5,2,1,1,[2]SEQ!$E$21/10+40)</definedName>
    <definedName name="SW2_ALT">OFFSET([2]SEQ!$G$47,3,1,1,[2]SEQ!$E$63/10+40)</definedName>
    <definedName name="SW2_RANGE">OFFSET([2]SEQ!$D$2,3,1,1,[2]SEQ!$C$4+5)</definedName>
    <definedName name="SW2_SD">OFFSET([2]SEQ!$G$5,3,1,1,[2]SEQ!$E$21/10+40)</definedName>
    <definedName name="SW3_ALT">OFFSET([2]SEQ!$G$47,4,1,1,[2]SEQ!$E$63/10+40)</definedName>
    <definedName name="SW3_RANGE">OFFSET([2]SEQ!$D$2,4,1,1,[2]SEQ!$C$4+5)</definedName>
    <definedName name="SW3_SD">OFFSET([2]SEQ!$G$5,4,1,1,[2]SEQ!$E$21/10+40)</definedName>
    <definedName name="SW4_ALT">OFFSET([2]SEQ!$G$47,5,1,1,[2]SEQ!$E$63/10+40)</definedName>
    <definedName name="SW4_RANGE">OFFSET([2]SEQ!$D$2,5,1,1,[2]SEQ!$C$4+5)</definedName>
    <definedName name="SW4_SD">OFFSET([2]SEQ!$G$5,5,1,1,[2]SEQ!$E$21/10+40)</definedName>
    <definedName name="SW5_ALT">OFFSET([2]SEQ!$G$47,6,1,1,([2]SEQ!$E$63/10)+40)</definedName>
    <definedName name="SW5_RANGE">OFFSET([2]SEQ!$D$2,6,1,1,[2]SEQ!$C$4+5)</definedName>
    <definedName name="SW5_SD">OFFSET([2]SEQ!$G$5,6,1,1,([2]SEQ!$E$21/10)+40)</definedName>
    <definedName name="SW6_ALT">OFFSET([2]SEQ!$G$47,7,1,1,([2]SEQ!$E$63/10)+40)</definedName>
    <definedName name="SW6_RANGE">OFFSET([2]SEQ!$D$2,7,1,1,[2]SEQ!$C$4+5)</definedName>
    <definedName name="SW6_SD">OFFSET([2]SEQ!$G$5,7,1,1,([2]SEQ!$E$21/10)+40)</definedName>
    <definedName name="SW7_ALT">OFFSET([2]SEQ!$G$47,8,1,1,([2]SEQ!$E$63/10)+40)</definedName>
    <definedName name="SW7_RANGE">OFFSET([2]SEQ!$D$2,8,1,1,[2]SEQ!$C$4+5)</definedName>
    <definedName name="SW7_SD">OFFSET([2]SEQ!$G$5,8,1,1,([2]SEQ!$E$21/10)+40)</definedName>
    <definedName name="TIME_ALT">OFFSET([2]SEQ!$G$47,1,1,1,([2]SEQ!$E$63/10)+40)</definedName>
    <definedName name="TIME_RANGE">OFFSET([2]SEQ!$D$2,1,1,1,[2]SEQ!$C$4+5)</definedName>
    <definedName name="TIME_SD">OFFSET([2]SEQ!$G$5,1,1,1,([2]SEQ!$E$21/10)+40)</definedName>
    <definedName name="UVBYPASS">'[2]Register Reference'!$D$1071:$D$1073</definedName>
    <definedName name="vABIST">OTP_conf_summary!$S$8</definedName>
    <definedName name="VBOOST">OTP_conf_summary!$K$8</definedName>
    <definedName name="vBUCK1">OTP_conf_summary!$L$8</definedName>
    <definedName name="vBUCK2">OTP_conf_summary!$M$8</definedName>
    <definedName name="vBUCK3">OTP_conf_summary!$N$8</definedName>
    <definedName name="vLDO1">OTP_conf_summary!$O$8</definedName>
    <definedName name="vLDO2">OTP_conf_summary!$P$8</definedName>
    <definedName name="VPRE">OTP_conf_summary!$J$8</definedName>
    <definedName name="vRST">OTP_conf_summary!$R$8</definedName>
    <definedName name="VTT_PDOWN">'[2]Register Reference'!$D$120:$D$122</definedName>
    <definedName name="XFAIL_EN">'[2]Register Reference'!$D$86:$D$88</definedName>
    <definedName name="_xlnm.Print_Area" localSheetId="4">OTP_conf_summary!$A$11:$S$80</definedName>
    <definedName name="_xlnm.Print_Area" localSheetId="1">OTP_Config_Report!$A$4:$L$401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18" l="1"/>
  <c r="N9" i="18"/>
  <c r="G7" i="15" l="1"/>
  <c r="C19" i="13" a="1"/>
  <c r="C19" i="13" s="1"/>
  <c r="K399" i="18" l="1"/>
  <c r="P6" i="20" l="1"/>
  <c r="K24" i="19" l="1"/>
  <c r="K21" i="19"/>
  <c r="R6" i="20" l="1"/>
  <c r="R5" i="20" s="1" a="1"/>
  <c r="R5" i="20" s="1"/>
  <c r="Q6" i="20"/>
  <c r="O6" i="20" a="1"/>
  <c r="O6" i="20" s="1"/>
  <c r="G19" i="19" l="1"/>
  <c r="G15" i="19"/>
  <c r="G14" i="19"/>
  <c r="C15" i="19"/>
  <c r="C14" i="19"/>
  <c r="C32" i="19" l="1"/>
  <c r="G32" i="19"/>
  <c r="G13" i="19"/>
  <c r="C13" i="19"/>
  <c r="C7" i="19"/>
  <c r="N6" i="18" l="1"/>
  <c r="B82" i="16" l="1"/>
  <c r="I15" i="16" s="1"/>
  <c r="C42" i="19"/>
  <c r="C31" i="19"/>
  <c r="C30" i="19"/>
  <c r="C28" i="19"/>
  <c r="G42" i="19"/>
  <c r="G40" i="19"/>
  <c r="G48" i="19" s="1"/>
  <c r="G38" i="19"/>
  <c r="G34" i="19" s="1"/>
  <c r="G31" i="19"/>
  <c r="G30" i="19"/>
  <c r="G36" i="19" s="1"/>
  <c r="G28" i="19"/>
  <c r="G7" i="19"/>
  <c r="K38" i="19"/>
  <c r="K39" i="19"/>
  <c r="C36" i="19" l="1"/>
  <c r="C23" i="19"/>
  <c r="S6" i="20" l="1"/>
  <c r="S5" i="20" s="1"/>
  <c r="Q5" i="20"/>
  <c r="P5" i="20"/>
  <c r="U18" i="16" l="1"/>
  <c r="S5" i="16"/>
  <c r="D52" i="20"/>
  <c r="M52" i="20" s="1"/>
  <c r="D51" i="20"/>
  <c r="M51" i="20" s="1"/>
  <c r="D50" i="20"/>
  <c r="M50" i="20" s="1"/>
  <c r="D49" i="20"/>
  <c r="K49" i="20" s="1"/>
  <c r="D48" i="20"/>
  <c r="M48" i="20" s="1"/>
  <c r="D47" i="20"/>
  <c r="M47" i="20" s="1"/>
  <c r="D46" i="20"/>
  <c r="F46" i="20" s="1"/>
  <c r="D45" i="20"/>
  <c r="K45" i="20" s="1"/>
  <c r="D44" i="20"/>
  <c r="M44" i="20" s="1"/>
  <c r="D43" i="20"/>
  <c r="M43" i="20" s="1"/>
  <c r="D42" i="20"/>
  <c r="M42" i="20" s="1"/>
  <c r="D41" i="20"/>
  <c r="K41" i="20" s="1"/>
  <c r="D40" i="20"/>
  <c r="M40" i="20" s="1"/>
  <c r="D39" i="20"/>
  <c r="M39" i="20" s="1"/>
  <c r="D38" i="20"/>
  <c r="M38" i="20" s="1"/>
  <c r="D37" i="20"/>
  <c r="K37" i="20" s="1"/>
  <c r="D35" i="20"/>
  <c r="M35" i="20" s="1"/>
  <c r="D34" i="20"/>
  <c r="M34" i="20" s="1"/>
  <c r="D33" i="20"/>
  <c r="M33" i="20" s="1"/>
  <c r="D32" i="20"/>
  <c r="K32" i="20" s="1"/>
  <c r="D31" i="20"/>
  <c r="K31" i="20" s="1"/>
  <c r="D30" i="20"/>
  <c r="M30" i="20" s="1"/>
  <c r="D29" i="20"/>
  <c r="K29" i="20" s="1"/>
  <c r="D28" i="20"/>
  <c r="K28" i="20" s="1"/>
  <c r="D27" i="20"/>
  <c r="I27" i="20" s="1"/>
  <c r="D26" i="20"/>
  <c r="M26" i="20" s="1"/>
  <c r="D25" i="20"/>
  <c r="F25" i="20" s="1"/>
  <c r="D24" i="20"/>
  <c r="K24" i="20" s="1"/>
  <c r="D23" i="20"/>
  <c r="K23" i="20" s="1"/>
  <c r="D22" i="20"/>
  <c r="M22" i="20" s="1"/>
  <c r="D21" i="20"/>
  <c r="K21" i="20" s="1"/>
  <c r="D20" i="20"/>
  <c r="K20" i="20" s="1"/>
  <c r="D19" i="20"/>
  <c r="F19" i="20" s="1"/>
  <c r="D18" i="20"/>
  <c r="M18" i="20" s="1"/>
  <c r="D17" i="20"/>
  <c r="F17" i="20" s="1"/>
  <c r="D16" i="20"/>
  <c r="K16" i="20" s="1"/>
  <c r="D15" i="20"/>
  <c r="K15" i="20" s="1"/>
  <c r="D14" i="20"/>
  <c r="M14" i="20" s="1"/>
  <c r="D13" i="20"/>
  <c r="K13" i="20" s="1"/>
  <c r="D12" i="20"/>
  <c r="K12" i="20" s="1"/>
  <c r="D11" i="20"/>
  <c r="F11" i="20" s="1"/>
  <c r="D10" i="20"/>
  <c r="M10" i="20" s="1"/>
  <c r="D9" i="20"/>
  <c r="J9" i="20" s="1"/>
  <c r="D8" i="20"/>
  <c r="L8" i="20" s="1"/>
  <c r="Z18" i="16"/>
  <c r="Y18" i="16"/>
  <c r="X18" i="16"/>
  <c r="W18" i="16"/>
  <c r="V18" i="16"/>
  <c r="J32" i="20" l="1"/>
  <c r="H9" i="20"/>
  <c r="F9" i="20"/>
  <c r="F47" i="20"/>
  <c r="J45" i="20"/>
  <c r="F45" i="20"/>
  <c r="H32" i="20"/>
  <c r="F32" i="20"/>
  <c r="M9" i="20"/>
  <c r="F52" i="20"/>
  <c r="F51" i="20"/>
  <c r="F50" i="20"/>
  <c r="F49" i="20"/>
  <c r="F48" i="20"/>
  <c r="F44" i="20"/>
  <c r="F43" i="20"/>
  <c r="F42" i="20"/>
  <c r="F41" i="20"/>
  <c r="F40" i="20"/>
  <c r="F39" i="20"/>
  <c r="F38" i="20"/>
  <c r="F37" i="20"/>
  <c r="F35" i="20"/>
  <c r="F34" i="20"/>
  <c r="G34" i="20"/>
  <c r="H34" i="20"/>
  <c r="L34" i="20"/>
  <c r="F33" i="20"/>
  <c r="F31" i="20"/>
  <c r="F30" i="20"/>
  <c r="F29" i="20"/>
  <c r="F28" i="20"/>
  <c r="F27" i="20"/>
  <c r="G26" i="20"/>
  <c r="H26" i="20"/>
  <c r="F26" i="20"/>
  <c r="L26" i="20"/>
  <c r="F24" i="20"/>
  <c r="F23" i="20"/>
  <c r="F22" i="20"/>
  <c r="F21" i="20"/>
  <c r="F20" i="20"/>
  <c r="F18" i="20"/>
  <c r="F16" i="20"/>
  <c r="F15" i="20"/>
  <c r="F14" i="20"/>
  <c r="F13" i="20"/>
  <c r="F12" i="20"/>
  <c r="H10" i="20"/>
  <c r="L10" i="20"/>
  <c r="F10" i="20"/>
  <c r="G10" i="20"/>
  <c r="F8" i="20"/>
  <c r="G52" i="20"/>
  <c r="L51" i="20"/>
  <c r="H51" i="20"/>
  <c r="J51" i="20"/>
  <c r="J49" i="20"/>
  <c r="L49" i="20"/>
  <c r="H49" i="20"/>
  <c r="K48" i="20"/>
  <c r="G48" i="20"/>
  <c r="G47" i="20"/>
  <c r="K47" i="20"/>
  <c r="L47" i="20"/>
  <c r="H47" i="20"/>
  <c r="J47" i="20"/>
  <c r="L45" i="20"/>
  <c r="H45" i="20"/>
  <c r="K44" i="20"/>
  <c r="G44" i="20"/>
  <c r="G43" i="20"/>
  <c r="L43" i="20"/>
  <c r="K43" i="20"/>
  <c r="H43" i="20"/>
  <c r="J43" i="20"/>
  <c r="L41" i="20"/>
  <c r="H41" i="20"/>
  <c r="J41" i="20"/>
  <c r="G40" i="20"/>
  <c r="K40" i="20"/>
  <c r="G39" i="20"/>
  <c r="H39" i="20"/>
  <c r="J39" i="20"/>
  <c r="L39" i="20"/>
  <c r="K39" i="20"/>
  <c r="L37" i="20"/>
  <c r="H37" i="20"/>
  <c r="J37" i="20"/>
  <c r="G35" i="20"/>
  <c r="K35" i="20"/>
  <c r="J34" i="20"/>
  <c r="K34" i="20"/>
  <c r="L32" i="20"/>
  <c r="G30" i="20"/>
  <c r="L30" i="20"/>
  <c r="H30" i="20"/>
  <c r="J30" i="20"/>
  <c r="K30" i="20"/>
  <c r="I29" i="20"/>
  <c r="H28" i="20"/>
  <c r="J28" i="20"/>
  <c r="L28" i="20"/>
  <c r="J26" i="20"/>
  <c r="K26" i="20"/>
  <c r="H24" i="20"/>
  <c r="L24" i="20"/>
  <c r="J24" i="20"/>
  <c r="I23" i="20"/>
  <c r="J22" i="20"/>
  <c r="G22" i="20"/>
  <c r="L22" i="20"/>
  <c r="H22" i="20"/>
  <c r="K22" i="20"/>
  <c r="I21" i="20"/>
  <c r="L20" i="20"/>
  <c r="H20" i="20"/>
  <c r="J20" i="20"/>
  <c r="G18" i="20"/>
  <c r="L18" i="20"/>
  <c r="H18" i="20"/>
  <c r="J18" i="20"/>
  <c r="K18" i="20"/>
  <c r="L16" i="20"/>
  <c r="H16" i="20"/>
  <c r="J16" i="20"/>
  <c r="I15" i="20"/>
  <c r="G14" i="20"/>
  <c r="L14" i="20"/>
  <c r="H14" i="20"/>
  <c r="J14" i="20"/>
  <c r="K14" i="20"/>
  <c r="I13" i="20"/>
  <c r="H12" i="20"/>
  <c r="J12" i="20"/>
  <c r="L12" i="20"/>
  <c r="J10" i="20"/>
  <c r="K10" i="20"/>
  <c r="I8" i="20"/>
  <c r="M8" i="20"/>
  <c r="L11" i="20"/>
  <c r="H11" i="20"/>
  <c r="J11" i="20"/>
  <c r="M11" i="20"/>
  <c r="J17" i="20"/>
  <c r="L17" i="20"/>
  <c r="H17" i="20"/>
  <c r="M17" i="20"/>
  <c r="L19" i="20"/>
  <c r="H19" i="20"/>
  <c r="J19" i="20"/>
  <c r="M19" i="20"/>
  <c r="J25" i="20"/>
  <c r="L25" i="20"/>
  <c r="H25" i="20"/>
  <c r="M25" i="20"/>
  <c r="K46" i="20"/>
  <c r="G46" i="20"/>
  <c r="J46" i="20"/>
  <c r="L46" i="20"/>
  <c r="H46" i="20"/>
  <c r="J8" i="20"/>
  <c r="I9" i="20"/>
  <c r="G17" i="20"/>
  <c r="I38" i="20"/>
  <c r="G8" i="20"/>
  <c r="K8" i="20"/>
  <c r="K9" i="20"/>
  <c r="J13" i="20"/>
  <c r="L13" i="20"/>
  <c r="H13" i="20"/>
  <c r="M13" i="20"/>
  <c r="I17" i="20"/>
  <c r="I19" i="20"/>
  <c r="L23" i="20"/>
  <c r="H23" i="20"/>
  <c r="J23" i="20"/>
  <c r="M23" i="20"/>
  <c r="I25" i="20"/>
  <c r="M31" i="20"/>
  <c r="I31" i="20"/>
  <c r="L31" i="20"/>
  <c r="H31" i="20"/>
  <c r="J31" i="20"/>
  <c r="K33" i="20"/>
  <c r="G33" i="20"/>
  <c r="J33" i="20"/>
  <c r="L33" i="20"/>
  <c r="H33" i="20"/>
  <c r="K42" i="20"/>
  <c r="G42" i="20"/>
  <c r="J42" i="20"/>
  <c r="L42" i="20"/>
  <c r="H42" i="20"/>
  <c r="M46" i="20"/>
  <c r="K50" i="20"/>
  <c r="G50" i="20"/>
  <c r="J50" i="20"/>
  <c r="L50" i="20"/>
  <c r="H50" i="20"/>
  <c r="L27" i="20"/>
  <c r="H27" i="20"/>
  <c r="J27" i="20"/>
  <c r="M27" i="20"/>
  <c r="K38" i="20"/>
  <c r="G38" i="20"/>
  <c r="J38" i="20"/>
  <c r="L38" i="20"/>
  <c r="H38" i="20"/>
  <c r="G11" i="20"/>
  <c r="G19" i="20"/>
  <c r="G25" i="20"/>
  <c r="G27" i="20"/>
  <c r="I46" i="20"/>
  <c r="I11" i="20"/>
  <c r="L15" i="20"/>
  <c r="H15" i="20"/>
  <c r="J15" i="20"/>
  <c r="M15" i="20"/>
  <c r="J21" i="20"/>
  <c r="L21" i="20"/>
  <c r="H21" i="20"/>
  <c r="M21" i="20"/>
  <c r="J29" i="20"/>
  <c r="L29" i="20"/>
  <c r="H29" i="20"/>
  <c r="M29" i="20"/>
  <c r="H8" i="20"/>
  <c r="G9" i="20"/>
  <c r="L9" i="20"/>
  <c r="K11" i="20"/>
  <c r="G13" i="20"/>
  <c r="G15" i="20"/>
  <c r="K17" i="20"/>
  <c r="K19" i="20"/>
  <c r="G21" i="20"/>
  <c r="G23" i="20"/>
  <c r="K25" i="20"/>
  <c r="K27" i="20"/>
  <c r="G29" i="20"/>
  <c r="G31" i="20"/>
  <c r="I33" i="20"/>
  <c r="I42" i="20"/>
  <c r="I50" i="20"/>
  <c r="I12" i="20"/>
  <c r="M12" i="20"/>
  <c r="I16" i="20"/>
  <c r="M16" i="20"/>
  <c r="I20" i="20"/>
  <c r="M20" i="20"/>
  <c r="I24" i="20"/>
  <c r="M24" i="20"/>
  <c r="I28" i="20"/>
  <c r="M28" i="20"/>
  <c r="I32" i="20"/>
  <c r="M32" i="20"/>
  <c r="J35" i="20"/>
  <c r="I37" i="20"/>
  <c r="M37" i="20"/>
  <c r="J40" i="20"/>
  <c r="I41" i="20"/>
  <c r="M41" i="20"/>
  <c r="J44" i="20"/>
  <c r="I45" i="20"/>
  <c r="M45" i="20"/>
  <c r="J48" i="20"/>
  <c r="I49" i="20"/>
  <c r="M49" i="20"/>
  <c r="G51" i="20"/>
  <c r="K51" i="20"/>
  <c r="J52" i="20"/>
  <c r="K52" i="20"/>
  <c r="I10" i="20"/>
  <c r="G12" i="20"/>
  <c r="I14" i="20"/>
  <c r="G16" i="20"/>
  <c r="I18" i="20"/>
  <c r="G20" i="20"/>
  <c r="I22" i="20"/>
  <c r="G24" i="20"/>
  <c r="I26" i="20"/>
  <c r="G28" i="20"/>
  <c r="I30" i="20"/>
  <c r="G32" i="20"/>
  <c r="I34" i="20"/>
  <c r="H35" i="20"/>
  <c r="L35" i="20"/>
  <c r="G37" i="20"/>
  <c r="I39" i="20"/>
  <c r="H40" i="20"/>
  <c r="L40" i="20"/>
  <c r="G41" i="20"/>
  <c r="I43" i="20"/>
  <c r="H44" i="20"/>
  <c r="L44" i="20"/>
  <c r="G45" i="20"/>
  <c r="I47" i="20"/>
  <c r="H48" i="20"/>
  <c r="L48" i="20"/>
  <c r="G49" i="20"/>
  <c r="I51" i="20"/>
  <c r="H52" i="20"/>
  <c r="L52" i="20"/>
  <c r="I35" i="20"/>
  <c r="I40" i="20"/>
  <c r="I44" i="20"/>
  <c r="I48" i="20"/>
  <c r="I52" i="20"/>
  <c r="O5" i="20" l="1" a="1"/>
  <c r="O5" i="20" s="1"/>
  <c r="G4" i="15" l="1"/>
  <c r="I4" i="15" l="1"/>
  <c r="N61" i="18"/>
  <c r="I8" i="15"/>
  <c r="N5" i="18"/>
  <c r="K2" i="18" s="1"/>
  <c r="K400" i="18" s="1"/>
  <c r="Q205" i="16" l="1"/>
  <c r="B72" i="9" l="1"/>
  <c r="B96" i="9" l="1"/>
  <c r="B97" i="9"/>
  <c r="B98" i="9"/>
  <c r="B99" i="9"/>
  <c r="B100" i="9"/>
  <c r="B101" i="9"/>
  <c r="B102" i="9"/>
  <c r="B103" i="9"/>
  <c r="B104" i="9"/>
  <c r="B105" i="9"/>
  <c r="B67" i="9"/>
  <c r="B68" i="9"/>
  <c r="B69" i="9"/>
  <c r="B70" i="9"/>
  <c r="B71" i="9"/>
  <c r="B73" i="9"/>
  <c r="B74" i="9"/>
  <c r="G23" i="16" l="1"/>
  <c r="G24" i="16" s="1"/>
  <c r="G25" i="16" s="1"/>
  <c r="G26" i="16" s="1"/>
  <c r="G27" i="16" s="1"/>
  <c r="G28" i="16" s="1"/>
  <c r="G29" i="16" s="1"/>
  <c r="G30" i="16" s="1"/>
  <c r="G31" i="16" s="1"/>
  <c r="G32" i="16" s="1"/>
  <c r="G33" i="16" s="1"/>
  <c r="G34" i="16" s="1"/>
  <c r="G35" i="16" s="1"/>
  <c r="G36" i="16" s="1"/>
  <c r="G37" i="16" s="1"/>
  <c r="G38" i="16" s="1"/>
  <c r="G39" i="16" s="1"/>
  <c r="G40" i="16" s="1"/>
  <c r="G41" i="16" s="1"/>
  <c r="G42" i="16" s="1"/>
  <c r="G43" i="16" s="1"/>
  <c r="G44" i="16" s="1"/>
  <c r="G45" i="16" s="1"/>
  <c r="G46" i="16" s="1"/>
  <c r="G47" i="16" s="1"/>
  <c r="G48" i="16" s="1"/>
  <c r="G49" i="16" s="1"/>
  <c r="G50" i="16" s="1"/>
  <c r="G51" i="16" s="1"/>
  <c r="G52" i="16" s="1"/>
  <c r="G53" i="16" s="1"/>
  <c r="G54" i="16" s="1"/>
  <c r="G55" i="16" s="1"/>
  <c r="G56" i="16" s="1"/>
  <c r="G57" i="16" s="1"/>
  <c r="G58" i="16" s="1"/>
  <c r="G59" i="16" s="1"/>
  <c r="G60" i="16" s="1"/>
  <c r="G61" i="16" s="1"/>
  <c r="G62" i="16" s="1"/>
  <c r="G63" i="16" s="1"/>
  <c r="G64" i="16" s="1"/>
  <c r="G65" i="16" s="1"/>
  <c r="G66" i="16" s="1"/>
  <c r="G67" i="16" s="1"/>
  <c r="G68" i="16" s="1"/>
  <c r="G69" i="16" s="1"/>
  <c r="G70" i="16" s="1"/>
  <c r="G71" i="16" l="1"/>
  <c r="G72" i="16" s="1"/>
  <c r="G73" i="16" s="1"/>
  <c r="G74" i="16" s="1"/>
  <c r="G75" i="16" s="1"/>
  <c r="G76" i="16" s="1"/>
  <c r="G77" i="16" s="1"/>
  <c r="G78" i="16" s="1"/>
  <c r="G79" i="16" s="1"/>
  <c r="G80" i="16" s="1"/>
  <c r="G81" i="16" s="1"/>
  <c r="G82" i="16" s="1"/>
  <c r="G83" i="16" s="1"/>
  <c r="G84" i="16" s="1"/>
  <c r="G85" i="16" s="1"/>
  <c r="G86" i="16" s="1"/>
  <c r="G87" i="16" s="1"/>
  <c r="G88" i="16" s="1"/>
  <c r="G89" i="16" s="1"/>
  <c r="G90" i="16" s="1"/>
  <c r="G91" i="16" s="1"/>
  <c r="G92" i="16" s="1"/>
  <c r="G93" i="16" s="1"/>
  <c r="G94" i="16" s="1"/>
  <c r="G95" i="16" s="1"/>
  <c r="G96" i="16" s="1"/>
  <c r="G97" i="16" s="1"/>
  <c r="G98" i="16" s="1"/>
  <c r="G99" i="16" s="1"/>
  <c r="E5" i="8"/>
  <c r="G100" i="16" l="1"/>
  <c r="G101" i="16" s="1"/>
  <c r="G102" i="16" s="1"/>
  <c r="G103" i="16" s="1"/>
  <c r="G104" i="16" s="1"/>
  <c r="G105" i="16" s="1"/>
  <c r="G106" i="16" s="1"/>
  <c r="G107" i="16" s="1"/>
  <c r="G108" i="16" s="1"/>
  <c r="G109" i="16" s="1"/>
  <c r="G110" i="16" s="1"/>
  <c r="G111" i="16" s="1"/>
  <c r="G112" i="16" s="1"/>
  <c r="G113" i="16" s="1"/>
  <c r="G114" i="16" s="1"/>
  <c r="G115" i="16" s="1"/>
  <c r="G116" i="16" s="1"/>
  <c r="G117" i="16" s="1"/>
  <c r="G118" i="16" s="1"/>
  <c r="G119" i="16" s="1"/>
  <c r="G120" i="16" s="1"/>
  <c r="G121" i="16" s="1"/>
  <c r="G122" i="16" s="1"/>
  <c r="G123" i="16" s="1"/>
  <c r="G124" i="16" s="1"/>
  <c r="G125" i="16" s="1"/>
  <c r="H177" i="18" l="1"/>
  <c r="H186" i="18" l="1"/>
  <c r="H187" i="18"/>
  <c r="H148" i="18"/>
  <c r="H137" i="18"/>
  <c r="H104" i="18"/>
  <c r="B77" i="16"/>
  <c r="H1" i="16" s="1"/>
  <c r="B65" i="16"/>
  <c r="N6" i="16" s="1"/>
  <c r="B53" i="16"/>
  <c r="M6" i="16" s="1"/>
  <c r="B41" i="16"/>
  <c r="L6" i="16" s="1"/>
  <c r="B21" i="16"/>
  <c r="M35" i="2"/>
  <c r="B241" i="9"/>
  <c r="B240" i="9"/>
  <c r="B239" i="9"/>
  <c r="B238" i="9"/>
  <c r="B236" i="9"/>
  <c r="B235" i="9"/>
  <c r="B234" i="9"/>
  <c r="B233" i="9"/>
  <c r="B244" i="9"/>
  <c r="B243" i="9"/>
  <c r="M11" i="2"/>
  <c r="M47" i="2"/>
  <c r="M19" i="2"/>
  <c r="B35" i="9"/>
  <c r="B34" i="9"/>
  <c r="M49" i="2" l="1"/>
  <c r="B3" i="11" l="1"/>
  <c r="B4" i="11"/>
  <c r="B5" i="11"/>
  <c r="B6" i="11"/>
  <c r="B7" i="11"/>
  <c r="B8" i="11"/>
  <c r="B9" i="11"/>
  <c r="B10" i="11"/>
  <c r="B11" i="11"/>
  <c r="B12" i="11"/>
  <c r="B13" i="11"/>
  <c r="B14" i="11"/>
  <c r="B15" i="11"/>
  <c r="B16" i="11"/>
  <c r="B17" i="11"/>
  <c r="B18" i="11"/>
  <c r="B20" i="11"/>
  <c r="B21" i="11"/>
  <c r="B22" i="11"/>
  <c r="B23" i="11"/>
  <c r="B24" i="11"/>
  <c r="B25" i="11"/>
  <c r="B26" i="11"/>
  <c r="B27" i="11"/>
  <c r="B28" i="11"/>
  <c r="B29" i="11"/>
  <c r="B30" i="11"/>
  <c r="B31" i="11"/>
  <c r="B32" i="11"/>
  <c r="B33" i="11"/>
  <c r="B34" i="11"/>
  <c r="B35" i="11"/>
  <c r="B37" i="11"/>
  <c r="B38" i="11"/>
  <c r="B40" i="11"/>
  <c r="B41" i="11"/>
  <c r="B42" i="11"/>
  <c r="B43" i="11"/>
  <c r="B44" i="11"/>
  <c r="B46" i="11"/>
  <c r="B47" i="11"/>
  <c r="B48" i="11"/>
  <c r="B49" i="11"/>
  <c r="B50" i="11"/>
  <c r="B51" i="11"/>
  <c r="B52" i="11"/>
  <c r="B53" i="11"/>
  <c r="B54" i="11"/>
  <c r="B55" i="11"/>
  <c r="B56" i="11"/>
  <c r="B57" i="11"/>
  <c r="B58" i="11"/>
  <c r="B59" i="11"/>
  <c r="B60" i="11"/>
  <c r="B61" i="11"/>
  <c r="B63" i="11"/>
  <c r="B64" i="11"/>
  <c r="B65" i="11"/>
  <c r="B66" i="11"/>
  <c r="B67" i="11"/>
  <c r="B68" i="11"/>
  <c r="B69" i="11"/>
  <c r="B70" i="11"/>
  <c r="B71" i="11"/>
  <c r="B72" i="11"/>
  <c r="B73" i="11"/>
  <c r="B74" i="11"/>
  <c r="B75" i="11"/>
  <c r="B76" i="11"/>
  <c r="B77" i="11"/>
  <c r="B78" i="11"/>
  <c r="B80" i="11"/>
  <c r="B81" i="11"/>
  <c r="B82" i="11"/>
  <c r="B83" i="11"/>
  <c r="B84" i="11"/>
  <c r="B85" i="11"/>
  <c r="B86" i="11"/>
  <c r="B87" i="11"/>
  <c r="B88" i="11"/>
  <c r="B89" i="11"/>
  <c r="B90" i="11"/>
  <c r="B91" i="11"/>
  <c r="B92" i="11"/>
  <c r="B93" i="11"/>
  <c r="B94" i="11"/>
  <c r="B95" i="11"/>
  <c r="B97" i="11"/>
  <c r="B98" i="11"/>
  <c r="B99" i="11"/>
  <c r="B100" i="11"/>
  <c r="B101" i="11"/>
  <c r="B102" i="11"/>
  <c r="B103" i="11"/>
  <c r="B104" i="11"/>
  <c r="B105" i="11"/>
  <c r="B106" i="11"/>
  <c r="B107" i="11"/>
  <c r="B108" i="11"/>
  <c r="B109" i="11"/>
  <c r="B110" i="11"/>
  <c r="B111" i="11"/>
  <c r="B112" i="11"/>
  <c r="B114" i="11"/>
  <c r="B115" i="11"/>
  <c r="B116" i="11"/>
  <c r="B117" i="11"/>
  <c r="B118" i="11"/>
  <c r="B119" i="11"/>
  <c r="B120" i="11"/>
  <c r="B121" i="11"/>
  <c r="B122" i="11"/>
  <c r="B123" i="11"/>
  <c r="B124" i="11"/>
  <c r="B125" i="11"/>
  <c r="B126" i="11"/>
  <c r="B127" i="11"/>
  <c r="B128" i="11"/>
  <c r="B129" i="11"/>
  <c r="B131" i="11"/>
  <c r="B132" i="11"/>
  <c r="B133" i="11"/>
  <c r="B134" i="11"/>
  <c r="B135" i="11"/>
  <c r="B136" i="11"/>
  <c r="B137" i="11"/>
  <c r="B138" i="11"/>
  <c r="B139" i="11"/>
  <c r="B140" i="11"/>
  <c r="B141" i="11"/>
  <c r="B142" i="11"/>
  <c r="B143" i="11"/>
  <c r="B144" i="11"/>
  <c r="B145" i="11"/>
  <c r="B146" i="11"/>
  <c r="B148" i="11"/>
  <c r="B149" i="11"/>
  <c r="B150" i="11"/>
  <c r="B151" i="11"/>
  <c r="B152" i="11"/>
  <c r="B153" i="11"/>
  <c r="B154" i="11"/>
  <c r="B155" i="11"/>
  <c r="B156" i="11"/>
  <c r="B157" i="11"/>
  <c r="B158" i="11"/>
  <c r="B159" i="11"/>
  <c r="B160" i="11"/>
  <c r="B161" i="11"/>
  <c r="B162" i="11"/>
  <c r="B163" i="11"/>
  <c r="B165" i="11"/>
  <c r="B166" i="11"/>
  <c r="B167" i="11"/>
  <c r="B168" i="11"/>
  <c r="B169" i="11"/>
  <c r="B170" i="11"/>
  <c r="B171" i="11"/>
  <c r="B172" i="11"/>
  <c r="B173" i="11"/>
  <c r="B174" i="11"/>
  <c r="B175" i="11"/>
  <c r="B176" i="11"/>
  <c r="B177" i="11"/>
  <c r="B178" i="11"/>
  <c r="B179" i="11"/>
  <c r="B180" i="11"/>
  <c r="B182" i="11"/>
  <c r="B183" i="11"/>
  <c r="B184" i="11"/>
  <c r="B185" i="11"/>
  <c r="B186" i="11"/>
  <c r="B187" i="11"/>
  <c r="B188" i="11"/>
  <c r="B189" i="11"/>
  <c r="B190" i="11"/>
  <c r="B191" i="11"/>
  <c r="B192" i="11"/>
  <c r="B193" i="11"/>
  <c r="B194" i="11"/>
  <c r="B195" i="11"/>
  <c r="B196" i="11"/>
  <c r="B197" i="11"/>
  <c r="B199" i="11"/>
  <c r="B200" i="11"/>
  <c r="B201" i="11"/>
  <c r="B202" i="11"/>
  <c r="B203" i="11"/>
  <c r="B204" i="11"/>
  <c r="B205" i="11"/>
  <c r="B206" i="11"/>
  <c r="B207" i="11"/>
  <c r="B208" i="11"/>
  <c r="B209" i="11"/>
  <c r="B210" i="11"/>
  <c r="B211" i="11"/>
  <c r="B212" i="11"/>
  <c r="B213" i="11"/>
  <c r="B214" i="11"/>
  <c r="B216" i="11"/>
  <c r="B217" i="11"/>
  <c r="B219" i="11"/>
  <c r="B220" i="11"/>
  <c r="B222" i="11"/>
  <c r="B223" i="11"/>
  <c r="B225" i="11"/>
  <c r="B226" i="11"/>
  <c r="B228" i="11"/>
  <c r="B229" i="11"/>
  <c r="B231" i="11"/>
  <c r="B232" i="11"/>
  <c r="B234" i="11"/>
  <c r="B235" i="11"/>
  <c r="B237" i="11"/>
  <c r="B238" i="11"/>
  <c r="B240" i="11"/>
  <c r="B241" i="11"/>
  <c r="B243" i="11"/>
  <c r="B244" i="11"/>
  <c r="B246" i="11"/>
  <c r="B247" i="11"/>
  <c r="B249" i="11"/>
  <c r="B250" i="11"/>
  <c r="B252" i="11"/>
  <c r="B253" i="11"/>
  <c r="B255" i="11"/>
  <c r="B256" i="11"/>
  <c r="B258" i="11"/>
  <c r="B259" i="11"/>
  <c r="B261" i="11"/>
  <c r="B262" i="11"/>
  <c r="B264" i="11"/>
  <c r="B265" i="11"/>
  <c r="B267" i="11"/>
  <c r="B268" i="11"/>
  <c r="B270" i="11"/>
  <c r="B271" i="11"/>
  <c r="B273" i="11"/>
  <c r="B274" i="11"/>
  <c r="B276" i="11"/>
  <c r="B277" i="11"/>
  <c r="B279" i="11"/>
  <c r="B280" i="11"/>
  <c r="B282" i="11"/>
  <c r="B283" i="11"/>
  <c r="B284" i="11"/>
  <c r="B285" i="11"/>
  <c r="B286" i="11"/>
  <c r="B287" i="11"/>
  <c r="B288" i="11"/>
  <c r="B289" i="11"/>
  <c r="B290" i="11"/>
  <c r="B291" i="11"/>
  <c r="B292" i="11"/>
  <c r="B293" i="11"/>
  <c r="B294" i="11"/>
  <c r="B295" i="11"/>
  <c r="B296" i="11"/>
  <c r="B297" i="11"/>
  <c r="B299" i="11"/>
  <c r="B300" i="11"/>
  <c r="B301" i="11"/>
  <c r="B302" i="11"/>
  <c r="B304" i="11"/>
  <c r="B305" i="11"/>
  <c r="B307" i="11"/>
  <c r="B308" i="11"/>
  <c r="B309" i="11"/>
  <c r="B310" i="11"/>
  <c r="B312" i="11"/>
  <c r="B313" i="11"/>
  <c r="B315" i="11"/>
  <c r="B316" i="11"/>
  <c r="B317" i="11"/>
  <c r="B318" i="11"/>
  <c r="B320" i="11"/>
  <c r="B321" i="11"/>
  <c r="B27" i="9"/>
  <c r="B29" i="9"/>
  <c r="B30" i="9"/>
  <c r="B31" i="9"/>
  <c r="B32" i="9"/>
  <c r="B37" i="9"/>
  <c r="B38" i="9"/>
  <c r="B40" i="9"/>
  <c r="B41" i="9"/>
  <c r="B43" i="9"/>
  <c r="B44" i="9"/>
  <c r="B46" i="9"/>
  <c r="B47" i="9"/>
  <c r="B48" i="9"/>
  <c r="B50" i="9"/>
  <c r="B51" i="9"/>
  <c r="B53" i="9"/>
  <c r="B55" i="9"/>
  <c r="B57" i="9"/>
  <c r="B58" i="9"/>
  <c r="B60" i="9"/>
  <c r="B61" i="9"/>
  <c r="B62" i="9"/>
  <c r="B63" i="9"/>
  <c r="B64" i="9"/>
  <c r="B65" i="9"/>
  <c r="B66" i="9"/>
  <c r="B75" i="9"/>
  <c r="B76" i="9"/>
  <c r="B77" i="9"/>
  <c r="B78" i="9"/>
  <c r="B79" i="9"/>
  <c r="B81" i="9"/>
  <c r="B82" i="9"/>
  <c r="B83" i="9"/>
  <c r="B85" i="9"/>
  <c r="B86" i="9"/>
  <c r="B88" i="9"/>
  <c r="B89" i="9"/>
  <c r="B91" i="9"/>
  <c r="B92" i="9"/>
  <c r="B93" i="9"/>
  <c r="B94" i="9"/>
  <c r="B95" i="9"/>
  <c r="B106" i="9"/>
  <c r="B107" i="9"/>
  <c r="B108" i="9"/>
  <c r="B109" i="9"/>
  <c r="B110" i="9"/>
  <c r="B112" i="9"/>
  <c r="B113" i="9"/>
  <c r="B114" i="9"/>
  <c r="B116" i="9"/>
  <c r="B117" i="9"/>
  <c r="B119" i="9"/>
  <c r="B120" i="9"/>
  <c r="B122" i="9"/>
  <c r="B124" i="9"/>
  <c r="B126" i="9"/>
  <c r="B127" i="9"/>
  <c r="B129" i="9"/>
  <c r="B130" i="9"/>
  <c r="B131" i="9"/>
  <c r="B133" i="9"/>
  <c r="B134" i="9"/>
  <c r="B135" i="9"/>
  <c r="B136" i="9"/>
  <c r="B137" i="9"/>
  <c r="B138" i="9"/>
  <c r="B139" i="9"/>
  <c r="B140" i="9"/>
  <c r="B141" i="9"/>
  <c r="B142" i="9"/>
  <c r="B143" i="9"/>
  <c r="B144" i="9"/>
  <c r="B145" i="9"/>
  <c r="B147" i="9"/>
  <c r="B148" i="9"/>
  <c r="B149" i="9"/>
  <c r="B150" i="9"/>
  <c r="B151" i="9"/>
  <c r="B152" i="9"/>
  <c r="B154" i="9"/>
  <c r="B155" i="9"/>
  <c r="B156" i="9"/>
  <c r="B157" i="9"/>
  <c r="B158" i="9"/>
  <c r="B159" i="9"/>
  <c r="B161" i="9"/>
  <c r="B162" i="9"/>
  <c r="B164" i="9"/>
  <c r="B165" i="9"/>
  <c r="B167" i="9"/>
  <c r="B168" i="9"/>
  <c r="B169" i="9"/>
  <c r="B170" i="9"/>
  <c r="B171" i="9"/>
  <c r="B172" i="9"/>
  <c r="B173" i="9"/>
  <c r="B174" i="9"/>
  <c r="B176" i="9"/>
  <c r="B177" i="9"/>
  <c r="B179" i="9"/>
  <c r="B180" i="9"/>
  <c r="B181" i="9"/>
  <c r="B182" i="9"/>
  <c r="B183" i="9"/>
  <c r="B184" i="9"/>
  <c r="B185" i="9"/>
  <c r="B186" i="9"/>
  <c r="B188" i="9"/>
  <c r="B189" i="9"/>
  <c r="B190" i="9"/>
  <c r="B191" i="9"/>
  <c r="B192" i="9"/>
  <c r="B193" i="9"/>
  <c r="B194" i="9"/>
  <c r="B195" i="9"/>
  <c r="B197" i="9"/>
  <c r="B198" i="9"/>
  <c r="B199" i="9"/>
  <c r="B200" i="9"/>
  <c r="B201" i="9"/>
  <c r="B202" i="9"/>
  <c r="B203" i="9"/>
  <c r="B204" i="9"/>
  <c r="B206" i="9"/>
  <c r="B207" i="9"/>
  <c r="B208" i="9"/>
  <c r="B209" i="9"/>
  <c r="B210" i="9"/>
  <c r="B211" i="9"/>
  <c r="B212" i="9"/>
  <c r="B213" i="9"/>
  <c r="B215" i="9"/>
  <c r="B216" i="9"/>
  <c r="B217" i="9"/>
  <c r="B218" i="9"/>
  <c r="B219" i="9"/>
  <c r="B220" i="9"/>
  <c r="B221" i="9"/>
  <c r="B222" i="9"/>
  <c r="B224" i="9"/>
  <c r="B225" i="9"/>
  <c r="B226" i="9"/>
  <c r="B227" i="9"/>
  <c r="B228" i="9"/>
  <c r="B229" i="9"/>
  <c r="B230" i="9"/>
  <c r="B231" i="9"/>
  <c r="B246" i="9"/>
  <c r="B247" i="9"/>
  <c r="B248" i="9"/>
  <c r="B249" i="9"/>
  <c r="B250" i="9"/>
  <c r="B251" i="9"/>
  <c r="B252" i="9"/>
  <c r="B253" i="9"/>
  <c r="B255" i="9"/>
  <c r="B256" i="9"/>
  <c r="B257" i="9"/>
  <c r="B258" i="9"/>
  <c r="B259" i="9"/>
  <c r="B260" i="9"/>
  <c r="B261" i="9"/>
  <c r="B262" i="9"/>
  <c r="B264" i="9"/>
  <c r="B265" i="9"/>
  <c r="B266" i="9"/>
  <c r="B267" i="9"/>
  <c r="B268" i="9"/>
  <c r="B269" i="9"/>
  <c r="B270" i="9"/>
  <c r="B271" i="9"/>
  <c r="B273" i="9"/>
  <c r="B274" i="9"/>
  <c r="B275" i="9"/>
  <c r="B276" i="9"/>
  <c r="B277" i="9"/>
  <c r="B278" i="9"/>
  <c r="B279" i="9"/>
  <c r="B280" i="9"/>
  <c r="B282" i="9"/>
  <c r="B283" i="9"/>
  <c r="B284" i="9"/>
  <c r="B285" i="9"/>
  <c r="B286" i="9"/>
  <c r="B287" i="9"/>
  <c r="B288" i="9"/>
  <c r="B289" i="9"/>
  <c r="B291" i="9"/>
  <c r="B292" i="9"/>
  <c r="B293" i="9"/>
  <c r="B294" i="9"/>
  <c r="B295" i="9"/>
  <c r="B296" i="9"/>
  <c r="B297" i="9"/>
  <c r="B298" i="9"/>
  <c r="B300" i="9"/>
  <c r="B302" i="9"/>
  <c r="B304" i="9"/>
  <c r="B306" i="9"/>
  <c r="B308" i="9"/>
  <c r="B309" i="9"/>
  <c r="B311" i="9"/>
  <c r="B312" i="9"/>
  <c r="B314" i="9"/>
  <c r="B315" i="9"/>
  <c r="B316" i="9"/>
  <c r="B317" i="9"/>
  <c r="B319" i="9"/>
  <c r="B320" i="9"/>
  <c r="B322" i="9"/>
  <c r="B323" i="9"/>
  <c r="B325" i="9"/>
  <c r="B326" i="9"/>
  <c r="B328" i="9"/>
  <c r="B329" i="9"/>
  <c r="B331" i="9"/>
  <c r="B332" i="9"/>
  <c r="B334" i="9"/>
  <c r="B335" i="9"/>
  <c r="B337" i="9"/>
  <c r="B338" i="9"/>
  <c r="B340" i="9"/>
  <c r="B341" i="9"/>
  <c r="B343" i="9"/>
  <c r="B344" i="9"/>
  <c r="B346" i="9"/>
  <c r="B347" i="9"/>
  <c r="B349" i="9"/>
  <c r="B350" i="9"/>
  <c r="B352" i="9"/>
  <c r="B353" i="9"/>
  <c r="B355" i="9"/>
  <c r="B356" i="9"/>
  <c r="B357" i="9"/>
  <c r="B358" i="9"/>
  <c r="B359" i="9"/>
  <c r="B360" i="9"/>
  <c r="B361" i="9"/>
  <c r="B362" i="9"/>
  <c r="B363" i="9"/>
  <c r="B364" i="9"/>
  <c r="B365" i="9"/>
  <c r="B366" i="9"/>
  <c r="B367" i="9"/>
  <c r="B368" i="9"/>
  <c r="B369" i="9"/>
  <c r="B370" i="9"/>
  <c r="B372" i="9"/>
  <c r="B373" i="9"/>
  <c r="B374" i="9"/>
  <c r="B375" i="9"/>
  <c r="B376" i="9"/>
  <c r="B377" i="9"/>
  <c r="B378" i="9"/>
  <c r="B379" i="9"/>
  <c r="B20" i="9"/>
  <c r="B21" i="9"/>
  <c r="B22" i="9"/>
  <c r="B23" i="9"/>
  <c r="B25" i="9"/>
  <c r="B4" i="9"/>
  <c r="B5" i="9"/>
  <c r="B6" i="9"/>
  <c r="B8" i="9"/>
  <c r="B9" i="9"/>
  <c r="B10" i="9"/>
  <c r="B11" i="9"/>
  <c r="B12" i="9"/>
  <c r="B13" i="9"/>
  <c r="B14" i="9"/>
  <c r="B15" i="9"/>
  <c r="B16" i="9"/>
  <c r="B17" i="9"/>
  <c r="B18" i="9"/>
  <c r="B3" i="9"/>
  <c r="S45" i="20" l="1"/>
  <c r="S46" i="20"/>
  <c r="S47" i="20"/>
  <c r="S48" i="20"/>
  <c r="R11" i="20"/>
  <c r="S17" i="20"/>
  <c r="S27" i="20"/>
  <c r="S28" i="20"/>
  <c r="S29" i="20"/>
  <c r="U27" i="20" l="1"/>
  <c r="T27" i="20"/>
  <c r="P27" i="20"/>
  <c r="T47" i="20"/>
  <c r="W50" i="20"/>
  <c r="T49" i="20"/>
  <c r="W49" i="20"/>
  <c r="R49" i="20"/>
  <c r="W47" i="20"/>
  <c r="R47" i="20"/>
  <c r="V47" i="20"/>
  <c r="Q47" i="20"/>
  <c r="U47" i="20"/>
  <c r="P47" i="20"/>
  <c r="W46" i="20"/>
  <c r="R46" i="20"/>
  <c r="V46" i="20"/>
  <c r="U46" i="20"/>
  <c r="T46" i="20"/>
  <c r="V45" i="20"/>
  <c r="Q45" i="20"/>
  <c r="U45" i="20"/>
  <c r="T45" i="20"/>
  <c r="W45" i="20"/>
  <c r="R45" i="20"/>
  <c r="R39" i="20"/>
  <c r="W30" i="20"/>
  <c r="T29" i="20"/>
  <c r="W29" i="20"/>
  <c r="V29" i="20"/>
  <c r="U29" i="20"/>
  <c r="W28" i="20"/>
  <c r="R28" i="20"/>
  <c r="V28" i="20"/>
  <c r="U28" i="20"/>
  <c r="T28" i="20"/>
  <c r="R27" i="20"/>
  <c r="Q27" i="20"/>
  <c r="T23" i="20"/>
  <c r="R23" i="20"/>
  <c r="P20" i="20"/>
  <c r="T20" i="20"/>
  <c r="P18" i="20"/>
  <c r="T17" i="20"/>
  <c r="W17" i="20"/>
  <c r="V17" i="20"/>
  <c r="W15" i="20"/>
  <c r="S15" i="20"/>
  <c r="T13" i="20"/>
  <c r="R13" i="20"/>
  <c r="P12" i="20"/>
  <c r="P10" i="20"/>
  <c r="G50" i="19"/>
  <c r="G51" i="19" s="1"/>
  <c r="C50" i="19"/>
  <c r="C51" i="19" s="1"/>
  <c r="C40" i="19"/>
  <c r="C48" i="19" s="1"/>
  <c r="C38" i="19"/>
  <c r="K36" i="19"/>
  <c r="K41" i="19" s="1"/>
  <c r="G20" i="19"/>
  <c r="G12" i="19" s="1"/>
  <c r="C20" i="19"/>
  <c r="C12" i="19" s="1"/>
  <c r="G9" i="19"/>
  <c r="N35" i="8"/>
  <c r="D46" i="15" s="1"/>
  <c r="N33" i="8"/>
  <c r="M31" i="8"/>
  <c r="N31" i="8" s="1"/>
  <c r="D44" i="15" s="1"/>
  <c r="M29" i="8"/>
  <c r="N29" i="8" s="1"/>
  <c r="D43" i="15" s="1"/>
  <c r="M27" i="8"/>
  <c r="N27" i="8" s="1"/>
  <c r="D42" i="15" s="1"/>
  <c r="M25" i="8"/>
  <c r="N25" i="8" s="1"/>
  <c r="D41" i="15" s="1"/>
  <c r="M23" i="8"/>
  <c r="N23" i="8" s="1"/>
  <c r="D40" i="15" s="1"/>
  <c r="M21" i="8"/>
  <c r="N21" i="8" s="1"/>
  <c r="D39" i="15" s="1"/>
  <c r="M19" i="8"/>
  <c r="N19" i="8" s="1"/>
  <c r="D38" i="15" s="1"/>
  <c r="M17" i="8"/>
  <c r="N17" i="8" s="1"/>
  <c r="D37" i="15" s="1"/>
  <c r="M15" i="8"/>
  <c r="N15" i="8" s="1"/>
  <c r="D36" i="15" s="1"/>
  <c r="M13" i="8"/>
  <c r="N13" i="8" s="1"/>
  <c r="D35" i="15" s="1"/>
  <c r="M11" i="8"/>
  <c r="N11" i="8" s="1"/>
  <c r="D34" i="15" s="1"/>
  <c r="M9" i="8"/>
  <c r="N9" i="8" s="1"/>
  <c r="D33" i="15" s="1"/>
  <c r="M7" i="8"/>
  <c r="N7" i="8" s="1"/>
  <c r="D32" i="15" s="1"/>
  <c r="M5" i="8"/>
  <c r="N5" i="8" s="1"/>
  <c r="D31" i="15" s="1"/>
  <c r="N59" i="2"/>
  <c r="D30" i="15" s="1"/>
  <c r="N57" i="2"/>
  <c r="D29" i="15" s="1"/>
  <c r="M55" i="2"/>
  <c r="N55" i="2" s="1"/>
  <c r="D28" i="15" s="1"/>
  <c r="M53" i="2"/>
  <c r="N53" i="2" s="1"/>
  <c r="D27" i="15" s="1"/>
  <c r="M51" i="2"/>
  <c r="N51" i="2" s="1"/>
  <c r="D26" i="15" s="1"/>
  <c r="N49" i="2"/>
  <c r="D25" i="15" s="1"/>
  <c r="N47" i="2"/>
  <c r="D24" i="15" s="1"/>
  <c r="M45" i="2"/>
  <c r="N45" i="2" s="1"/>
  <c r="D23" i="15" s="1"/>
  <c r="M43" i="2"/>
  <c r="N43" i="2" s="1"/>
  <c r="D22" i="15" s="1"/>
  <c r="M41" i="2"/>
  <c r="N41" i="2" s="1"/>
  <c r="D21" i="15" s="1"/>
  <c r="M39" i="2"/>
  <c r="N39" i="2" s="1"/>
  <c r="D20" i="15" s="1"/>
  <c r="M37" i="2"/>
  <c r="N37" i="2" s="1"/>
  <c r="D19" i="15" s="1"/>
  <c r="N35" i="2"/>
  <c r="D18" i="15" s="1"/>
  <c r="M33" i="2"/>
  <c r="N33" i="2" s="1"/>
  <c r="D17" i="15" s="1"/>
  <c r="M31" i="2"/>
  <c r="N31" i="2" s="1"/>
  <c r="D16" i="15" s="1"/>
  <c r="M29" i="2"/>
  <c r="N29" i="2" s="1"/>
  <c r="D15" i="15" s="1"/>
  <c r="M27" i="2"/>
  <c r="N27" i="2" s="1"/>
  <c r="D14" i="15" s="1"/>
  <c r="M25" i="2"/>
  <c r="N25" i="2" s="1"/>
  <c r="D13" i="15" s="1"/>
  <c r="M23" i="2"/>
  <c r="N23" i="2" s="1"/>
  <c r="D12" i="15" s="1"/>
  <c r="M21" i="2"/>
  <c r="N21" i="2" s="1"/>
  <c r="D11" i="15" s="1"/>
  <c r="N19" i="2"/>
  <c r="D10" i="15" s="1"/>
  <c r="M17" i="2"/>
  <c r="N17" i="2" s="1"/>
  <c r="D9" i="15" s="1"/>
  <c r="M15" i="2"/>
  <c r="N15" i="2" s="1"/>
  <c r="D8" i="15" s="1"/>
  <c r="M13" i="2"/>
  <c r="N13" i="2" s="1"/>
  <c r="D7" i="15" s="1"/>
  <c r="N11" i="2"/>
  <c r="D6" i="15" s="1"/>
  <c r="M9" i="2"/>
  <c r="N9" i="2" s="1"/>
  <c r="D5" i="15" s="1"/>
  <c r="M7" i="2"/>
  <c r="N7" i="2" s="1"/>
  <c r="D4" i="15" s="1"/>
  <c r="M5" i="2"/>
  <c r="N5" i="2" s="1"/>
  <c r="D3" i="15" s="1"/>
  <c r="B84" i="16"/>
  <c r="B83" i="16"/>
  <c r="B81" i="16"/>
  <c r="H24" i="16" s="1"/>
  <c r="B80" i="16"/>
  <c r="B79" i="16"/>
  <c r="B78" i="16"/>
  <c r="B75" i="16"/>
  <c r="P1" i="16" s="1"/>
  <c r="E70" i="16"/>
  <c r="B74" i="16"/>
  <c r="B73" i="16"/>
  <c r="E68" i="16"/>
  <c r="B72" i="16"/>
  <c r="E67" i="16"/>
  <c r="E66" i="16"/>
  <c r="B70" i="16"/>
  <c r="O1" i="16" s="1"/>
  <c r="E65" i="16"/>
  <c r="B69" i="16"/>
  <c r="E64" i="16"/>
  <c r="B68" i="16"/>
  <c r="E63" i="16"/>
  <c r="B67" i="16"/>
  <c r="E62" i="16"/>
  <c r="E61" i="16"/>
  <c r="B64" i="16"/>
  <c r="N1" i="16" s="1"/>
  <c r="B63" i="16"/>
  <c r="E59" i="16"/>
  <c r="L19" i="16" s="1"/>
  <c r="B62" i="16"/>
  <c r="E58" i="16"/>
  <c r="L18" i="16" s="1"/>
  <c r="Y17" i="16" s="1"/>
  <c r="B61" i="16"/>
  <c r="E57" i="16"/>
  <c r="L17" i="16" s="1"/>
  <c r="X17" i="16" s="1"/>
  <c r="B60" i="16"/>
  <c r="E56" i="16"/>
  <c r="L16" i="16" s="1"/>
  <c r="W17" i="16" s="1"/>
  <c r="B59" i="16"/>
  <c r="E55" i="16"/>
  <c r="L15" i="16" s="1"/>
  <c r="V17" i="16" s="1"/>
  <c r="B58" i="16"/>
  <c r="E54" i="16"/>
  <c r="L14" i="16" s="1"/>
  <c r="U17" i="16" s="1"/>
  <c r="B57" i="16"/>
  <c r="B56" i="16"/>
  <c r="N3" i="16" s="1"/>
  <c r="J16" i="16" s="1"/>
  <c r="E52" i="16"/>
  <c r="B55" i="16"/>
  <c r="N2" i="16" s="1"/>
  <c r="E51" i="16"/>
  <c r="E50" i="16"/>
  <c r="B52" i="16"/>
  <c r="M1" i="16" s="1"/>
  <c r="E49" i="16"/>
  <c r="B51" i="16"/>
  <c r="E48" i="16"/>
  <c r="B50" i="16"/>
  <c r="E47" i="16"/>
  <c r="B49" i="16"/>
  <c r="E46" i="16"/>
  <c r="B48" i="16"/>
  <c r="I45" i="16"/>
  <c r="I46" i="16" s="1"/>
  <c r="I47" i="16" s="1"/>
  <c r="I48" i="16" s="1"/>
  <c r="I49" i="16" s="1"/>
  <c r="I50" i="16" s="1"/>
  <c r="I51" i="16" s="1"/>
  <c r="I52" i="16" s="1"/>
  <c r="I53" i="16" s="1"/>
  <c r="I54" i="16" s="1"/>
  <c r="I55" i="16" s="1"/>
  <c r="I56" i="16" s="1"/>
  <c r="I57" i="16" s="1"/>
  <c r="I58" i="16" s="1"/>
  <c r="I59" i="16" s="1"/>
  <c r="I60" i="16" s="1"/>
  <c r="I61" i="16" s="1"/>
  <c r="I62" i="16" s="1"/>
  <c r="I63" i="16" s="1"/>
  <c r="I64" i="16" s="1"/>
  <c r="I65" i="16" s="1"/>
  <c r="I66" i="16" s="1"/>
  <c r="I67" i="16" s="1"/>
  <c r="I68" i="16" s="1"/>
  <c r="I69" i="16" s="1"/>
  <c r="I70" i="16" s="1"/>
  <c r="I71" i="16" s="1"/>
  <c r="I72" i="16" s="1"/>
  <c r="I73" i="16" s="1"/>
  <c r="I74" i="16" s="1"/>
  <c r="I75" i="16" s="1"/>
  <c r="I76" i="16" s="1"/>
  <c r="I77" i="16" s="1"/>
  <c r="I78" i="16" s="1"/>
  <c r="I79" i="16" s="1"/>
  <c r="I80" i="16" s="1"/>
  <c r="I81" i="16" s="1"/>
  <c r="I82" i="16" s="1"/>
  <c r="I83" i="16" s="1"/>
  <c r="I84" i="16" s="1"/>
  <c r="I85" i="16" s="1"/>
  <c r="I86" i="16" s="1"/>
  <c r="I87" i="16" s="1"/>
  <c r="I88" i="16" s="1"/>
  <c r="I89" i="16" s="1"/>
  <c r="I90" i="16" s="1"/>
  <c r="I91" i="16" s="1"/>
  <c r="I92" i="16" s="1"/>
  <c r="I93" i="16" s="1"/>
  <c r="I94" i="16" s="1"/>
  <c r="I95" i="16" s="1"/>
  <c r="I96" i="16" s="1"/>
  <c r="I97" i="16" s="1"/>
  <c r="I98" i="16" s="1"/>
  <c r="I99" i="16" s="1"/>
  <c r="B47" i="16"/>
  <c r="E44" i="16"/>
  <c r="B46" i="16"/>
  <c r="E43" i="16"/>
  <c r="B45" i="16"/>
  <c r="E42" i="16"/>
  <c r="B44" i="16"/>
  <c r="E41" i="16"/>
  <c r="B43" i="16"/>
  <c r="M2" i="16" s="1"/>
  <c r="E39" i="16"/>
  <c r="B40" i="16"/>
  <c r="L1" i="16" s="1"/>
  <c r="E38" i="16"/>
  <c r="B39" i="16"/>
  <c r="E37" i="16"/>
  <c r="B38" i="16"/>
  <c r="E36" i="16"/>
  <c r="B37" i="16"/>
  <c r="B36" i="16"/>
  <c r="E34" i="16"/>
  <c r="B35" i="16"/>
  <c r="E33" i="16"/>
  <c r="B34" i="16"/>
  <c r="E32" i="16"/>
  <c r="B33" i="16"/>
  <c r="E31" i="16"/>
  <c r="B31" i="16"/>
  <c r="E29" i="16"/>
  <c r="B30" i="16"/>
  <c r="H28" i="16"/>
  <c r="H29" i="16" s="1"/>
  <c r="H30" i="16" s="1"/>
  <c r="H31" i="16" s="1"/>
  <c r="H32" i="16" s="1"/>
  <c r="H33" i="16" s="1"/>
  <c r="H34" i="16" s="1"/>
  <c r="H35" i="16" s="1"/>
  <c r="H36" i="16" s="1"/>
  <c r="H37" i="16" s="1"/>
  <c r="H38" i="16" s="1"/>
  <c r="H39" i="16" s="1"/>
  <c r="H40" i="16" s="1"/>
  <c r="E28" i="16"/>
  <c r="B29" i="16"/>
  <c r="E27" i="16"/>
  <c r="B28" i="16"/>
  <c r="E26" i="16"/>
  <c r="B27" i="16"/>
  <c r="B26" i="16"/>
  <c r="I24" i="16"/>
  <c r="I25" i="16" s="1"/>
  <c r="I26" i="16" s="1"/>
  <c r="I27" i="16" s="1"/>
  <c r="I28" i="16" s="1"/>
  <c r="I29" i="16" s="1"/>
  <c r="I30" i="16" s="1"/>
  <c r="I31" i="16" s="1"/>
  <c r="I32" i="16" s="1"/>
  <c r="I33" i="16" s="1"/>
  <c r="I34" i="16" s="1"/>
  <c r="I35" i="16" s="1"/>
  <c r="I36" i="16" s="1"/>
  <c r="I37" i="16" s="1"/>
  <c r="I38" i="16" s="1"/>
  <c r="I39" i="16" s="1"/>
  <c r="I40" i="16" s="1"/>
  <c r="I41" i="16" s="1"/>
  <c r="I42" i="16" s="1"/>
  <c r="I43" i="16" s="1"/>
  <c r="E24" i="16"/>
  <c r="B25" i="16"/>
  <c r="E23" i="16"/>
  <c r="B24" i="16"/>
  <c r="K3" i="16" s="1"/>
  <c r="E22" i="16"/>
  <c r="B23" i="16"/>
  <c r="E21" i="16"/>
  <c r="E20" i="16"/>
  <c r="B20" i="16"/>
  <c r="B19" i="16"/>
  <c r="E18" i="16"/>
  <c r="B18" i="16"/>
  <c r="E17" i="16"/>
  <c r="B17" i="16"/>
  <c r="E16" i="16"/>
  <c r="B16" i="16"/>
  <c r="E15" i="16"/>
  <c r="B15" i="16"/>
  <c r="E14" i="16"/>
  <c r="B14" i="16"/>
  <c r="B13" i="16"/>
  <c r="D45" i="15"/>
  <c r="H274" i="18"/>
  <c r="H273" i="18"/>
  <c r="H272" i="18"/>
  <c r="H271" i="18"/>
  <c r="H270" i="18"/>
  <c r="H269" i="18"/>
  <c r="H268" i="18"/>
  <c r="H267" i="18"/>
  <c r="H266" i="18"/>
  <c r="H249" i="18"/>
  <c r="H248" i="18"/>
  <c r="H247" i="18"/>
  <c r="H246" i="18"/>
  <c r="H245" i="18"/>
  <c r="H244" i="18"/>
  <c r="H243" i="18"/>
  <c r="H242" i="18"/>
  <c r="H241" i="18"/>
  <c r="H240" i="18"/>
  <c r="H239" i="18"/>
  <c r="H238" i="18"/>
  <c r="H237" i="18"/>
  <c r="H236" i="18"/>
  <c r="H235" i="18"/>
  <c r="H234" i="18"/>
  <c r="H233" i="18"/>
  <c r="H232" i="18"/>
  <c r="H231" i="18"/>
  <c r="H230" i="18"/>
  <c r="H229" i="18"/>
  <c r="H228" i="18"/>
  <c r="H227" i="18"/>
  <c r="H226" i="18"/>
  <c r="H225" i="18"/>
  <c r="H224" i="18"/>
  <c r="H223" i="18"/>
  <c r="H222" i="18"/>
  <c r="H221" i="18"/>
  <c r="H220" i="18"/>
  <c r="H219" i="18"/>
  <c r="H218" i="18"/>
  <c r="H217" i="18"/>
  <c r="H216" i="18"/>
  <c r="H202" i="18"/>
  <c r="H201" i="18"/>
  <c r="H200" i="18"/>
  <c r="H199" i="18"/>
  <c r="H198" i="18"/>
  <c r="H197" i="18"/>
  <c r="H193" i="18"/>
  <c r="H192" i="18"/>
  <c r="H191" i="18"/>
  <c r="H190" i="18"/>
  <c r="H189" i="18"/>
  <c r="H188" i="18"/>
  <c r="H185" i="18"/>
  <c r="N75" i="18" s="1"/>
  <c r="H184" i="18"/>
  <c r="H183" i="18"/>
  <c r="H182" i="18"/>
  <c r="H181" i="18"/>
  <c r="N74" i="18" s="1"/>
  <c r="H180" i="18"/>
  <c r="H179" i="18"/>
  <c r="H178" i="18"/>
  <c r="H176" i="18"/>
  <c r="N73" i="18" s="1"/>
  <c r="H175" i="18"/>
  <c r="H174" i="18"/>
  <c r="H173" i="18"/>
  <c r="H172" i="18"/>
  <c r="H171" i="18"/>
  <c r="H170" i="18"/>
  <c r="H169" i="18"/>
  <c r="H168" i="18"/>
  <c r="H167" i="18"/>
  <c r="H147" i="18"/>
  <c r="N72" i="18" s="1"/>
  <c r="H146" i="18"/>
  <c r="H145" i="18"/>
  <c r="H144" i="18"/>
  <c r="H143" i="18"/>
  <c r="H142" i="18"/>
  <c r="H141" i="18"/>
  <c r="H140" i="18"/>
  <c r="H139" i="18"/>
  <c r="H138" i="18"/>
  <c r="H136" i="18"/>
  <c r="N71" i="18" s="1"/>
  <c r="H135" i="18"/>
  <c r="H134" i="18"/>
  <c r="H133" i="18"/>
  <c r="H132" i="18"/>
  <c r="H131" i="18"/>
  <c r="H130" i="18"/>
  <c r="H129" i="18"/>
  <c r="H128" i="18"/>
  <c r="H127" i="18"/>
  <c r="H126" i="18"/>
  <c r="H125" i="18"/>
  <c r="H124" i="18"/>
  <c r="H123" i="18"/>
  <c r="H122" i="18"/>
  <c r="H121" i="18"/>
  <c r="H120" i="18"/>
  <c r="H103" i="18"/>
  <c r="H102" i="18"/>
  <c r="H101" i="18"/>
  <c r="H100" i="18"/>
  <c r="H99" i="18"/>
  <c r="H98" i="18"/>
  <c r="H97" i="18"/>
  <c r="H96" i="18"/>
  <c r="B32" i="18"/>
  <c r="N31" i="18"/>
  <c r="N30" i="18"/>
  <c r="N10" i="16" l="1"/>
  <c r="N7" i="16"/>
  <c r="N4" i="16" s="1"/>
  <c r="O10" i="16"/>
  <c r="O7" i="16"/>
  <c r="P7" i="16"/>
  <c r="P10" i="16"/>
  <c r="L10" i="16"/>
  <c r="L7" i="16"/>
  <c r="M10" i="16"/>
  <c r="M7" i="16"/>
  <c r="K31" i="19"/>
  <c r="K29" i="19"/>
  <c r="K32" i="19"/>
  <c r="C34" i="19"/>
  <c r="C43" i="19"/>
  <c r="C44" i="19" s="1"/>
  <c r="C39" i="19"/>
  <c r="C46" i="19" s="1"/>
  <c r="K42" i="19"/>
  <c r="K35" i="19"/>
  <c r="C9" i="19"/>
  <c r="Z17" i="16"/>
  <c r="J124" i="16"/>
  <c r="J115" i="16" s="1"/>
  <c r="J3" i="16"/>
  <c r="O3" i="16"/>
  <c r="J19" i="16" s="1"/>
  <c r="J14" i="16"/>
  <c r="L3" i="16"/>
  <c r="L4" i="16" s="1"/>
  <c r="L5" i="16" s="1"/>
  <c r="P3" i="16"/>
  <c r="J18" i="16" s="1"/>
  <c r="M3" i="16"/>
  <c r="S19" i="20"/>
  <c r="Q12" i="20"/>
  <c r="U15" i="20"/>
  <c r="G126" i="16"/>
  <c r="G127" i="16" s="1"/>
  <c r="G128" i="16" s="1"/>
  <c r="G129" i="16" s="1"/>
  <c r="G130" i="16" s="1"/>
  <c r="G131" i="16" s="1"/>
  <c r="G132" i="16" s="1"/>
  <c r="G133" i="16" s="1"/>
  <c r="G134" i="16" s="1"/>
  <c r="G135" i="16" s="1"/>
  <c r="G136" i="16" s="1"/>
  <c r="G137" i="16" s="1"/>
  <c r="G138" i="16" s="1"/>
  <c r="G139" i="16" s="1"/>
  <c r="G140" i="16" s="1"/>
  <c r="G141" i="16" s="1"/>
  <c r="G142" i="16" s="1"/>
  <c r="G143" i="16" s="1"/>
  <c r="G144" i="16" s="1"/>
  <c r="G145" i="16" s="1"/>
  <c r="G146" i="16" s="1"/>
  <c r="G147" i="16" s="1"/>
  <c r="G148" i="16" s="1"/>
  <c r="G149" i="16" s="1"/>
  <c r="G150" i="16" s="1"/>
  <c r="G151" i="16" s="1"/>
  <c r="G152" i="16" s="1"/>
  <c r="G153" i="16" s="1"/>
  <c r="G154" i="16" s="1"/>
  <c r="G155" i="16" s="1"/>
  <c r="G156" i="16" s="1"/>
  <c r="G157" i="16" s="1"/>
  <c r="G158" i="16" s="1"/>
  <c r="G159" i="16" s="1"/>
  <c r="G160" i="16" s="1"/>
  <c r="G161" i="16" s="1"/>
  <c r="G162" i="16" s="1"/>
  <c r="G163" i="16" s="1"/>
  <c r="G164" i="16" s="1"/>
  <c r="G165" i="16" s="1"/>
  <c r="G166" i="16" s="1"/>
  <c r="G167" i="16" s="1"/>
  <c r="G168" i="16" s="1"/>
  <c r="G169" i="16" s="1"/>
  <c r="G170" i="16" s="1"/>
  <c r="G171" i="16" s="1"/>
  <c r="G172" i="16" s="1"/>
  <c r="G173" i="16" s="1"/>
  <c r="G174" i="16" s="1"/>
  <c r="G175" i="16" s="1"/>
  <c r="G176" i="16" s="1"/>
  <c r="G177" i="16" s="1"/>
  <c r="G178" i="16" s="1"/>
  <c r="G179" i="16" s="1"/>
  <c r="G180" i="16" s="1"/>
  <c r="G181" i="16" s="1"/>
  <c r="G182" i="16" s="1"/>
  <c r="G183" i="16" s="1"/>
  <c r="G184" i="16" s="1"/>
  <c r="G185" i="16" s="1"/>
  <c r="G186" i="16" s="1"/>
  <c r="G187" i="16" s="1"/>
  <c r="G188" i="16" s="1"/>
  <c r="G189" i="16" s="1"/>
  <c r="G190" i="16" s="1"/>
  <c r="G191" i="16" s="1"/>
  <c r="G192" i="16" s="1"/>
  <c r="G193" i="16" s="1"/>
  <c r="G194" i="16" s="1"/>
  <c r="G195" i="16" s="1"/>
  <c r="G196" i="16" s="1"/>
  <c r="G197" i="16" s="1"/>
  <c r="G198" i="16" s="1"/>
  <c r="G199" i="16" s="1"/>
  <c r="G200" i="16" s="1"/>
  <c r="G201" i="16" s="1"/>
  <c r="G202" i="16" s="1"/>
  <c r="G203" i="16" s="1"/>
  <c r="G204" i="16" s="1"/>
  <c r="G205" i="16" s="1"/>
  <c r="G206" i="16" s="1"/>
  <c r="G207" i="16" s="1"/>
  <c r="G208" i="16" s="1"/>
  <c r="G209" i="16" s="1"/>
  <c r="G210" i="16" s="1"/>
  <c r="G211" i="16" s="1"/>
  <c r="G212" i="16" s="1"/>
  <c r="G213" i="16" s="1"/>
  <c r="G214" i="16" s="1"/>
  <c r="G215" i="16" s="1"/>
  <c r="G216" i="16" s="1"/>
  <c r="G217" i="16" s="1"/>
  <c r="G218" i="16" s="1"/>
  <c r="G219" i="16" s="1"/>
  <c r="G220" i="16" s="1"/>
  <c r="G221" i="16" s="1"/>
  <c r="G222" i="16" s="1"/>
  <c r="G223" i="16" s="1"/>
  <c r="G224" i="16" s="1"/>
  <c r="G225" i="16" s="1"/>
  <c r="G226" i="16" s="1"/>
  <c r="G227" i="16" s="1"/>
  <c r="G228" i="16" s="1"/>
  <c r="G229" i="16" s="1"/>
  <c r="G230" i="16" s="1"/>
  <c r="G231" i="16" s="1"/>
  <c r="G232" i="16" s="1"/>
  <c r="G233" i="16" s="1"/>
  <c r="G234" i="16" s="1"/>
  <c r="G235" i="16" s="1"/>
  <c r="G236" i="16" s="1"/>
  <c r="G237" i="16" s="1"/>
  <c r="G238" i="16" s="1"/>
  <c r="G239" i="16" s="1"/>
  <c r="G240" i="16" s="1"/>
  <c r="G241" i="16" s="1"/>
  <c r="G242" i="16" s="1"/>
  <c r="G243" i="16" s="1"/>
  <c r="G244" i="16" s="1"/>
  <c r="G245" i="16" s="1"/>
  <c r="G246" i="16" s="1"/>
  <c r="G247" i="16" s="1"/>
  <c r="G248" i="16" s="1"/>
  <c r="G249" i="16" s="1"/>
  <c r="G250" i="16" s="1"/>
  <c r="G251" i="16" s="1"/>
  <c r="G252" i="16" s="1"/>
  <c r="G253" i="16" s="1"/>
  <c r="G254" i="16" s="1"/>
  <c r="G255" i="16" s="1"/>
  <c r="G256" i="16" s="1"/>
  <c r="G257" i="16" s="1"/>
  <c r="G258" i="16" s="1"/>
  <c r="G259" i="16" s="1"/>
  <c r="G260" i="16" s="1"/>
  <c r="G261" i="16" s="1"/>
  <c r="G262" i="16" s="1"/>
  <c r="G263" i="16" s="1"/>
  <c r="G264" i="16" s="1"/>
  <c r="G265" i="16" s="1"/>
  <c r="G266" i="16" s="1"/>
  <c r="G267" i="16" s="1"/>
  <c r="G268" i="16" s="1"/>
  <c r="G269" i="16" s="1"/>
  <c r="G270" i="16" s="1"/>
  <c r="G271" i="16" s="1"/>
  <c r="G272" i="16" s="1"/>
  <c r="G273" i="16" s="1"/>
  <c r="G274" i="16" s="1"/>
  <c r="G275" i="16" s="1"/>
  <c r="G276" i="16" s="1"/>
  <c r="G277" i="16" s="1"/>
  <c r="G278" i="16" s="1"/>
  <c r="G279" i="16" s="1"/>
  <c r="G280" i="16" s="1"/>
  <c r="G281" i="16" s="1"/>
  <c r="G282" i="16" s="1"/>
  <c r="G283" i="16" s="1"/>
  <c r="G284" i="16" s="1"/>
  <c r="G285" i="16" s="1"/>
  <c r="G286" i="16" s="1"/>
  <c r="G287" i="16" s="1"/>
  <c r="G288" i="16" s="1"/>
  <c r="G289" i="16" s="1"/>
  <c r="G290" i="16" s="1"/>
  <c r="G291" i="16" s="1"/>
  <c r="G292" i="16" s="1"/>
  <c r="G293" i="16" s="1"/>
  <c r="G294" i="16" s="1"/>
  <c r="G295" i="16" s="1"/>
  <c r="G296" i="16" s="1"/>
  <c r="G297" i="16" s="1"/>
  <c r="G298" i="16" s="1"/>
  <c r="G299" i="16" s="1"/>
  <c r="G300" i="16" s="1"/>
  <c r="G301" i="16" s="1"/>
  <c r="G302" i="16" s="1"/>
  <c r="G303" i="16" s="1"/>
  <c r="G304" i="16" s="1"/>
  <c r="G305" i="16" s="1"/>
  <c r="G306" i="16" s="1"/>
  <c r="G307" i="16" s="1"/>
  <c r="G308" i="16" s="1"/>
  <c r="G309" i="16" s="1"/>
  <c r="G310" i="16" s="1"/>
  <c r="G311" i="16" s="1"/>
  <c r="G312" i="16" s="1"/>
  <c r="G313" i="16" s="1"/>
  <c r="G314" i="16" s="1"/>
  <c r="G315" i="16" s="1"/>
  <c r="G316" i="16" s="1"/>
  <c r="G317" i="16" s="1"/>
  <c r="G318" i="16" s="1"/>
  <c r="G319" i="16" s="1"/>
  <c r="G320" i="16" s="1"/>
  <c r="G321" i="16" s="1"/>
  <c r="G322" i="16" s="1"/>
  <c r="G323" i="16" s="1"/>
  <c r="G324" i="16" s="1"/>
  <c r="G325" i="16" s="1"/>
  <c r="G326" i="16" s="1"/>
  <c r="G327" i="16" s="1"/>
  <c r="G328" i="16" s="1"/>
  <c r="G329" i="16" s="1"/>
  <c r="G330" i="16" s="1"/>
  <c r="G331" i="16" s="1"/>
  <c r="G332" i="16" s="1"/>
  <c r="G333" i="16" s="1"/>
  <c r="G334" i="16" s="1"/>
  <c r="G335" i="16" s="1"/>
  <c r="G336" i="16" s="1"/>
  <c r="G337" i="16" s="1"/>
  <c r="G338" i="16" s="1"/>
  <c r="G339" i="16" s="1"/>
  <c r="G340" i="16" s="1"/>
  <c r="G341" i="16" s="1"/>
  <c r="G342" i="16" s="1"/>
  <c r="G343" i="16" s="1"/>
  <c r="G344" i="16" s="1"/>
  <c r="G345" i="16" s="1"/>
  <c r="G346" i="16" s="1"/>
  <c r="G347" i="16" s="1"/>
  <c r="G348" i="16" s="1"/>
  <c r="G349" i="16" s="1"/>
  <c r="G350" i="16" s="1"/>
  <c r="G351" i="16" s="1"/>
  <c r="G352" i="16" s="1"/>
  <c r="G353" i="16" s="1"/>
  <c r="G354" i="16" s="1"/>
  <c r="G355" i="16" s="1"/>
  <c r="G356" i="16" s="1"/>
  <c r="G357" i="16" s="1"/>
  <c r="G358" i="16" s="1"/>
  <c r="G359" i="16" s="1"/>
  <c r="G360" i="16" s="1"/>
  <c r="G361" i="16" s="1"/>
  <c r="G362" i="16" s="1"/>
  <c r="G363" i="16" s="1"/>
  <c r="G364" i="16" s="1"/>
  <c r="G365" i="16" s="1"/>
  <c r="G366" i="16" s="1"/>
  <c r="G367" i="16" s="1"/>
  <c r="G368" i="16" s="1"/>
  <c r="G369" i="16" s="1"/>
  <c r="G370" i="16" s="1"/>
  <c r="G371" i="16" s="1"/>
  <c r="AF12" i="16"/>
  <c r="R22" i="16" s="1"/>
  <c r="R26" i="20"/>
  <c r="Q17" i="20"/>
  <c r="V10" i="20"/>
  <c r="P42" i="20"/>
  <c r="P41" i="20"/>
  <c r="S39" i="20"/>
  <c r="P38" i="20"/>
  <c r="V27" i="20"/>
  <c r="P23" i="20"/>
  <c r="R22" i="20"/>
  <c r="Q20" i="20"/>
  <c r="V19" i="20"/>
  <c r="V13" i="20"/>
  <c r="I100" i="16"/>
  <c r="I101" i="16" s="1"/>
  <c r="I102" i="16" s="1"/>
  <c r="I103" i="16" s="1"/>
  <c r="I104" i="16" s="1"/>
  <c r="I105" i="16" s="1"/>
  <c r="I106" i="16" s="1"/>
  <c r="I107" i="16" s="1"/>
  <c r="I108" i="16" s="1"/>
  <c r="I109" i="16" s="1"/>
  <c r="I110" i="16" s="1"/>
  <c r="I111" i="16" s="1"/>
  <c r="I112" i="16" s="1"/>
  <c r="I113" i="16" s="1"/>
  <c r="I114" i="16" s="1"/>
  <c r="I115" i="16" s="1"/>
  <c r="I116" i="16" s="1"/>
  <c r="I117" i="16" s="1"/>
  <c r="I118" i="16" s="1"/>
  <c r="I119" i="16" s="1"/>
  <c r="I120" i="16" s="1"/>
  <c r="I121" i="16" s="1"/>
  <c r="I122" i="16" s="1"/>
  <c r="I123" i="16" s="1"/>
  <c r="I124" i="16" s="1"/>
  <c r="I125" i="16" s="1"/>
  <c r="I126" i="16" s="1"/>
  <c r="I127" i="16" s="1"/>
  <c r="I128" i="16" s="1"/>
  <c r="I129" i="16" s="1"/>
  <c r="I130" i="16" s="1"/>
  <c r="I131" i="16" s="1"/>
  <c r="I132" i="16" s="1"/>
  <c r="I133" i="16" s="1"/>
  <c r="S12" i="20"/>
  <c r="S18" i="20"/>
  <c r="T38" i="20"/>
  <c r="T42" i="20"/>
  <c r="T41" i="20"/>
  <c r="R21" i="20"/>
  <c r="U23" i="20"/>
  <c r="U26" i="20"/>
  <c r="U32" i="20"/>
  <c r="T40" i="20"/>
  <c r="U20" i="20"/>
  <c r="R24" i="20"/>
  <c r="P40" i="20"/>
  <c r="U50" i="20"/>
  <c r="T44" i="20"/>
  <c r="P14" i="20"/>
  <c r="P37" i="20" s="1"/>
  <c r="T11" i="20"/>
  <c r="P13" i="20"/>
  <c r="P16" i="20"/>
  <c r="Q18" i="20"/>
  <c r="P19" i="20"/>
  <c r="U25" i="20"/>
  <c r="T31" i="20"/>
  <c r="T43" i="20"/>
  <c r="P44" i="20"/>
  <c r="R8" i="20"/>
  <c r="R10" i="20"/>
  <c r="U22" i="20"/>
  <c r="U24" i="20"/>
  <c r="P43" i="20"/>
  <c r="R9" i="20"/>
  <c r="U21" i="20"/>
  <c r="R25" i="20"/>
  <c r="T48" i="20"/>
  <c r="U49" i="20"/>
  <c r="G23" i="19"/>
  <c r="G52" i="19" s="1"/>
  <c r="K46" i="19"/>
  <c r="K47" i="19" s="1"/>
  <c r="G43" i="19"/>
  <c r="G44" i="19" s="1"/>
  <c r="G39" i="19"/>
  <c r="G46" i="19" s="1"/>
  <c r="H23" i="16"/>
  <c r="H25" i="16"/>
  <c r="N80" i="18"/>
  <c r="N78" i="18"/>
  <c r="N79" i="18"/>
  <c r="E13" i="16"/>
  <c r="P30" i="20"/>
  <c r="P33" i="20"/>
  <c r="H42" i="16"/>
  <c r="H41" i="16"/>
  <c r="H43" i="16" s="1"/>
  <c r="H44" i="16" s="1"/>
  <c r="H45" i="16" s="1"/>
  <c r="H46" i="16" s="1"/>
  <c r="H47" i="16" s="1"/>
  <c r="H48" i="16" s="1"/>
  <c r="H49" i="16" s="1"/>
  <c r="H50" i="16" s="1"/>
  <c r="H51" i="16" s="1"/>
  <c r="H52" i="16" s="1"/>
  <c r="H53" i="16" s="1"/>
  <c r="H54" i="16" s="1"/>
  <c r="H55" i="16" s="1"/>
  <c r="H56" i="16" s="1"/>
  <c r="H57" i="16" s="1"/>
  <c r="H58" i="16" s="1"/>
  <c r="H59" i="16" s="1"/>
  <c r="H60" i="16" s="1"/>
  <c r="H61" i="16" s="1"/>
  <c r="H62" i="16" s="1"/>
  <c r="H63" i="16" s="1"/>
  <c r="H64" i="16" s="1"/>
  <c r="H65" i="16" s="1"/>
  <c r="H66" i="16" s="1"/>
  <c r="H67" i="16" s="1"/>
  <c r="H68" i="16" s="1"/>
  <c r="H69" i="16" s="1"/>
  <c r="H70" i="16" s="1"/>
  <c r="H71" i="16" s="1"/>
  <c r="H72" i="16" s="1"/>
  <c r="H73" i="16" s="1"/>
  <c r="H74" i="16" s="1"/>
  <c r="H75" i="16" s="1"/>
  <c r="H76" i="16" s="1"/>
  <c r="H77" i="16" s="1"/>
  <c r="H78" i="16" s="1"/>
  <c r="H79" i="16" s="1"/>
  <c r="H80" i="16" s="1"/>
  <c r="H81" i="16" s="1"/>
  <c r="H82" i="16" s="1"/>
  <c r="H83" i="16" s="1"/>
  <c r="H84" i="16" s="1"/>
  <c r="H85" i="16" s="1"/>
  <c r="H86" i="16" s="1"/>
  <c r="H87" i="16" s="1"/>
  <c r="H88" i="16" s="1"/>
  <c r="H89" i="16" s="1"/>
  <c r="H90" i="16" s="1"/>
  <c r="H91" i="16" s="1"/>
  <c r="H92" i="16" s="1"/>
  <c r="H93" i="16" s="1"/>
  <c r="H94" i="16" s="1"/>
  <c r="H95" i="16" s="1"/>
  <c r="H96" i="16" s="1"/>
  <c r="H97" i="16" s="1"/>
  <c r="H98" i="16" s="1"/>
  <c r="H99" i="16" s="1"/>
  <c r="K33" i="19"/>
  <c r="C52" i="19"/>
  <c r="K17" i="16" l="1"/>
  <c r="X20" i="16"/>
  <c r="M4" i="16"/>
  <c r="M5" i="16" s="1"/>
  <c r="K16" i="16"/>
  <c r="K15" i="16"/>
  <c r="V20" i="16"/>
  <c r="W20" i="16"/>
  <c r="Z20" i="16"/>
  <c r="K19" i="16"/>
  <c r="Y20" i="16"/>
  <c r="K18" i="16"/>
  <c r="U20" i="16"/>
  <c r="K14" i="16"/>
  <c r="J15" i="16"/>
  <c r="R4" i="16" s="1"/>
  <c r="R5" i="16" s="1"/>
  <c r="J17" i="16"/>
  <c r="N5" i="16"/>
  <c r="O4" i="16"/>
  <c r="P4" i="16"/>
  <c r="J4" i="16"/>
  <c r="K4" i="16"/>
  <c r="K5" i="16" s="1"/>
  <c r="J125" i="16"/>
  <c r="J126" i="16" s="1"/>
  <c r="I134" i="16"/>
  <c r="I135" i="16" s="1"/>
  <c r="I136" i="16" s="1"/>
  <c r="I137" i="16" s="1"/>
  <c r="I138" i="16" s="1"/>
  <c r="I139" i="16" s="1"/>
  <c r="I140" i="16" s="1"/>
  <c r="I141" i="16" s="1"/>
  <c r="I142" i="16" s="1"/>
  <c r="I143" i="16" s="1"/>
  <c r="I144" i="16" s="1"/>
  <c r="I145" i="16" s="1"/>
  <c r="I146" i="16" s="1"/>
  <c r="I147" i="16" s="1"/>
  <c r="I148" i="16" s="1"/>
  <c r="I149" i="16" s="1"/>
  <c r="I150" i="16" s="1"/>
  <c r="I151" i="16" s="1"/>
  <c r="I152" i="16" s="1"/>
  <c r="I153" i="16" s="1"/>
  <c r="I154" i="16" s="1"/>
  <c r="I155" i="16" s="1"/>
  <c r="I156" i="16" s="1"/>
  <c r="I157" i="16" s="1"/>
  <c r="I158" i="16" s="1"/>
  <c r="I159" i="16" s="1"/>
  <c r="I160" i="16" s="1"/>
  <c r="I161" i="16" s="1"/>
  <c r="I162" i="16" s="1"/>
  <c r="I163" i="16" s="1"/>
  <c r="I164" i="16" s="1"/>
  <c r="I165" i="16" s="1"/>
  <c r="I166" i="16" s="1"/>
  <c r="I167" i="16" s="1"/>
  <c r="I168" i="16" s="1"/>
  <c r="I169" i="16" s="1"/>
  <c r="I170" i="16" s="1"/>
  <c r="I171" i="16" s="1"/>
  <c r="I172" i="16" s="1"/>
  <c r="I173" i="16" s="1"/>
  <c r="I174" i="16" s="1"/>
  <c r="I175" i="16" s="1"/>
  <c r="I176" i="16" s="1"/>
  <c r="I177" i="16" s="1"/>
  <c r="I178" i="16" s="1"/>
  <c r="I179" i="16" s="1"/>
  <c r="I180" i="16" s="1"/>
  <c r="I181" i="16" s="1"/>
  <c r="I182" i="16" s="1"/>
  <c r="I183" i="16" s="1"/>
  <c r="I184" i="16" s="1"/>
  <c r="I185" i="16" s="1"/>
  <c r="I186" i="16" s="1"/>
  <c r="I187" i="16" s="1"/>
  <c r="I188" i="16" s="1"/>
  <c r="I189" i="16" s="1"/>
  <c r="I190" i="16" s="1"/>
  <c r="I191" i="16" s="1"/>
  <c r="I192" i="16" s="1"/>
  <c r="I193" i="16" s="1"/>
  <c r="I194" i="16" s="1"/>
  <c r="I195" i="16" s="1"/>
  <c r="I196" i="16" s="1"/>
  <c r="I197" i="16" s="1"/>
  <c r="I198" i="16" s="1"/>
  <c r="I199" i="16" s="1"/>
  <c r="I200" i="16" s="1"/>
  <c r="I201" i="16" s="1"/>
  <c r="I202" i="16" s="1"/>
  <c r="I203" i="16" s="1"/>
  <c r="I204" i="16" s="1"/>
  <c r="I205" i="16" s="1"/>
  <c r="I206" i="16" s="1"/>
  <c r="I207" i="16" s="1"/>
  <c r="I208" i="16" s="1"/>
  <c r="I209" i="16" s="1"/>
  <c r="I210" i="16" s="1"/>
  <c r="I211" i="16" s="1"/>
  <c r="I212" i="16" s="1"/>
  <c r="I213" i="16" s="1"/>
  <c r="I214" i="16" s="1"/>
  <c r="I215" i="16" s="1"/>
  <c r="I216" i="16" s="1"/>
  <c r="I217" i="16" s="1"/>
  <c r="I218" i="16" s="1"/>
  <c r="I219" i="16" s="1"/>
  <c r="I220" i="16" s="1"/>
  <c r="I221" i="16" s="1"/>
  <c r="I222" i="16" s="1"/>
  <c r="I223" i="16" s="1"/>
  <c r="I224" i="16" s="1"/>
  <c r="I225" i="16" s="1"/>
  <c r="I226" i="16" s="1"/>
  <c r="I227" i="16" s="1"/>
  <c r="I228" i="16" s="1"/>
  <c r="I229" i="16" s="1"/>
  <c r="I230" i="16" s="1"/>
  <c r="I231" i="16" s="1"/>
  <c r="I232" i="16" s="1"/>
  <c r="I233" i="16" s="1"/>
  <c r="I234" i="16" s="1"/>
  <c r="I235" i="16" s="1"/>
  <c r="I236" i="16" s="1"/>
  <c r="I237" i="16" s="1"/>
  <c r="I238" i="16" s="1"/>
  <c r="I239" i="16" s="1"/>
  <c r="I240" i="16" s="1"/>
  <c r="I241" i="16" s="1"/>
  <c r="I242" i="16" s="1"/>
  <c r="I243" i="16" s="1"/>
  <c r="I244" i="16" s="1"/>
  <c r="I245" i="16" s="1"/>
  <c r="I246" i="16" s="1"/>
  <c r="I247" i="16" s="1"/>
  <c r="I248" i="16" s="1"/>
  <c r="I249" i="16" s="1"/>
  <c r="I250" i="16" s="1"/>
  <c r="I251" i="16" s="1"/>
  <c r="I252" i="16" s="1"/>
  <c r="I253" i="16" s="1"/>
  <c r="I254" i="16" s="1"/>
  <c r="I255" i="16" s="1"/>
  <c r="I256" i="16" s="1"/>
  <c r="I257" i="16" s="1"/>
  <c r="I258" i="16" s="1"/>
  <c r="I259" i="16" s="1"/>
  <c r="I260" i="16" s="1"/>
  <c r="I261" i="16" s="1"/>
  <c r="I262" i="16" s="1"/>
  <c r="I263" i="16" s="1"/>
  <c r="I264" i="16" s="1"/>
  <c r="I265" i="16" s="1"/>
  <c r="I266" i="16" s="1"/>
  <c r="I267" i="16" s="1"/>
  <c r="I268" i="16" s="1"/>
  <c r="I269" i="16" s="1"/>
  <c r="I270" i="16" s="1"/>
  <c r="I271" i="16" s="1"/>
  <c r="I272" i="16" s="1"/>
  <c r="I273" i="16" s="1"/>
  <c r="I274" i="16" s="1"/>
  <c r="I275" i="16" s="1"/>
  <c r="I276" i="16" s="1"/>
  <c r="I277" i="16" s="1"/>
  <c r="I278" i="16" s="1"/>
  <c r="I279" i="16" s="1"/>
  <c r="I280" i="16" s="1"/>
  <c r="I281" i="16" s="1"/>
  <c r="I282" i="16" s="1"/>
  <c r="I283" i="16" s="1"/>
  <c r="I284" i="16" s="1"/>
  <c r="I285" i="16" s="1"/>
  <c r="I286" i="16" s="1"/>
  <c r="I287" i="16" s="1"/>
  <c r="I288" i="16" s="1"/>
  <c r="I289" i="16" s="1"/>
  <c r="I290" i="16" s="1"/>
  <c r="I291" i="16" s="1"/>
  <c r="I292" i="16" s="1"/>
  <c r="I293" i="16" s="1"/>
  <c r="I294" i="16" s="1"/>
  <c r="I295" i="16" s="1"/>
  <c r="I296" i="16" s="1"/>
  <c r="I297" i="16" s="1"/>
  <c r="I298" i="16" s="1"/>
  <c r="I299" i="16" s="1"/>
  <c r="I300" i="16" s="1"/>
  <c r="I301" i="16" s="1"/>
  <c r="I302" i="16" s="1"/>
  <c r="I303" i="16" s="1"/>
  <c r="I304" i="16" s="1"/>
  <c r="I305" i="16" s="1"/>
  <c r="I306" i="16" s="1"/>
  <c r="I307" i="16" s="1"/>
  <c r="I308" i="16" s="1"/>
  <c r="I309" i="16" s="1"/>
  <c r="I310" i="16" s="1"/>
  <c r="I311" i="16" s="1"/>
  <c r="I312" i="16" s="1"/>
  <c r="I313" i="16" s="1"/>
  <c r="I314" i="16" s="1"/>
  <c r="I315" i="16" s="1"/>
  <c r="I316" i="16" s="1"/>
  <c r="I317" i="16" s="1"/>
  <c r="I318" i="16" s="1"/>
  <c r="I319" i="16" s="1"/>
  <c r="I320" i="16" s="1"/>
  <c r="I321" i="16" s="1"/>
  <c r="I322" i="16" s="1"/>
  <c r="I323" i="16" s="1"/>
  <c r="I324" i="16" s="1"/>
  <c r="I325" i="16" s="1"/>
  <c r="I326" i="16" s="1"/>
  <c r="I327" i="16" s="1"/>
  <c r="I328" i="16" s="1"/>
  <c r="I329" i="16" s="1"/>
  <c r="I330" i="16" s="1"/>
  <c r="I331" i="16" s="1"/>
  <c r="I332" i="16" s="1"/>
  <c r="I333" i="16" s="1"/>
  <c r="I334" i="16" s="1"/>
  <c r="I335" i="16" s="1"/>
  <c r="I336" i="16" s="1"/>
  <c r="I337" i="16" s="1"/>
  <c r="I338" i="16" s="1"/>
  <c r="I339" i="16" s="1"/>
  <c r="I340" i="16" s="1"/>
  <c r="I341" i="16" s="1"/>
  <c r="I342" i="16" s="1"/>
  <c r="I343" i="16" s="1"/>
  <c r="I344" i="16" s="1"/>
  <c r="I345" i="16" s="1"/>
  <c r="I346" i="16" s="1"/>
  <c r="I347" i="16" s="1"/>
  <c r="I348" i="16" s="1"/>
  <c r="I349" i="16" s="1"/>
  <c r="I350" i="16" s="1"/>
  <c r="I351" i="16" s="1"/>
  <c r="I352" i="16" s="1"/>
  <c r="I353" i="16" s="1"/>
  <c r="I354" i="16" s="1"/>
  <c r="I355" i="16" s="1"/>
  <c r="I356" i="16" s="1"/>
  <c r="I357" i="16" s="1"/>
  <c r="I358" i="16" s="1"/>
  <c r="I359" i="16" s="1"/>
  <c r="I360" i="16" s="1"/>
  <c r="I361" i="16" s="1"/>
  <c r="I362" i="16" s="1"/>
  <c r="I363" i="16" s="1"/>
  <c r="I364" i="16" s="1"/>
  <c r="I365" i="16" s="1"/>
  <c r="I366" i="16" s="1"/>
  <c r="I367" i="16" s="1"/>
  <c r="I368" i="16" s="1"/>
  <c r="I369" i="16" s="1"/>
  <c r="I370" i="16" s="1"/>
  <c r="I371" i="16" s="1"/>
  <c r="K115" i="16"/>
  <c r="S22" i="16"/>
  <c r="H100" i="16"/>
  <c r="H101" i="16" s="1"/>
  <c r="H102" i="16" s="1"/>
  <c r="H103" i="16" s="1"/>
  <c r="H104" i="16" s="1"/>
  <c r="H105" i="16" s="1"/>
  <c r="H106" i="16" s="1"/>
  <c r="H107" i="16" s="1"/>
  <c r="H108" i="16" s="1"/>
  <c r="H109" i="16" s="1"/>
  <c r="H110" i="16" s="1"/>
  <c r="H111" i="16" s="1"/>
  <c r="H112" i="16" s="1"/>
  <c r="H113" i="16" s="1"/>
  <c r="H114" i="16" s="1"/>
  <c r="H115" i="16" s="1"/>
  <c r="H116" i="16" s="1"/>
  <c r="H117" i="16" s="1"/>
  <c r="H118" i="16" s="1"/>
  <c r="H119" i="16" s="1"/>
  <c r="H120" i="16" s="1"/>
  <c r="H121" i="16" s="1"/>
  <c r="H122" i="16" s="1"/>
  <c r="H123" i="16" s="1"/>
  <c r="H124" i="16" s="1"/>
  <c r="H125" i="16" s="1"/>
  <c r="H126" i="16" s="1"/>
  <c r="H127" i="16" s="1"/>
  <c r="H128" i="16" s="1"/>
  <c r="H129" i="16" s="1"/>
  <c r="H130" i="16" s="1"/>
  <c r="H131" i="16" s="1"/>
  <c r="H132" i="16" s="1"/>
  <c r="H133" i="16" s="1"/>
  <c r="J116" i="16"/>
  <c r="H26" i="16"/>
  <c r="P5" i="16" l="1"/>
  <c r="P6" i="16" s="1"/>
  <c r="O5" i="16"/>
  <c r="O6" i="16" s="1"/>
  <c r="J5" i="16"/>
  <c r="J8" i="16" s="1"/>
  <c r="H134" i="16"/>
  <c r="H135" i="16" s="1"/>
  <c r="H136" i="16" s="1"/>
  <c r="H137" i="16" s="1"/>
  <c r="H138" i="16" s="1"/>
  <c r="H139" i="16" s="1"/>
  <c r="H140" i="16" s="1"/>
  <c r="H141" i="16" s="1"/>
  <c r="H142" i="16" s="1"/>
  <c r="H143" i="16" s="1"/>
  <c r="H144" i="16" s="1"/>
  <c r="H145" i="16" s="1"/>
  <c r="H146" i="16" s="1"/>
  <c r="H147" i="16" s="1"/>
  <c r="H148" i="16" s="1"/>
  <c r="H149" i="16" s="1"/>
  <c r="H150" i="16" s="1"/>
  <c r="H151" i="16" s="1"/>
  <c r="H152" i="16" s="1"/>
  <c r="H153" i="16" s="1"/>
  <c r="H154" i="16" s="1"/>
  <c r="H155" i="16" s="1"/>
  <c r="H156" i="16" s="1"/>
  <c r="H157" i="16" s="1"/>
  <c r="H158" i="16" s="1"/>
  <c r="H159" i="16" s="1"/>
  <c r="H160" i="16" s="1"/>
  <c r="H161" i="16" s="1"/>
  <c r="H162" i="16" s="1"/>
  <c r="H163" i="16" s="1"/>
  <c r="H164" i="16" s="1"/>
  <c r="H165" i="16" s="1"/>
  <c r="H166" i="16" s="1"/>
  <c r="H167" i="16" s="1"/>
  <c r="H168" i="16" s="1"/>
  <c r="H169" i="16" s="1"/>
  <c r="H170" i="16" s="1"/>
  <c r="H171" i="16" s="1"/>
  <c r="H172" i="16" s="1"/>
  <c r="H173" i="16" s="1"/>
  <c r="H174" i="16" s="1"/>
  <c r="H175" i="16" s="1"/>
  <c r="H176" i="16" s="1"/>
  <c r="H177" i="16" s="1"/>
  <c r="H178" i="16" s="1"/>
  <c r="H179" i="16" s="1"/>
  <c r="H180" i="16" s="1"/>
  <c r="H181" i="16" s="1"/>
  <c r="H182" i="16" s="1"/>
  <c r="H183" i="16" s="1"/>
  <c r="H184" i="16" s="1"/>
  <c r="H185" i="16" s="1"/>
  <c r="H186" i="16" s="1"/>
  <c r="H187" i="16" s="1"/>
  <c r="H188" i="16" s="1"/>
  <c r="H189" i="16" s="1"/>
  <c r="H190" i="16" s="1"/>
  <c r="H191" i="16" s="1"/>
  <c r="H192" i="16" s="1"/>
  <c r="H193" i="16" s="1"/>
  <c r="H194" i="16" s="1"/>
  <c r="H195" i="16" s="1"/>
  <c r="H196" i="16" s="1"/>
  <c r="H197" i="16" s="1"/>
  <c r="H198" i="16" s="1"/>
  <c r="H199" i="16" s="1"/>
  <c r="H200" i="16" s="1"/>
  <c r="H201" i="16" s="1"/>
  <c r="H202" i="16" s="1"/>
  <c r="H203" i="16" s="1"/>
  <c r="H204" i="16" s="1"/>
  <c r="H205" i="16" s="1"/>
  <c r="H206" i="16" s="1"/>
  <c r="H207" i="16" s="1"/>
  <c r="H208" i="16" s="1"/>
  <c r="H209" i="16" s="1"/>
  <c r="H210" i="16" s="1"/>
  <c r="H211" i="16" s="1"/>
  <c r="H212" i="16" s="1"/>
  <c r="H213" i="16" s="1"/>
  <c r="H214" i="16" s="1"/>
  <c r="H215" i="16" s="1"/>
  <c r="H216" i="16" s="1"/>
  <c r="H217" i="16" s="1"/>
  <c r="H218" i="16" s="1"/>
  <c r="H219" i="16" s="1"/>
  <c r="H220" i="16" s="1"/>
  <c r="H221" i="16" s="1"/>
  <c r="H222" i="16" s="1"/>
  <c r="H223" i="16" s="1"/>
  <c r="H224" i="16" s="1"/>
  <c r="H225" i="16" s="1"/>
  <c r="H226" i="16" s="1"/>
  <c r="H227" i="16" s="1"/>
  <c r="H228" i="16" s="1"/>
  <c r="H229" i="16" s="1"/>
  <c r="H230" i="16" s="1"/>
  <c r="H231" i="16" s="1"/>
  <c r="H232" i="16" s="1"/>
  <c r="H233" i="16" s="1"/>
  <c r="H234" i="16" s="1"/>
  <c r="H235" i="16" s="1"/>
  <c r="H236" i="16" s="1"/>
  <c r="H237" i="16" s="1"/>
  <c r="H238" i="16" s="1"/>
  <c r="H239" i="16" s="1"/>
  <c r="H240" i="16" s="1"/>
  <c r="H241" i="16" s="1"/>
  <c r="H242" i="16" s="1"/>
  <c r="H243" i="16" s="1"/>
  <c r="H244" i="16" s="1"/>
  <c r="H245" i="16" s="1"/>
  <c r="H246" i="16" s="1"/>
  <c r="H247" i="16" s="1"/>
  <c r="H248" i="16" s="1"/>
  <c r="H249" i="16" s="1"/>
  <c r="H250" i="16" s="1"/>
  <c r="H251" i="16" s="1"/>
  <c r="H252" i="16" s="1"/>
  <c r="H253" i="16" s="1"/>
  <c r="H254" i="16" s="1"/>
  <c r="H255" i="16" s="1"/>
  <c r="H256" i="16" s="1"/>
  <c r="H257" i="16" s="1"/>
  <c r="H258" i="16" s="1"/>
  <c r="H259" i="16" s="1"/>
  <c r="H260" i="16" s="1"/>
  <c r="H261" i="16" s="1"/>
  <c r="H262" i="16" s="1"/>
  <c r="H263" i="16" s="1"/>
  <c r="H264" i="16" s="1"/>
  <c r="H265" i="16" s="1"/>
  <c r="H266" i="16" s="1"/>
  <c r="H267" i="16" s="1"/>
  <c r="H268" i="16" s="1"/>
  <c r="H269" i="16" s="1"/>
  <c r="H270" i="16" s="1"/>
  <c r="H271" i="16" s="1"/>
  <c r="H272" i="16" s="1"/>
  <c r="H273" i="16" s="1"/>
  <c r="H274" i="16" s="1"/>
  <c r="H275" i="16" s="1"/>
  <c r="H276" i="16" s="1"/>
  <c r="H277" i="16" s="1"/>
  <c r="H278" i="16" s="1"/>
  <c r="H279" i="16" s="1"/>
  <c r="H280" i="16" s="1"/>
  <c r="H281" i="16" s="1"/>
  <c r="H282" i="16" s="1"/>
  <c r="H283" i="16" s="1"/>
  <c r="H284" i="16" s="1"/>
  <c r="H285" i="16" s="1"/>
  <c r="H286" i="16" s="1"/>
  <c r="H287" i="16" s="1"/>
  <c r="H288" i="16" s="1"/>
  <c r="H289" i="16" s="1"/>
  <c r="H290" i="16" s="1"/>
  <c r="H291" i="16" s="1"/>
  <c r="H292" i="16" s="1"/>
  <c r="H293" i="16" s="1"/>
  <c r="H294" i="16" s="1"/>
  <c r="H295" i="16" s="1"/>
  <c r="H296" i="16" s="1"/>
  <c r="H297" i="16" s="1"/>
  <c r="H298" i="16" s="1"/>
  <c r="H299" i="16" s="1"/>
  <c r="H300" i="16" s="1"/>
  <c r="H301" i="16" s="1"/>
  <c r="H302" i="16" s="1"/>
  <c r="H303" i="16" s="1"/>
  <c r="H304" i="16" s="1"/>
  <c r="H305" i="16" s="1"/>
  <c r="H306" i="16" s="1"/>
  <c r="H307" i="16" s="1"/>
  <c r="H308" i="16" s="1"/>
  <c r="H309" i="16" s="1"/>
  <c r="H310" i="16" s="1"/>
  <c r="H311" i="16" s="1"/>
  <c r="H312" i="16" s="1"/>
  <c r="H313" i="16" s="1"/>
  <c r="H314" i="16" s="1"/>
  <c r="H315" i="16" s="1"/>
  <c r="H316" i="16" s="1"/>
  <c r="H317" i="16" s="1"/>
  <c r="H318" i="16" s="1"/>
  <c r="H319" i="16" s="1"/>
  <c r="H320" i="16" s="1"/>
  <c r="H321" i="16" s="1"/>
  <c r="H322" i="16" s="1"/>
  <c r="H323" i="16" s="1"/>
  <c r="H324" i="16" s="1"/>
  <c r="H325" i="16" s="1"/>
  <c r="H326" i="16" s="1"/>
  <c r="H327" i="16" s="1"/>
  <c r="H328" i="16" s="1"/>
  <c r="H329" i="16" s="1"/>
  <c r="H330" i="16" s="1"/>
  <c r="H331" i="16" s="1"/>
  <c r="H332" i="16" s="1"/>
  <c r="H333" i="16" s="1"/>
  <c r="H334" i="16" s="1"/>
  <c r="H335" i="16" s="1"/>
  <c r="H336" i="16" s="1"/>
  <c r="H337" i="16" s="1"/>
  <c r="H338" i="16" s="1"/>
  <c r="H339" i="16" s="1"/>
  <c r="H340" i="16" s="1"/>
  <c r="H341" i="16" s="1"/>
  <c r="H342" i="16" s="1"/>
  <c r="H343" i="16" s="1"/>
  <c r="H344" i="16" s="1"/>
  <c r="H345" i="16" s="1"/>
  <c r="H346" i="16" s="1"/>
  <c r="H347" i="16" s="1"/>
  <c r="H348" i="16" s="1"/>
  <c r="H349" i="16" s="1"/>
  <c r="H350" i="16" s="1"/>
  <c r="H351" i="16" s="1"/>
  <c r="H352" i="16" s="1"/>
  <c r="H353" i="16" s="1"/>
  <c r="H354" i="16" s="1"/>
  <c r="H355" i="16" s="1"/>
  <c r="H356" i="16" s="1"/>
  <c r="H357" i="16" s="1"/>
  <c r="H358" i="16" s="1"/>
  <c r="H359" i="16" s="1"/>
  <c r="H360" i="16" s="1"/>
  <c r="H361" i="16" s="1"/>
  <c r="H362" i="16" s="1"/>
  <c r="H363" i="16" s="1"/>
  <c r="H364" i="16" s="1"/>
  <c r="H365" i="16" s="1"/>
  <c r="H366" i="16" s="1"/>
  <c r="H367" i="16" s="1"/>
  <c r="H368" i="16" s="1"/>
  <c r="H369" i="16" s="1"/>
  <c r="H370" i="16" s="1"/>
  <c r="H371" i="16" s="1"/>
  <c r="K116" i="16"/>
  <c r="J117" i="16"/>
  <c r="J127" i="16"/>
  <c r="K8" i="16" l="1"/>
  <c r="K117" i="16"/>
  <c r="J118" i="16"/>
  <c r="J128" i="16"/>
  <c r="L8" i="16" l="1"/>
  <c r="E125" i="16"/>
  <c r="E126" i="16" s="1"/>
  <c r="E127" i="16" s="1"/>
  <c r="E128" i="16" s="1"/>
  <c r="E129" i="16" s="1"/>
  <c r="E130" i="16" s="1"/>
  <c r="E131" i="16" s="1"/>
  <c r="E132" i="16" s="1"/>
  <c r="E133" i="16" s="1"/>
  <c r="E134" i="16" s="1"/>
  <c r="O8" i="16"/>
  <c r="W19" i="16"/>
  <c r="K118" i="16"/>
  <c r="J119" i="16"/>
  <c r="J129" i="16"/>
  <c r="U19" i="16" l="1"/>
  <c r="U25" i="16" s="1"/>
  <c r="L9" i="16"/>
  <c r="L135" i="16" s="1"/>
  <c r="M8" i="16"/>
  <c r="M9" i="16" s="1"/>
  <c r="M135" i="16" s="1"/>
  <c r="M136" i="16" s="1"/>
  <c r="M137" i="16" s="1"/>
  <c r="M138" i="16" s="1"/>
  <c r="M139" i="16" s="1"/>
  <c r="M140" i="16" s="1"/>
  <c r="M141" i="16" s="1"/>
  <c r="M142" i="16" s="1"/>
  <c r="M143" i="16" s="1"/>
  <c r="M144" i="16" s="1"/>
  <c r="M145" i="16" s="1"/>
  <c r="M146" i="16" s="1"/>
  <c r="M147" i="16" s="1"/>
  <c r="M148" i="16" s="1"/>
  <c r="M149" i="16" s="1"/>
  <c r="M150" i="16" s="1"/>
  <c r="M151" i="16" s="1"/>
  <c r="M152" i="16" s="1"/>
  <c r="M153" i="16" s="1"/>
  <c r="M154" i="16" s="1"/>
  <c r="M155" i="16" s="1"/>
  <c r="M156" i="16" s="1"/>
  <c r="M157" i="16" s="1"/>
  <c r="M158" i="16" s="1"/>
  <c r="M159" i="16" s="1"/>
  <c r="M160" i="16" s="1"/>
  <c r="M161" i="16" s="1"/>
  <c r="M162" i="16" s="1"/>
  <c r="M163" i="16" s="1"/>
  <c r="M164" i="16" s="1"/>
  <c r="M165" i="16" s="1"/>
  <c r="M166" i="16" s="1"/>
  <c r="M167" i="16" s="1"/>
  <c r="M168" i="16" s="1"/>
  <c r="M169" i="16" s="1"/>
  <c r="M170" i="16" s="1"/>
  <c r="M171" i="16" s="1"/>
  <c r="M172" i="16" s="1"/>
  <c r="M173" i="16" s="1"/>
  <c r="M174" i="16" s="1"/>
  <c r="M175" i="16" s="1"/>
  <c r="M176" i="16" s="1"/>
  <c r="M177" i="16" s="1"/>
  <c r="M178" i="16" s="1"/>
  <c r="M179" i="16" s="1"/>
  <c r="M180" i="16" s="1"/>
  <c r="M181" i="16" s="1"/>
  <c r="M182" i="16" s="1"/>
  <c r="M183" i="16" s="1"/>
  <c r="M184" i="16" s="1"/>
  <c r="M185" i="16" s="1"/>
  <c r="M186" i="16" s="1"/>
  <c r="M187" i="16" s="1"/>
  <c r="M188" i="16" s="1"/>
  <c r="M189" i="16" s="1"/>
  <c r="M190" i="16" s="1"/>
  <c r="M191" i="16" s="1"/>
  <c r="M192" i="16" s="1"/>
  <c r="M193" i="16" s="1"/>
  <c r="M194" i="16" s="1"/>
  <c r="M195" i="16" s="1"/>
  <c r="M196" i="16" s="1"/>
  <c r="M197" i="16" s="1"/>
  <c r="M198" i="16" s="1"/>
  <c r="M199" i="16" s="1"/>
  <c r="M200" i="16" s="1"/>
  <c r="M201" i="16" s="1"/>
  <c r="M202" i="16" s="1"/>
  <c r="M203" i="16" s="1"/>
  <c r="M204" i="16" s="1"/>
  <c r="M205" i="16" s="1"/>
  <c r="M206" i="16" s="1"/>
  <c r="M207" i="16" s="1"/>
  <c r="M208" i="16" s="1"/>
  <c r="M209" i="16" s="1"/>
  <c r="M210" i="16" s="1"/>
  <c r="M211" i="16" s="1"/>
  <c r="M212" i="16" s="1"/>
  <c r="M213" i="16" s="1"/>
  <c r="M214" i="16" s="1"/>
  <c r="M215" i="16" s="1"/>
  <c r="M216" i="16" s="1"/>
  <c r="M217" i="16" s="1"/>
  <c r="M218" i="16" s="1"/>
  <c r="M219" i="16" s="1"/>
  <c r="M220" i="16" s="1"/>
  <c r="M221" i="16" s="1"/>
  <c r="M222" i="16" s="1"/>
  <c r="M223" i="16" s="1"/>
  <c r="M224" i="16" s="1"/>
  <c r="M225" i="16" s="1"/>
  <c r="M226" i="16" s="1"/>
  <c r="M227" i="16" s="1"/>
  <c r="M228" i="16" s="1"/>
  <c r="M229" i="16" s="1"/>
  <c r="M230" i="16" s="1"/>
  <c r="M231" i="16" s="1"/>
  <c r="M232" i="16" s="1"/>
  <c r="M233" i="16" s="1"/>
  <c r="M234" i="16" s="1"/>
  <c r="M235" i="16" s="1"/>
  <c r="M236" i="16" s="1"/>
  <c r="M237" i="16" s="1"/>
  <c r="M238" i="16" s="1"/>
  <c r="M239" i="16" s="1"/>
  <c r="M240" i="16" s="1"/>
  <c r="M241" i="16" s="1"/>
  <c r="M242" i="16" s="1"/>
  <c r="M243" i="16" s="1"/>
  <c r="M244" i="16" s="1"/>
  <c r="M245" i="16" s="1"/>
  <c r="M246" i="16" s="1"/>
  <c r="M247" i="16" s="1"/>
  <c r="M248" i="16" s="1"/>
  <c r="M249" i="16" s="1"/>
  <c r="M250" i="16" s="1"/>
  <c r="M251" i="16" s="1"/>
  <c r="M252" i="16" s="1"/>
  <c r="M253" i="16" s="1"/>
  <c r="M254" i="16" s="1"/>
  <c r="M255" i="16" s="1"/>
  <c r="M256" i="16" s="1"/>
  <c r="M257" i="16" s="1"/>
  <c r="M258" i="16" s="1"/>
  <c r="M259" i="16" s="1"/>
  <c r="M260" i="16" s="1"/>
  <c r="M261" i="16" s="1"/>
  <c r="M262" i="16" s="1"/>
  <c r="M263" i="16" s="1"/>
  <c r="M264" i="16" s="1"/>
  <c r="M265" i="16" s="1"/>
  <c r="M266" i="16" s="1"/>
  <c r="M267" i="16" s="1"/>
  <c r="M268" i="16" s="1"/>
  <c r="M269" i="16" s="1"/>
  <c r="M270" i="16" s="1"/>
  <c r="U45" i="16"/>
  <c r="U73" i="16"/>
  <c r="U89" i="16"/>
  <c r="U97" i="16"/>
  <c r="U105" i="16"/>
  <c r="U109" i="16"/>
  <c r="U113" i="16"/>
  <c r="U121" i="16"/>
  <c r="U125" i="16"/>
  <c r="U129" i="16"/>
  <c r="U26" i="16"/>
  <c r="U30" i="16"/>
  <c r="U34" i="16"/>
  <c r="U42" i="16"/>
  <c r="U46" i="16"/>
  <c r="U50" i="16"/>
  <c r="U58" i="16"/>
  <c r="U62" i="16"/>
  <c r="U66" i="16"/>
  <c r="U74" i="16"/>
  <c r="U78" i="16"/>
  <c r="U82" i="16"/>
  <c r="U90" i="16"/>
  <c r="U94" i="16"/>
  <c r="U98" i="16"/>
  <c r="U106" i="16"/>
  <c r="U110" i="16"/>
  <c r="U114" i="16"/>
  <c r="U122" i="16"/>
  <c r="U126" i="16"/>
  <c r="U130" i="16"/>
  <c r="U23" i="16"/>
  <c r="U27" i="16"/>
  <c r="U31" i="16"/>
  <c r="U39" i="16"/>
  <c r="U43" i="16"/>
  <c r="U47" i="16"/>
  <c r="U55" i="16"/>
  <c r="U59" i="16"/>
  <c r="U63" i="16"/>
  <c r="U71" i="16"/>
  <c r="U75" i="16"/>
  <c r="U79" i="16"/>
  <c r="U87" i="16"/>
  <c r="U91" i="16"/>
  <c r="U95" i="16"/>
  <c r="U103" i="16"/>
  <c r="U107" i="16"/>
  <c r="U111" i="16"/>
  <c r="U115" i="16"/>
  <c r="U119" i="16"/>
  <c r="U123" i="16"/>
  <c r="U127" i="16"/>
  <c r="U131" i="16"/>
  <c r="U24" i="16"/>
  <c r="U28" i="16"/>
  <c r="U32" i="16"/>
  <c r="U36" i="16"/>
  <c r="U40" i="16"/>
  <c r="U44" i="16"/>
  <c r="U48" i="16"/>
  <c r="U52" i="16"/>
  <c r="U56" i="16"/>
  <c r="U60" i="16"/>
  <c r="U64" i="16"/>
  <c r="U68" i="16"/>
  <c r="U72" i="16"/>
  <c r="U76" i="16"/>
  <c r="U80" i="16"/>
  <c r="U84" i="16"/>
  <c r="U88" i="16"/>
  <c r="U92" i="16"/>
  <c r="U96" i="16"/>
  <c r="U100" i="16"/>
  <c r="U104" i="16"/>
  <c r="U108" i="16"/>
  <c r="U112" i="16"/>
  <c r="U116" i="16"/>
  <c r="U120" i="16"/>
  <c r="U124" i="16"/>
  <c r="U128" i="16"/>
  <c r="U132" i="16"/>
  <c r="U135" i="16"/>
  <c r="U372" i="16"/>
  <c r="U22" i="16"/>
  <c r="W23" i="16"/>
  <c r="W31" i="16"/>
  <c r="W39" i="16"/>
  <c r="W47" i="16"/>
  <c r="W55" i="16"/>
  <c r="W63" i="16"/>
  <c r="W71" i="16"/>
  <c r="W79" i="16"/>
  <c r="W87" i="16"/>
  <c r="W95" i="16"/>
  <c r="W103" i="16"/>
  <c r="W111" i="16"/>
  <c r="W119" i="16"/>
  <c r="W127" i="16"/>
  <c r="W135" i="16"/>
  <c r="W54" i="16"/>
  <c r="W86" i="16"/>
  <c r="W118" i="16"/>
  <c r="W36" i="16"/>
  <c r="W68" i="16"/>
  <c r="W100" i="16"/>
  <c r="W132" i="16"/>
  <c r="W26" i="16"/>
  <c r="W58" i="16"/>
  <c r="W90" i="16"/>
  <c r="W122" i="16"/>
  <c r="W128" i="16"/>
  <c r="W372" i="16"/>
  <c r="W112" i="16"/>
  <c r="W120" i="16"/>
  <c r="W25" i="16"/>
  <c r="W33" i="16"/>
  <c r="W41" i="16"/>
  <c r="W49" i="16"/>
  <c r="W57" i="16"/>
  <c r="W65" i="16"/>
  <c r="W73" i="16"/>
  <c r="W81" i="16"/>
  <c r="W89" i="16"/>
  <c r="W97" i="16"/>
  <c r="W105" i="16"/>
  <c r="W113" i="16"/>
  <c r="W121" i="16"/>
  <c r="W129" i="16"/>
  <c r="W30" i="16"/>
  <c r="W62" i="16"/>
  <c r="W94" i="16"/>
  <c r="W126" i="16"/>
  <c r="W44" i="16"/>
  <c r="W76" i="16"/>
  <c r="W108" i="16"/>
  <c r="W34" i="16"/>
  <c r="W66" i="16"/>
  <c r="W98" i="16"/>
  <c r="W130" i="16"/>
  <c r="W32" i="16"/>
  <c r="W40" i="16"/>
  <c r="W27" i="16"/>
  <c r="W35" i="16"/>
  <c r="W43" i="16"/>
  <c r="W51" i="16"/>
  <c r="W59" i="16"/>
  <c r="W67" i="16"/>
  <c r="W75" i="16"/>
  <c r="W83" i="16"/>
  <c r="W91" i="16"/>
  <c r="W99" i="16"/>
  <c r="W107" i="16"/>
  <c r="W115" i="16"/>
  <c r="W123" i="16"/>
  <c r="W131" i="16"/>
  <c r="W38" i="16"/>
  <c r="W70" i="16"/>
  <c r="W102" i="16"/>
  <c r="W134" i="16"/>
  <c r="W22" i="16"/>
  <c r="W52" i="16"/>
  <c r="W84" i="16"/>
  <c r="W116" i="16"/>
  <c r="W42" i="16"/>
  <c r="W74" i="16"/>
  <c r="W106" i="16"/>
  <c r="W64" i="16"/>
  <c r="W72" i="16"/>
  <c r="W48" i="16"/>
  <c r="W56" i="16"/>
  <c r="W29" i="16"/>
  <c r="W37" i="16"/>
  <c r="W45" i="16"/>
  <c r="W53" i="16"/>
  <c r="W61" i="16"/>
  <c r="W69" i="16"/>
  <c r="W77" i="16"/>
  <c r="W85" i="16"/>
  <c r="W93" i="16"/>
  <c r="W101" i="16"/>
  <c r="W109" i="16"/>
  <c r="W117" i="16"/>
  <c r="W125" i="16"/>
  <c r="W133" i="16"/>
  <c r="W46" i="16"/>
  <c r="W78" i="16"/>
  <c r="W110" i="16"/>
  <c r="W28" i="16"/>
  <c r="W60" i="16"/>
  <c r="W92" i="16"/>
  <c r="W124" i="16"/>
  <c r="W50" i="16"/>
  <c r="W82" i="16"/>
  <c r="W114" i="16"/>
  <c r="W96" i="16"/>
  <c r="W104" i="16"/>
  <c r="W80" i="16"/>
  <c r="W88" i="16"/>
  <c r="W24" i="16"/>
  <c r="L136" i="16"/>
  <c r="U136" i="16" s="1"/>
  <c r="J120" i="16"/>
  <c r="J121" i="16" s="1"/>
  <c r="K119" i="16"/>
  <c r="J130" i="16"/>
  <c r="U99" i="16" l="1"/>
  <c r="U83" i="16"/>
  <c r="U67" i="16"/>
  <c r="U51" i="16"/>
  <c r="U35" i="16"/>
  <c r="U134" i="16"/>
  <c r="U118" i="16"/>
  <c r="U102" i="16"/>
  <c r="U86" i="16"/>
  <c r="U70" i="16"/>
  <c r="U54" i="16"/>
  <c r="U38" i="16"/>
  <c r="U133" i="16"/>
  <c r="U117" i="16"/>
  <c r="U101" i="16"/>
  <c r="U85" i="16"/>
  <c r="U65" i="16"/>
  <c r="U41" i="16"/>
  <c r="U81" i="16"/>
  <c r="U61" i="16"/>
  <c r="U93" i="16"/>
  <c r="U77" i="16"/>
  <c r="U57" i="16"/>
  <c r="U33" i="16"/>
  <c r="U69" i="16"/>
  <c r="U49" i="16"/>
  <c r="U29" i="16"/>
  <c r="U53" i="16"/>
  <c r="U37" i="16"/>
  <c r="N8" i="16"/>
  <c r="W136" i="16"/>
  <c r="X19" i="16"/>
  <c r="L137" i="16"/>
  <c r="U137" i="16" s="1"/>
  <c r="Z19" i="16"/>
  <c r="K120" i="16"/>
  <c r="K121" i="16" s="1"/>
  <c r="J122" i="16"/>
  <c r="J123" i="16" s="1"/>
  <c r="J131" i="16"/>
  <c r="N9" i="16" l="1"/>
  <c r="N135" i="16" s="1"/>
  <c r="N136" i="16" s="1"/>
  <c r="N137" i="16" s="1"/>
  <c r="P8" i="16"/>
  <c r="Z29" i="16"/>
  <c r="Z45" i="16"/>
  <c r="Z61" i="16"/>
  <c r="Z77" i="16"/>
  <c r="Z93" i="16"/>
  <c r="Z109" i="16"/>
  <c r="Z125" i="16"/>
  <c r="Z26" i="16"/>
  <c r="Z42" i="16"/>
  <c r="Z58" i="16"/>
  <c r="Z74" i="16"/>
  <c r="Z90" i="16"/>
  <c r="Z106" i="16"/>
  <c r="Z122" i="16"/>
  <c r="Z27" i="16"/>
  <c r="Z43" i="16"/>
  <c r="Z63" i="16"/>
  <c r="Z95" i="16"/>
  <c r="Z127" i="16"/>
  <c r="Z64" i="16"/>
  <c r="Z96" i="16"/>
  <c r="Z128" i="16"/>
  <c r="Z372" i="16"/>
  <c r="Z59" i="16"/>
  <c r="Z91" i="16"/>
  <c r="Z123" i="16"/>
  <c r="Z52" i="16"/>
  <c r="Z84" i="16"/>
  <c r="Z116" i="16"/>
  <c r="Z25" i="16"/>
  <c r="Z49" i="16"/>
  <c r="Z69" i="16"/>
  <c r="Z89" i="16"/>
  <c r="Z113" i="16"/>
  <c r="Z133" i="16"/>
  <c r="Z30" i="16"/>
  <c r="Z50" i="16"/>
  <c r="Z70" i="16"/>
  <c r="Z94" i="16"/>
  <c r="Z114" i="16"/>
  <c r="Z134" i="16"/>
  <c r="Z35" i="16"/>
  <c r="Z55" i="16"/>
  <c r="Z103" i="16"/>
  <c r="Z48" i="16"/>
  <c r="Z88" i="16"/>
  <c r="Z24" i="16"/>
  <c r="Z75" i="16"/>
  <c r="Z115" i="16"/>
  <c r="Z60" i="16"/>
  <c r="Z100" i="16"/>
  <c r="Z22" i="16"/>
  <c r="Z108" i="16"/>
  <c r="Z81" i="16"/>
  <c r="Z62" i="16"/>
  <c r="Z102" i="16"/>
  <c r="Z126" i="16"/>
  <c r="Z33" i="16"/>
  <c r="Z53" i="16"/>
  <c r="Z73" i="16"/>
  <c r="Z97" i="16"/>
  <c r="Z117" i="16"/>
  <c r="Z34" i="16"/>
  <c r="Z54" i="16"/>
  <c r="Z78" i="16"/>
  <c r="Z98" i="16"/>
  <c r="Z118" i="16"/>
  <c r="Z39" i="16"/>
  <c r="Z71" i="16"/>
  <c r="Z111" i="16"/>
  <c r="Z56" i="16"/>
  <c r="Z104" i="16"/>
  <c r="Z40" i="16"/>
  <c r="Z83" i="16"/>
  <c r="Z131" i="16"/>
  <c r="Z68" i="16"/>
  <c r="Z37" i="16"/>
  <c r="Z57" i="16"/>
  <c r="Z101" i="16"/>
  <c r="Z121" i="16"/>
  <c r="Z38" i="16"/>
  <c r="Z82" i="16"/>
  <c r="Z41" i="16"/>
  <c r="Z129" i="16"/>
  <c r="Z46" i="16"/>
  <c r="Z130" i="16"/>
  <c r="Z32" i="16"/>
  <c r="Z119" i="16"/>
  <c r="Z112" i="16"/>
  <c r="Z99" i="16"/>
  <c r="Z76" i="16"/>
  <c r="Z86" i="16"/>
  <c r="Z79" i="16"/>
  <c r="Z28" i="16"/>
  <c r="Z105" i="16"/>
  <c r="Z87" i="16"/>
  <c r="Z44" i="16"/>
  <c r="Z65" i="16"/>
  <c r="Z66" i="16"/>
  <c r="Z47" i="16"/>
  <c r="Z36" i="16"/>
  <c r="Z120" i="16"/>
  <c r="Z107" i="16"/>
  <c r="Z92" i="16"/>
  <c r="Z85" i="16"/>
  <c r="Z23" i="16"/>
  <c r="Z72" i="16"/>
  <c r="Z51" i="16"/>
  <c r="Z124" i="16"/>
  <c r="Z110" i="16"/>
  <c r="Z31" i="16"/>
  <c r="Z80" i="16"/>
  <c r="Z67" i="16"/>
  <c r="Z132" i="16"/>
  <c r="W137" i="16"/>
  <c r="X23" i="16"/>
  <c r="X27" i="16"/>
  <c r="X31" i="16"/>
  <c r="X35" i="16"/>
  <c r="X39" i="16"/>
  <c r="X43" i="16"/>
  <c r="X47" i="16"/>
  <c r="X51" i="16"/>
  <c r="X55" i="16"/>
  <c r="X59" i="16"/>
  <c r="X63" i="16"/>
  <c r="X67" i="16"/>
  <c r="X71" i="16"/>
  <c r="X75" i="16"/>
  <c r="X79" i="16"/>
  <c r="X83" i="16"/>
  <c r="X87" i="16"/>
  <c r="X91" i="16"/>
  <c r="X95" i="16"/>
  <c r="X99" i="16"/>
  <c r="X103" i="16"/>
  <c r="X107" i="16"/>
  <c r="X111" i="16"/>
  <c r="X115" i="16"/>
  <c r="X119" i="16"/>
  <c r="X123" i="16"/>
  <c r="X127" i="16"/>
  <c r="X131" i="16"/>
  <c r="X24" i="16"/>
  <c r="X28" i="16"/>
  <c r="X32" i="16"/>
  <c r="X36" i="16"/>
  <c r="X40" i="16"/>
  <c r="X44" i="16"/>
  <c r="X48" i="16"/>
  <c r="X52" i="16"/>
  <c r="X56" i="16"/>
  <c r="X60" i="16"/>
  <c r="X64" i="16"/>
  <c r="X68" i="16"/>
  <c r="X72" i="16"/>
  <c r="X76" i="16"/>
  <c r="X80" i="16"/>
  <c r="X84" i="16"/>
  <c r="X88" i="16"/>
  <c r="X92" i="16"/>
  <c r="X96" i="16"/>
  <c r="X100" i="16"/>
  <c r="X104" i="16"/>
  <c r="X108" i="16"/>
  <c r="X112" i="16"/>
  <c r="X116" i="16"/>
  <c r="X120" i="16"/>
  <c r="X124" i="16"/>
  <c r="X128" i="16"/>
  <c r="X25" i="16"/>
  <c r="X29" i="16"/>
  <c r="X33" i="16"/>
  <c r="X37" i="16"/>
  <c r="X41" i="16"/>
  <c r="X45" i="16"/>
  <c r="X49" i="16"/>
  <c r="X53" i="16"/>
  <c r="X57" i="16"/>
  <c r="X61" i="16"/>
  <c r="X65" i="16"/>
  <c r="X69" i="16"/>
  <c r="X73" i="16"/>
  <c r="X77" i="16"/>
  <c r="X81" i="16"/>
  <c r="X85" i="16"/>
  <c r="X89" i="16"/>
  <c r="X93" i="16"/>
  <c r="X97" i="16"/>
  <c r="X101" i="16"/>
  <c r="X105" i="16"/>
  <c r="X109" i="16"/>
  <c r="X113" i="16"/>
  <c r="X117" i="16"/>
  <c r="X121" i="16"/>
  <c r="X125" i="16"/>
  <c r="X129" i="16"/>
  <c r="X26" i="16"/>
  <c r="X30" i="16"/>
  <c r="X34" i="16"/>
  <c r="X38" i="16"/>
  <c r="X42" i="16"/>
  <c r="X46" i="16"/>
  <c r="X50" i="16"/>
  <c r="X54" i="16"/>
  <c r="X58" i="16"/>
  <c r="X62" i="16"/>
  <c r="X66" i="16"/>
  <c r="X70" i="16"/>
  <c r="X74" i="16"/>
  <c r="X78" i="16"/>
  <c r="X82" i="16"/>
  <c r="X86" i="16"/>
  <c r="X90" i="16"/>
  <c r="X94" i="16"/>
  <c r="X98" i="16"/>
  <c r="X102" i="16"/>
  <c r="X106" i="16"/>
  <c r="X110" i="16"/>
  <c r="X114" i="16"/>
  <c r="X118" i="16"/>
  <c r="X122" i="16"/>
  <c r="X126" i="16"/>
  <c r="X130" i="16"/>
  <c r="X22" i="16"/>
  <c r="X372" i="16"/>
  <c r="L138" i="16"/>
  <c r="U138" i="16" s="1"/>
  <c r="N138" i="16"/>
  <c r="K122" i="16"/>
  <c r="K123" i="16" s="1"/>
  <c r="K124" i="16" s="1"/>
  <c r="K125" i="16" s="1"/>
  <c r="K126" i="16" s="1"/>
  <c r="K127" i="16" s="1"/>
  <c r="K128" i="16" s="1"/>
  <c r="K129" i="16" s="1"/>
  <c r="K130" i="16" s="1"/>
  <c r="K131" i="16" s="1"/>
  <c r="K132" i="16" s="1"/>
  <c r="J132" i="16"/>
  <c r="V19" i="16" l="1"/>
  <c r="P9" i="16"/>
  <c r="P135" i="16" s="1"/>
  <c r="P136" i="16" s="1"/>
  <c r="P137" i="16" s="1"/>
  <c r="Y137" i="16" s="1"/>
  <c r="R8" i="16"/>
  <c r="S8" i="16"/>
  <c r="Y19" i="16"/>
  <c r="X132" i="16"/>
  <c r="V132" i="16"/>
  <c r="W138" i="16"/>
  <c r="N139" i="16"/>
  <c r="L139" i="16"/>
  <c r="U139" i="16" s="1"/>
  <c r="K133" i="16"/>
  <c r="J133" i="16"/>
  <c r="P138" i="16" l="1"/>
  <c r="Y138" i="16" s="1"/>
  <c r="Y26" i="16"/>
  <c r="Y42" i="16"/>
  <c r="Y58" i="16"/>
  <c r="Y74" i="16"/>
  <c r="Y90" i="16"/>
  <c r="Y106" i="16"/>
  <c r="Y122" i="16"/>
  <c r="Y23" i="16"/>
  <c r="Y39" i="16"/>
  <c r="Y55" i="16"/>
  <c r="Y71" i="16"/>
  <c r="Y87" i="16"/>
  <c r="Y103" i="16"/>
  <c r="Y119" i="16"/>
  <c r="Y135" i="16"/>
  <c r="Y36" i="16"/>
  <c r="Y52" i="16"/>
  <c r="Y68" i="16"/>
  <c r="Y84" i="16"/>
  <c r="Y100" i="16"/>
  <c r="Y116" i="16"/>
  <c r="Y132" i="16"/>
  <c r="Y37" i="16"/>
  <c r="Y53" i="16"/>
  <c r="Y69" i="16"/>
  <c r="Y85" i="16"/>
  <c r="Y101" i="16"/>
  <c r="Y117" i="16"/>
  <c r="Y133" i="16"/>
  <c r="Y30" i="16"/>
  <c r="Y46" i="16"/>
  <c r="Y62" i="16"/>
  <c r="Y78" i="16"/>
  <c r="Y94" i="16"/>
  <c r="Y110" i="16"/>
  <c r="Y126" i="16"/>
  <c r="Y27" i="16"/>
  <c r="Y43" i="16"/>
  <c r="Y59" i="16"/>
  <c r="Y75" i="16"/>
  <c r="Y91" i="16"/>
  <c r="Y107" i="16"/>
  <c r="Y123" i="16"/>
  <c r="Y24" i="16"/>
  <c r="Y40" i="16"/>
  <c r="Y56" i="16"/>
  <c r="Y72" i="16"/>
  <c r="Y88" i="16"/>
  <c r="Y104" i="16"/>
  <c r="Y120" i="16"/>
  <c r="Y25" i="16"/>
  <c r="Y41" i="16"/>
  <c r="Y57" i="16"/>
  <c r="Y73" i="16"/>
  <c r="Y89" i="16"/>
  <c r="Y105" i="16"/>
  <c r="Y121" i="16"/>
  <c r="Y136" i="16"/>
  <c r="Y34" i="16"/>
  <c r="Y50" i="16"/>
  <c r="Y66" i="16"/>
  <c r="Y82" i="16"/>
  <c r="Y98" i="16"/>
  <c r="Y114" i="16"/>
  <c r="Y130" i="16"/>
  <c r="Y31" i="16"/>
  <c r="Y47" i="16"/>
  <c r="Y63" i="16"/>
  <c r="Y79" i="16"/>
  <c r="Y95" i="16"/>
  <c r="Y111" i="16"/>
  <c r="Y127" i="16"/>
  <c r="Y28" i="16"/>
  <c r="Y44" i="16"/>
  <c r="Y60" i="16"/>
  <c r="Y76" i="16"/>
  <c r="Y92" i="16"/>
  <c r="Y108" i="16"/>
  <c r="Y124" i="16"/>
  <c r="Y29" i="16"/>
  <c r="Y45" i="16"/>
  <c r="Y61" i="16"/>
  <c r="Y77" i="16"/>
  <c r="Y93" i="16"/>
  <c r="Y109" i="16"/>
  <c r="Y125" i="16"/>
  <c r="Y372" i="16"/>
  <c r="Y38" i="16"/>
  <c r="Y54" i="16"/>
  <c r="Y70" i="16"/>
  <c r="Y86" i="16"/>
  <c r="Y102" i="16"/>
  <c r="Y118" i="16"/>
  <c r="Y134" i="16"/>
  <c r="Y35" i="16"/>
  <c r="Y51" i="16"/>
  <c r="Y67" i="16"/>
  <c r="Y83" i="16"/>
  <c r="Y99" i="16"/>
  <c r="Y115" i="16"/>
  <c r="Y131" i="16"/>
  <c r="Y32" i="16"/>
  <c r="Y48" i="16"/>
  <c r="Y64" i="16"/>
  <c r="Y80" i="16"/>
  <c r="Y96" i="16"/>
  <c r="Y112" i="16"/>
  <c r="Y128" i="16"/>
  <c r="Y33" i="16"/>
  <c r="Y49" i="16"/>
  <c r="Y65" i="16"/>
  <c r="Y81" i="16"/>
  <c r="Y97" i="16"/>
  <c r="Y113" i="16"/>
  <c r="Y129" i="16"/>
  <c r="Y22" i="16"/>
  <c r="V38" i="16"/>
  <c r="V55" i="16"/>
  <c r="V22" i="16"/>
  <c r="V73" i="16"/>
  <c r="V94" i="16"/>
  <c r="V53" i="16"/>
  <c r="V113" i="16"/>
  <c r="V128" i="16"/>
  <c r="V81" i="16"/>
  <c r="V79" i="16"/>
  <c r="V66" i="16"/>
  <c r="V372" i="16"/>
  <c r="V120" i="16"/>
  <c r="V33" i="16"/>
  <c r="V118" i="16"/>
  <c r="V57" i="16"/>
  <c r="V39" i="16"/>
  <c r="V41" i="16"/>
  <c r="V37" i="16"/>
  <c r="V105" i="16"/>
  <c r="V27" i="16"/>
  <c r="V129" i="16"/>
  <c r="V95" i="16"/>
  <c r="V82" i="16"/>
  <c r="V125" i="16"/>
  <c r="V104" i="16"/>
  <c r="V76" i="16"/>
  <c r="V102" i="16"/>
  <c r="V110" i="16"/>
  <c r="V63" i="16"/>
  <c r="V50" i="16"/>
  <c r="V72" i="16"/>
  <c r="V115" i="16"/>
  <c r="V29" i="16"/>
  <c r="V42" i="16"/>
  <c r="V126" i="16"/>
  <c r="V85" i="16"/>
  <c r="V119" i="16"/>
  <c r="V32" i="16"/>
  <c r="V87" i="16"/>
  <c r="V65" i="16"/>
  <c r="V100" i="16"/>
  <c r="V47" i="16"/>
  <c r="V34" i="16"/>
  <c r="V109" i="16"/>
  <c r="V88" i="16"/>
  <c r="V99" i="16"/>
  <c r="V86" i="16"/>
  <c r="V68" i="16"/>
  <c r="V90" i="16"/>
  <c r="V84" i="16"/>
  <c r="V112" i="16"/>
  <c r="V124" i="16"/>
  <c r="V25" i="16"/>
  <c r="V93" i="16"/>
  <c r="V70" i="16"/>
  <c r="V117" i="16"/>
  <c r="V44" i="16"/>
  <c r="V64" i="16"/>
  <c r="V106" i="16"/>
  <c r="V75" i="16"/>
  <c r="V74" i="16"/>
  <c r="V43" i="16"/>
  <c r="V36" i="16"/>
  <c r="V130" i="16"/>
  <c r="V49" i="16"/>
  <c r="V77" i="16"/>
  <c r="V56" i="16"/>
  <c r="V67" i="16"/>
  <c r="V54" i="16"/>
  <c r="V103" i="16"/>
  <c r="V58" i="16"/>
  <c r="V101" i="16"/>
  <c r="V80" i="16"/>
  <c r="V91" i="16"/>
  <c r="V78" i="16"/>
  <c r="V52" i="16"/>
  <c r="V31" i="16"/>
  <c r="V97" i="16"/>
  <c r="V61" i="16"/>
  <c r="V40" i="16"/>
  <c r="V83" i="16"/>
  <c r="V116" i="16"/>
  <c r="V96" i="16"/>
  <c r="V23" i="16"/>
  <c r="V107" i="16"/>
  <c r="V108" i="16"/>
  <c r="V62" i="16"/>
  <c r="V28" i="16"/>
  <c r="V30" i="16"/>
  <c r="V111" i="16"/>
  <c r="V98" i="16"/>
  <c r="V92" i="16"/>
  <c r="V45" i="16"/>
  <c r="V24" i="16"/>
  <c r="V35" i="16"/>
  <c r="V121" i="16"/>
  <c r="V71" i="16"/>
  <c r="V26" i="16"/>
  <c r="V69" i="16"/>
  <c r="V48" i="16"/>
  <c r="V59" i="16"/>
  <c r="V46" i="16"/>
  <c r="V127" i="16"/>
  <c r="V114" i="16"/>
  <c r="V60" i="16"/>
  <c r="V89" i="16"/>
  <c r="V51" i="16"/>
  <c r="V122" i="16"/>
  <c r="V131" i="16"/>
  <c r="V123" i="16"/>
  <c r="X133" i="16"/>
  <c r="V133" i="16"/>
  <c r="L140" i="16"/>
  <c r="U140" i="16" s="1"/>
  <c r="W139" i="16"/>
  <c r="N140" i="16"/>
  <c r="P139" i="16"/>
  <c r="Y139" i="16" s="1"/>
  <c r="K134" i="16"/>
  <c r="K135" i="16" s="1"/>
  <c r="K136" i="16" s="1"/>
  <c r="K137" i="16" s="1"/>
  <c r="K138" i="16" s="1"/>
  <c r="K139" i="16" s="1"/>
  <c r="K140" i="16" s="1"/>
  <c r="K141" i="16" s="1"/>
  <c r="K142" i="16" s="1"/>
  <c r="K143" i="16" s="1"/>
  <c r="K144" i="16" s="1"/>
  <c r="K145" i="16" s="1"/>
  <c r="K146" i="16" s="1"/>
  <c r="K147" i="16" s="1"/>
  <c r="K148" i="16" s="1"/>
  <c r="K149" i="16" s="1"/>
  <c r="K150" i="16" s="1"/>
  <c r="K151" i="16" s="1"/>
  <c r="K152" i="16" s="1"/>
  <c r="K153" i="16" s="1"/>
  <c r="K154" i="16" s="1"/>
  <c r="K155" i="16" s="1"/>
  <c r="K156" i="16" s="1"/>
  <c r="K157" i="16" s="1"/>
  <c r="K158" i="16" s="1"/>
  <c r="K159" i="16" s="1"/>
  <c r="K160" i="16" s="1"/>
  <c r="K161" i="16" s="1"/>
  <c r="K162" i="16" s="1"/>
  <c r="K163" i="16" s="1"/>
  <c r="K164" i="16" s="1"/>
  <c r="K165" i="16" s="1"/>
  <c r="K166" i="16" s="1"/>
  <c r="K167" i="16" s="1"/>
  <c r="K168" i="16" s="1"/>
  <c r="K169" i="16" s="1"/>
  <c r="K170" i="16" s="1"/>
  <c r="K171" i="16" s="1"/>
  <c r="K172" i="16" s="1"/>
  <c r="K173" i="16" s="1"/>
  <c r="K174" i="16" s="1"/>
  <c r="K175" i="16" s="1"/>
  <c r="K176" i="16" s="1"/>
  <c r="K177" i="16" s="1"/>
  <c r="K178" i="16" s="1"/>
  <c r="K179" i="16" s="1"/>
  <c r="K180" i="16" s="1"/>
  <c r="K181" i="16" s="1"/>
  <c r="K182" i="16" s="1"/>
  <c r="K183" i="16" s="1"/>
  <c r="K184" i="16" s="1"/>
  <c r="K185" i="16" s="1"/>
  <c r="K186" i="16" s="1"/>
  <c r="K187" i="16" s="1"/>
  <c r="K188" i="16" s="1"/>
  <c r="K189" i="16" s="1"/>
  <c r="K190" i="16" s="1"/>
  <c r="K191" i="16" s="1"/>
  <c r="K192" i="16" s="1"/>
  <c r="K193" i="16" s="1"/>
  <c r="K194" i="16" s="1"/>
  <c r="K195" i="16" s="1"/>
  <c r="K196" i="16" s="1"/>
  <c r="K197" i="16" s="1"/>
  <c r="K198" i="16" s="1"/>
  <c r="K199" i="16" s="1"/>
  <c r="K200" i="16" s="1"/>
  <c r="K201" i="16" s="1"/>
  <c r="K202" i="16" s="1"/>
  <c r="K203" i="16" s="1"/>
  <c r="K204" i="16" s="1"/>
  <c r="K205" i="16" s="1"/>
  <c r="K206" i="16" s="1"/>
  <c r="K207" i="16" s="1"/>
  <c r="K208" i="16" s="1"/>
  <c r="K209" i="16" s="1"/>
  <c r="K210" i="16" s="1"/>
  <c r="K211" i="16" s="1"/>
  <c r="K212" i="16" s="1"/>
  <c r="K213" i="16" s="1"/>
  <c r="K214" i="16" s="1"/>
  <c r="K215" i="16" s="1"/>
  <c r="K216" i="16" s="1"/>
  <c r="K217" i="16" s="1"/>
  <c r="K218" i="16" s="1"/>
  <c r="K219" i="16" s="1"/>
  <c r="K220" i="16" s="1"/>
  <c r="K221" i="16" s="1"/>
  <c r="K222" i="16" s="1"/>
  <c r="K223" i="16" s="1"/>
  <c r="K224" i="16" s="1"/>
  <c r="K225" i="16" s="1"/>
  <c r="K226" i="16" s="1"/>
  <c r="K227" i="16" s="1"/>
  <c r="K228" i="16" s="1"/>
  <c r="K229" i="16" s="1"/>
  <c r="K230" i="16" s="1"/>
  <c r="K231" i="16" s="1"/>
  <c r="K232" i="16" s="1"/>
  <c r="K233" i="16" s="1"/>
  <c r="K234" i="16" s="1"/>
  <c r="K235" i="16" s="1"/>
  <c r="K236" i="16" s="1"/>
  <c r="K237" i="16" s="1"/>
  <c r="K238" i="16" s="1"/>
  <c r="K239" i="16" s="1"/>
  <c r="K240" i="16" s="1"/>
  <c r="K241" i="16" s="1"/>
  <c r="K242" i="16" s="1"/>
  <c r="K243" i="16" s="1"/>
  <c r="K244" i="16" s="1"/>
  <c r="K245" i="16" s="1"/>
  <c r="K246" i="16" s="1"/>
  <c r="K247" i="16" s="1"/>
  <c r="K248" i="16" s="1"/>
  <c r="K249" i="16" s="1"/>
  <c r="K250" i="16" s="1"/>
  <c r="K251" i="16" s="1"/>
  <c r="K252" i="16" s="1"/>
  <c r="K253" i="16" s="1"/>
  <c r="K254" i="16" s="1"/>
  <c r="K255" i="16" s="1"/>
  <c r="K256" i="16" s="1"/>
  <c r="K257" i="16" s="1"/>
  <c r="K258" i="16" s="1"/>
  <c r="K259" i="16" s="1"/>
  <c r="K260" i="16" s="1"/>
  <c r="K261" i="16" s="1"/>
  <c r="K262" i="16" s="1"/>
  <c r="K263" i="16" s="1"/>
  <c r="K264" i="16" s="1"/>
  <c r="K265" i="16" s="1"/>
  <c r="K266" i="16" s="1"/>
  <c r="K267" i="16" s="1"/>
  <c r="K268" i="16" s="1"/>
  <c r="K269" i="16" s="1"/>
  <c r="K270" i="16" s="1"/>
  <c r="K271" i="16" s="1"/>
  <c r="K272" i="16" s="1"/>
  <c r="K273" i="16" s="1"/>
  <c r="K274" i="16" s="1"/>
  <c r="K275" i="16" s="1"/>
  <c r="K276" i="16" s="1"/>
  <c r="K277" i="16" s="1"/>
  <c r="K278" i="16" s="1"/>
  <c r="K279" i="16" s="1"/>
  <c r="K280" i="16" s="1"/>
  <c r="K281" i="16" s="1"/>
  <c r="K282" i="16" s="1"/>
  <c r="K283" i="16" s="1"/>
  <c r="K284" i="16" s="1"/>
  <c r="K285" i="16" s="1"/>
  <c r="K286" i="16" s="1"/>
  <c r="K287" i="16" s="1"/>
  <c r="K288" i="16" s="1"/>
  <c r="K289" i="16" s="1"/>
  <c r="K290" i="16" s="1"/>
  <c r="K291" i="16" s="1"/>
  <c r="K292" i="16" s="1"/>
  <c r="K293" i="16" s="1"/>
  <c r="K294" i="16" s="1"/>
  <c r="K295" i="16" s="1"/>
  <c r="K296" i="16" s="1"/>
  <c r="K297" i="16" s="1"/>
  <c r="K298" i="16" s="1"/>
  <c r="K299" i="16" s="1"/>
  <c r="K300" i="16" s="1"/>
  <c r="K301" i="16" s="1"/>
  <c r="K302" i="16" s="1"/>
  <c r="K303" i="16" s="1"/>
  <c r="K304" i="16" s="1"/>
  <c r="K305" i="16" s="1"/>
  <c r="K306" i="16" s="1"/>
  <c r="K307" i="16" s="1"/>
  <c r="K308" i="16" s="1"/>
  <c r="K309" i="16" s="1"/>
  <c r="K310" i="16" s="1"/>
  <c r="K311" i="16" s="1"/>
  <c r="K312" i="16" s="1"/>
  <c r="K313" i="16" s="1"/>
  <c r="K314" i="16" s="1"/>
  <c r="K315" i="16" s="1"/>
  <c r="K316" i="16" s="1"/>
  <c r="K317" i="16" s="1"/>
  <c r="K318" i="16" s="1"/>
  <c r="K319" i="16" s="1"/>
  <c r="K320" i="16" s="1"/>
  <c r="K321" i="16" s="1"/>
  <c r="K322" i="16" s="1"/>
  <c r="K323" i="16" s="1"/>
  <c r="K324" i="16" s="1"/>
  <c r="K325" i="16" s="1"/>
  <c r="K326" i="16" s="1"/>
  <c r="K327" i="16" s="1"/>
  <c r="K328" i="16" s="1"/>
  <c r="K329" i="16" s="1"/>
  <c r="K330" i="16" s="1"/>
  <c r="K331" i="16" s="1"/>
  <c r="K332" i="16" s="1"/>
  <c r="K333" i="16" s="1"/>
  <c r="K334" i="16" s="1"/>
  <c r="K335" i="16" s="1"/>
  <c r="K336" i="16" s="1"/>
  <c r="K337" i="16" s="1"/>
  <c r="K338" i="16" s="1"/>
  <c r="K339" i="16" s="1"/>
  <c r="K340" i="16" s="1"/>
  <c r="K341" i="16" s="1"/>
  <c r="K342" i="16" s="1"/>
  <c r="K343" i="16" s="1"/>
  <c r="K344" i="16" s="1"/>
  <c r="K345" i="16" s="1"/>
  <c r="K346" i="16" s="1"/>
  <c r="K347" i="16" s="1"/>
  <c r="K348" i="16" s="1"/>
  <c r="K349" i="16" s="1"/>
  <c r="K350" i="16" s="1"/>
  <c r="K351" i="16" s="1"/>
  <c r="K352" i="16" s="1"/>
  <c r="K353" i="16" s="1"/>
  <c r="K354" i="16" s="1"/>
  <c r="K355" i="16" s="1"/>
  <c r="K356" i="16" s="1"/>
  <c r="K357" i="16" s="1"/>
  <c r="K358" i="16" s="1"/>
  <c r="K359" i="16" s="1"/>
  <c r="K360" i="16" s="1"/>
  <c r="K361" i="16" s="1"/>
  <c r="K362" i="16" s="1"/>
  <c r="K363" i="16" s="1"/>
  <c r="K364" i="16" s="1"/>
  <c r="K365" i="16" s="1"/>
  <c r="K366" i="16" s="1"/>
  <c r="K367" i="16" s="1"/>
  <c r="K368" i="16" s="1"/>
  <c r="K369" i="16" s="1"/>
  <c r="K370" i="16" s="1"/>
  <c r="K371" i="16" s="1"/>
  <c r="J134" i="16"/>
  <c r="T23" i="16" l="1"/>
  <c r="R23" i="16" s="1"/>
  <c r="X134" i="16"/>
  <c r="V134" i="16"/>
  <c r="L141" i="16"/>
  <c r="U141" i="16" s="1"/>
  <c r="W140" i="16"/>
  <c r="N141" i="16"/>
  <c r="P140" i="16"/>
  <c r="Y140" i="16" s="1"/>
  <c r="J135" i="16"/>
  <c r="S23" i="16" l="1"/>
  <c r="T24" i="16"/>
  <c r="R24" i="16" s="1"/>
  <c r="X135" i="16"/>
  <c r="V135" i="16"/>
  <c r="L142" i="16"/>
  <c r="U142" i="16" s="1"/>
  <c r="W141" i="16"/>
  <c r="N142" i="16"/>
  <c r="P141" i="16"/>
  <c r="Y141" i="16" s="1"/>
  <c r="J136" i="16"/>
  <c r="S24" i="16" l="1"/>
  <c r="T25" i="16"/>
  <c r="S25" i="16" s="1"/>
  <c r="L143" i="16"/>
  <c r="U143" i="16" s="1"/>
  <c r="X136" i="16"/>
  <c r="V136" i="16"/>
  <c r="W142" i="16"/>
  <c r="N143" i="16"/>
  <c r="N144" i="16" s="1"/>
  <c r="P142" i="16"/>
  <c r="Y142" i="16" s="1"/>
  <c r="J137" i="16"/>
  <c r="L144" i="16" l="1"/>
  <c r="U144" i="16" s="1"/>
  <c r="R25" i="16"/>
  <c r="T26" i="16"/>
  <c r="T27" i="16" s="1"/>
  <c r="T28" i="16" s="1"/>
  <c r="X137" i="16"/>
  <c r="V137" i="16"/>
  <c r="W144" i="16"/>
  <c r="W143" i="16"/>
  <c r="L145" i="16"/>
  <c r="U145" i="16" s="1"/>
  <c r="P143" i="16"/>
  <c r="Y143" i="16" s="1"/>
  <c r="N145" i="16"/>
  <c r="J138" i="16"/>
  <c r="R27" i="16" l="1"/>
  <c r="S27" i="16"/>
  <c r="R26" i="16"/>
  <c r="S26" i="16"/>
  <c r="X138" i="16"/>
  <c r="V138" i="16"/>
  <c r="W145" i="16"/>
  <c r="T29" i="16"/>
  <c r="R28" i="16"/>
  <c r="S28" i="16"/>
  <c r="L146" i="16"/>
  <c r="U146" i="16" s="1"/>
  <c r="P144" i="16"/>
  <c r="Y144" i="16" s="1"/>
  <c r="N146" i="16"/>
  <c r="J139" i="16"/>
  <c r="X139" i="16" l="1"/>
  <c r="V139" i="16"/>
  <c r="W146" i="16"/>
  <c r="T30" i="16"/>
  <c r="R29" i="16"/>
  <c r="S29" i="16"/>
  <c r="L147" i="16"/>
  <c r="U147" i="16" s="1"/>
  <c r="P145" i="16"/>
  <c r="Y145" i="16" s="1"/>
  <c r="N147" i="16"/>
  <c r="J140" i="16"/>
  <c r="X140" i="16" l="1"/>
  <c r="V140" i="16"/>
  <c r="W147" i="16"/>
  <c r="T31" i="16"/>
  <c r="R30" i="16"/>
  <c r="S30" i="16"/>
  <c r="L148" i="16"/>
  <c r="U148" i="16" s="1"/>
  <c r="P146" i="16"/>
  <c r="Y146" i="16" s="1"/>
  <c r="N148" i="16"/>
  <c r="J141" i="16"/>
  <c r="X141" i="16" l="1"/>
  <c r="V141" i="16"/>
  <c r="W148" i="16"/>
  <c r="T32" i="16"/>
  <c r="R31" i="16"/>
  <c r="S31" i="16"/>
  <c r="L149" i="16"/>
  <c r="U149" i="16" s="1"/>
  <c r="P147" i="16"/>
  <c r="Y147" i="16" s="1"/>
  <c r="N149" i="16"/>
  <c r="J142" i="16"/>
  <c r="X142" i="16" l="1"/>
  <c r="V142" i="16"/>
  <c r="W149" i="16"/>
  <c r="T33" i="16"/>
  <c r="R32" i="16"/>
  <c r="S32" i="16"/>
  <c r="L150" i="16"/>
  <c r="U150" i="16" s="1"/>
  <c r="P148" i="16"/>
  <c r="Y148" i="16" s="1"/>
  <c r="N150" i="16"/>
  <c r="J143" i="16"/>
  <c r="X143" i="16" l="1"/>
  <c r="V143" i="16"/>
  <c r="W150" i="16"/>
  <c r="T34" i="16"/>
  <c r="R33" i="16"/>
  <c r="S33" i="16"/>
  <c r="L151" i="16"/>
  <c r="U151" i="16" s="1"/>
  <c r="P149" i="16"/>
  <c r="Y149" i="16" s="1"/>
  <c r="N151" i="16"/>
  <c r="J144" i="16"/>
  <c r="X144" i="16" l="1"/>
  <c r="V144" i="16"/>
  <c r="W151" i="16"/>
  <c r="T35" i="16"/>
  <c r="R34" i="16"/>
  <c r="S34" i="16"/>
  <c r="L152" i="16"/>
  <c r="U152" i="16" s="1"/>
  <c r="P150" i="16"/>
  <c r="Y150" i="16" s="1"/>
  <c r="N152" i="16"/>
  <c r="J145" i="16"/>
  <c r="X145" i="16" l="1"/>
  <c r="V145" i="16"/>
  <c r="W152" i="16"/>
  <c r="T36" i="16"/>
  <c r="R35" i="16"/>
  <c r="S35" i="16"/>
  <c r="L153" i="16"/>
  <c r="U153" i="16" s="1"/>
  <c r="P151" i="16"/>
  <c r="Y151" i="16" s="1"/>
  <c r="N153" i="16"/>
  <c r="J146" i="16"/>
  <c r="X146" i="16" l="1"/>
  <c r="V146" i="16"/>
  <c r="W153" i="16"/>
  <c r="T37" i="16"/>
  <c r="R36" i="16"/>
  <c r="S36" i="16"/>
  <c r="L154" i="16"/>
  <c r="U154" i="16" s="1"/>
  <c r="P152" i="16"/>
  <c r="Y152" i="16" s="1"/>
  <c r="N154" i="16"/>
  <c r="J147" i="16"/>
  <c r="X147" i="16" l="1"/>
  <c r="V147" i="16"/>
  <c r="W154" i="16"/>
  <c r="T38" i="16"/>
  <c r="R37" i="16"/>
  <c r="S37" i="16"/>
  <c r="L155" i="16"/>
  <c r="U155" i="16" s="1"/>
  <c r="P153" i="16"/>
  <c r="Y153" i="16" s="1"/>
  <c r="N155" i="16"/>
  <c r="J148" i="16"/>
  <c r="X148" i="16" l="1"/>
  <c r="V148" i="16"/>
  <c r="W155" i="16"/>
  <c r="T39" i="16"/>
  <c r="R38" i="16"/>
  <c r="S38" i="16"/>
  <c r="L156" i="16"/>
  <c r="U156" i="16" s="1"/>
  <c r="P154" i="16"/>
  <c r="Y154" i="16" s="1"/>
  <c r="N156" i="16"/>
  <c r="J149" i="16"/>
  <c r="X149" i="16" l="1"/>
  <c r="V149" i="16"/>
  <c r="W156" i="16"/>
  <c r="T40" i="16"/>
  <c r="R39" i="16"/>
  <c r="S39" i="16"/>
  <c r="L157" i="16"/>
  <c r="U157" i="16" s="1"/>
  <c r="P155" i="16"/>
  <c r="Y155" i="16" s="1"/>
  <c r="N157" i="16"/>
  <c r="J150" i="16"/>
  <c r="X150" i="16" l="1"/>
  <c r="V150" i="16"/>
  <c r="W157" i="16"/>
  <c r="T41" i="16"/>
  <c r="R40" i="16"/>
  <c r="S40" i="16"/>
  <c r="L158" i="16"/>
  <c r="U158" i="16" s="1"/>
  <c r="P156" i="16"/>
  <c r="Y156" i="16" s="1"/>
  <c r="N158" i="16"/>
  <c r="J151" i="16"/>
  <c r="X151" i="16" l="1"/>
  <c r="V151" i="16"/>
  <c r="W158" i="16"/>
  <c r="T42" i="16"/>
  <c r="R41" i="16"/>
  <c r="S41" i="16"/>
  <c r="L159" i="16"/>
  <c r="U159" i="16" s="1"/>
  <c r="P157" i="16"/>
  <c r="Y157" i="16" s="1"/>
  <c r="N159" i="16"/>
  <c r="J152" i="16"/>
  <c r="X152" i="16" l="1"/>
  <c r="V152" i="16"/>
  <c r="W159" i="16"/>
  <c r="T43" i="16"/>
  <c r="R42" i="16"/>
  <c r="S42" i="16"/>
  <c r="L160" i="16"/>
  <c r="U160" i="16" s="1"/>
  <c r="P158" i="16"/>
  <c r="Y158" i="16" s="1"/>
  <c r="N160" i="16"/>
  <c r="J153" i="16"/>
  <c r="X153" i="16" l="1"/>
  <c r="V153" i="16"/>
  <c r="W160" i="16"/>
  <c r="T44" i="16"/>
  <c r="R43" i="16"/>
  <c r="S43" i="16"/>
  <c r="L161" i="16"/>
  <c r="U161" i="16" s="1"/>
  <c r="P159" i="16"/>
  <c r="Y159" i="16" s="1"/>
  <c r="N161" i="16"/>
  <c r="J154" i="16"/>
  <c r="X154" i="16" l="1"/>
  <c r="V154" i="16"/>
  <c r="W161" i="16"/>
  <c r="T45" i="16"/>
  <c r="R44" i="16"/>
  <c r="S44" i="16"/>
  <c r="L162" i="16"/>
  <c r="U162" i="16" s="1"/>
  <c r="P160" i="16"/>
  <c r="Y160" i="16" s="1"/>
  <c r="N162" i="16"/>
  <c r="J155" i="16"/>
  <c r="X155" i="16" l="1"/>
  <c r="V155" i="16"/>
  <c r="W162" i="16"/>
  <c r="T46" i="16"/>
  <c r="R45" i="16"/>
  <c r="S45" i="16"/>
  <c r="L163" i="16"/>
  <c r="U163" i="16" s="1"/>
  <c r="P161" i="16"/>
  <c r="Y161" i="16" s="1"/>
  <c r="N163" i="16"/>
  <c r="J156" i="16"/>
  <c r="X156" i="16" l="1"/>
  <c r="V156" i="16"/>
  <c r="W163" i="16"/>
  <c r="T47" i="16"/>
  <c r="R46" i="16"/>
  <c r="S46" i="16"/>
  <c r="L164" i="16"/>
  <c r="U164" i="16" s="1"/>
  <c r="P162" i="16"/>
  <c r="Y162" i="16" s="1"/>
  <c r="N164" i="16"/>
  <c r="J157" i="16"/>
  <c r="X157" i="16" l="1"/>
  <c r="V157" i="16"/>
  <c r="W164" i="16"/>
  <c r="T48" i="16"/>
  <c r="R47" i="16"/>
  <c r="S47" i="16"/>
  <c r="L165" i="16"/>
  <c r="U165" i="16" s="1"/>
  <c r="P163" i="16"/>
  <c r="Y163" i="16" s="1"/>
  <c r="N165" i="16"/>
  <c r="J158" i="16"/>
  <c r="X158" i="16" l="1"/>
  <c r="V158" i="16"/>
  <c r="W165" i="16"/>
  <c r="T49" i="16"/>
  <c r="R48" i="16"/>
  <c r="S48" i="16"/>
  <c r="L166" i="16"/>
  <c r="U166" i="16" s="1"/>
  <c r="P164" i="16"/>
  <c r="Y164" i="16" s="1"/>
  <c r="N166" i="16"/>
  <c r="J159" i="16"/>
  <c r="X159" i="16" l="1"/>
  <c r="V159" i="16"/>
  <c r="W166" i="16"/>
  <c r="T50" i="16"/>
  <c r="R49" i="16"/>
  <c r="S49" i="16"/>
  <c r="L167" i="16"/>
  <c r="U167" i="16" s="1"/>
  <c r="P165" i="16"/>
  <c r="Y165" i="16" s="1"/>
  <c r="N167" i="16"/>
  <c r="J160" i="16"/>
  <c r="X160" i="16" l="1"/>
  <c r="V160" i="16"/>
  <c r="W167" i="16"/>
  <c r="T51" i="16"/>
  <c r="R50" i="16"/>
  <c r="S50" i="16"/>
  <c r="L168" i="16"/>
  <c r="U168" i="16" s="1"/>
  <c r="P166" i="16"/>
  <c r="Y166" i="16" s="1"/>
  <c r="N168" i="16"/>
  <c r="J161" i="16"/>
  <c r="X161" i="16" l="1"/>
  <c r="V161" i="16"/>
  <c r="W168" i="16"/>
  <c r="T52" i="16"/>
  <c r="R51" i="16"/>
  <c r="S51" i="16"/>
  <c r="L169" i="16"/>
  <c r="U169" i="16" s="1"/>
  <c r="P167" i="16"/>
  <c r="Y167" i="16" s="1"/>
  <c r="N169" i="16"/>
  <c r="J162" i="16"/>
  <c r="X162" i="16" l="1"/>
  <c r="V162" i="16"/>
  <c r="W169" i="16"/>
  <c r="T53" i="16"/>
  <c r="R52" i="16"/>
  <c r="S52" i="16"/>
  <c r="L170" i="16"/>
  <c r="U170" i="16" s="1"/>
  <c r="P168" i="16"/>
  <c r="Y168" i="16" s="1"/>
  <c r="N170" i="16"/>
  <c r="J163" i="16"/>
  <c r="X163" i="16" l="1"/>
  <c r="V163" i="16"/>
  <c r="W170" i="16"/>
  <c r="T54" i="16"/>
  <c r="R53" i="16"/>
  <c r="S53" i="16"/>
  <c r="L171" i="16"/>
  <c r="U171" i="16" s="1"/>
  <c r="P169" i="16"/>
  <c r="Y169" i="16" s="1"/>
  <c r="N171" i="16"/>
  <c r="J164" i="16"/>
  <c r="X164" i="16" l="1"/>
  <c r="V164" i="16"/>
  <c r="W171" i="16"/>
  <c r="T55" i="16"/>
  <c r="R54" i="16"/>
  <c r="S54" i="16"/>
  <c r="L172" i="16"/>
  <c r="U172" i="16" s="1"/>
  <c r="P170" i="16"/>
  <c r="Y170" i="16" s="1"/>
  <c r="N172" i="16"/>
  <c r="J165" i="16"/>
  <c r="X165" i="16" l="1"/>
  <c r="V165" i="16"/>
  <c r="W172" i="16"/>
  <c r="T56" i="16"/>
  <c r="R55" i="16"/>
  <c r="S55" i="16"/>
  <c r="L173" i="16"/>
  <c r="U173" i="16" s="1"/>
  <c r="P171" i="16"/>
  <c r="Y171" i="16" s="1"/>
  <c r="N173" i="16"/>
  <c r="J166" i="16"/>
  <c r="X166" i="16" l="1"/>
  <c r="V166" i="16"/>
  <c r="W173" i="16"/>
  <c r="T57" i="16"/>
  <c r="R56" i="16"/>
  <c r="S56" i="16"/>
  <c r="L174" i="16"/>
  <c r="U174" i="16" s="1"/>
  <c r="P172" i="16"/>
  <c r="Y172" i="16" s="1"/>
  <c r="N174" i="16"/>
  <c r="J167" i="16"/>
  <c r="X167" i="16" l="1"/>
  <c r="V167" i="16"/>
  <c r="W174" i="16"/>
  <c r="T58" i="16"/>
  <c r="R57" i="16"/>
  <c r="S57" i="16"/>
  <c r="L175" i="16"/>
  <c r="U175" i="16" s="1"/>
  <c r="P173" i="16"/>
  <c r="Y173" i="16" s="1"/>
  <c r="N175" i="16"/>
  <c r="J168" i="16"/>
  <c r="X168" i="16" l="1"/>
  <c r="V168" i="16"/>
  <c r="W175" i="16"/>
  <c r="T59" i="16"/>
  <c r="R58" i="16"/>
  <c r="S58" i="16"/>
  <c r="L176" i="16"/>
  <c r="U176" i="16" s="1"/>
  <c r="P174" i="16"/>
  <c r="Y174" i="16" s="1"/>
  <c r="N176" i="16"/>
  <c r="J169" i="16"/>
  <c r="X169" i="16" l="1"/>
  <c r="V169" i="16"/>
  <c r="W176" i="16"/>
  <c r="T60" i="16"/>
  <c r="R59" i="16"/>
  <c r="S59" i="16"/>
  <c r="L177" i="16"/>
  <c r="U177" i="16" s="1"/>
  <c r="P175" i="16"/>
  <c r="Y175" i="16" s="1"/>
  <c r="N177" i="16"/>
  <c r="J170" i="16"/>
  <c r="X170" i="16" l="1"/>
  <c r="V170" i="16"/>
  <c r="W177" i="16"/>
  <c r="T61" i="16"/>
  <c r="R60" i="16"/>
  <c r="S60" i="16"/>
  <c r="L178" i="16"/>
  <c r="U178" i="16" s="1"/>
  <c r="P176" i="16"/>
  <c r="Y176" i="16" s="1"/>
  <c r="N178" i="16"/>
  <c r="J171" i="16"/>
  <c r="X171" i="16" l="1"/>
  <c r="V171" i="16"/>
  <c r="W178" i="16"/>
  <c r="T62" i="16"/>
  <c r="R61" i="16"/>
  <c r="S61" i="16"/>
  <c r="L179" i="16"/>
  <c r="U179" i="16" s="1"/>
  <c r="P177" i="16"/>
  <c r="Y177" i="16" s="1"/>
  <c r="N179" i="16"/>
  <c r="J172" i="16"/>
  <c r="X172" i="16" l="1"/>
  <c r="V172" i="16"/>
  <c r="W179" i="16"/>
  <c r="T63" i="16"/>
  <c r="R62" i="16"/>
  <c r="S62" i="16"/>
  <c r="L180" i="16"/>
  <c r="U180" i="16" s="1"/>
  <c r="P178" i="16"/>
  <c r="Y178" i="16" s="1"/>
  <c r="N180" i="16"/>
  <c r="J173" i="16"/>
  <c r="X173" i="16" l="1"/>
  <c r="V173" i="16"/>
  <c r="W180" i="16"/>
  <c r="T64" i="16"/>
  <c r="R63" i="16"/>
  <c r="S63" i="16"/>
  <c r="L181" i="16"/>
  <c r="U181" i="16" s="1"/>
  <c r="P179" i="16"/>
  <c r="Y179" i="16" s="1"/>
  <c r="N181" i="16"/>
  <c r="J174" i="16"/>
  <c r="X174" i="16" l="1"/>
  <c r="V174" i="16"/>
  <c r="W181" i="16"/>
  <c r="T65" i="16"/>
  <c r="R64" i="16"/>
  <c r="S64" i="16"/>
  <c r="L182" i="16"/>
  <c r="U182" i="16" s="1"/>
  <c r="P180" i="16"/>
  <c r="Y180" i="16" s="1"/>
  <c r="N182" i="16"/>
  <c r="J175" i="16"/>
  <c r="X175" i="16" l="1"/>
  <c r="V175" i="16"/>
  <c r="W182" i="16"/>
  <c r="T66" i="16"/>
  <c r="R65" i="16"/>
  <c r="S65" i="16"/>
  <c r="L183" i="16"/>
  <c r="U183" i="16" s="1"/>
  <c r="P181" i="16"/>
  <c r="Y181" i="16" s="1"/>
  <c r="N183" i="16"/>
  <c r="J176" i="16"/>
  <c r="X176" i="16" l="1"/>
  <c r="V176" i="16"/>
  <c r="W183" i="16"/>
  <c r="T67" i="16"/>
  <c r="R66" i="16"/>
  <c r="S66" i="16"/>
  <c r="L184" i="16"/>
  <c r="U184" i="16" s="1"/>
  <c r="P182" i="16"/>
  <c r="Y182" i="16" s="1"/>
  <c r="N184" i="16"/>
  <c r="J177" i="16"/>
  <c r="X177" i="16" l="1"/>
  <c r="V177" i="16"/>
  <c r="W184" i="16"/>
  <c r="T68" i="16"/>
  <c r="R67" i="16"/>
  <c r="S67" i="16"/>
  <c r="L185" i="16"/>
  <c r="U185" i="16" s="1"/>
  <c r="P183" i="16"/>
  <c r="Y183" i="16" s="1"/>
  <c r="N185" i="16"/>
  <c r="J178" i="16"/>
  <c r="X178" i="16" l="1"/>
  <c r="V178" i="16"/>
  <c r="W185" i="16"/>
  <c r="T69" i="16"/>
  <c r="R68" i="16"/>
  <c r="S68" i="16"/>
  <c r="L186" i="16"/>
  <c r="U186" i="16" s="1"/>
  <c r="P184" i="16"/>
  <c r="Y184" i="16" s="1"/>
  <c r="N186" i="16"/>
  <c r="J179" i="16"/>
  <c r="X179" i="16" l="1"/>
  <c r="V179" i="16"/>
  <c r="W186" i="16"/>
  <c r="T70" i="16"/>
  <c r="R69" i="16"/>
  <c r="S69" i="16"/>
  <c r="L187" i="16"/>
  <c r="U187" i="16" s="1"/>
  <c r="P185" i="16"/>
  <c r="Y185" i="16" s="1"/>
  <c r="N187" i="16"/>
  <c r="J180" i="16"/>
  <c r="X180" i="16" l="1"/>
  <c r="V180" i="16"/>
  <c r="W187" i="16"/>
  <c r="T71" i="16"/>
  <c r="R70" i="16"/>
  <c r="S70" i="16"/>
  <c r="L188" i="16"/>
  <c r="U188" i="16" s="1"/>
  <c r="P186" i="16"/>
  <c r="Y186" i="16" s="1"/>
  <c r="N188" i="16"/>
  <c r="J181" i="16"/>
  <c r="X181" i="16" l="1"/>
  <c r="V181" i="16"/>
  <c r="W188" i="16"/>
  <c r="T72" i="16"/>
  <c r="R71" i="16"/>
  <c r="S71" i="16"/>
  <c r="L189" i="16"/>
  <c r="U189" i="16" s="1"/>
  <c r="P187" i="16"/>
  <c r="Y187" i="16" s="1"/>
  <c r="N189" i="16"/>
  <c r="J182" i="16"/>
  <c r="X182" i="16" l="1"/>
  <c r="V182" i="16"/>
  <c r="W189" i="16"/>
  <c r="T73" i="16"/>
  <c r="R72" i="16"/>
  <c r="S72" i="16"/>
  <c r="L190" i="16"/>
  <c r="U190" i="16" s="1"/>
  <c r="P188" i="16"/>
  <c r="Y188" i="16" s="1"/>
  <c r="N190" i="16"/>
  <c r="J183" i="16"/>
  <c r="X183" i="16" l="1"/>
  <c r="V183" i="16"/>
  <c r="W190" i="16"/>
  <c r="T74" i="16"/>
  <c r="R73" i="16"/>
  <c r="S73" i="16"/>
  <c r="L191" i="16"/>
  <c r="U191" i="16" s="1"/>
  <c r="P189" i="16"/>
  <c r="Y189" i="16" s="1"/>
  <c r="N191" i="16"/>
  <c r="J184" i="16"/>
  <c r="X184" i="16" l="1"/>
  <c r="V184" i="16"/>
  <c r="W191" i="16"/>
  <c r="T75" i="16"/>
  <c r="R74" i="16"/>
  <c r="S74" i="16"/>
  <c r="L192" i="16"/>
  <c r="U192" i="16" s="1"/>
  <c r="P190" i="16"/>
  <c r="Y190" i="16" s="1"/>
  <c r="N192" i="16"/>
  <c r="J185" i="16"/>
  <c r="X185" i="16" l="1"/>
  <c r="V185" i="16"/>
  <c r="W192" i="16"/>
  <c r="T76" i="16"/>
  <c r="R75" i="16"/>
  <c r="S75" i="16"/>
  <c r="L193" i="16"/>
  <c r="U193" i="16" s="1"/>
  <c r="P191" i="16"/>
  <c r="Y191" i="16" s="1"/>
  <c r="N193" i="16"/>
  <c r="J186" i="16"/>
  <c r="X186" i="16" l="1"/>
  <c r="V186" i="16"/>
  <c r="W193" i="16"/>
  <c r="T77" i="16"/>
  <c r="R76" i="16"/>
  <c r="S76" i="16"/>
  <c r="L194" i="16"/>
  <c r="U194" i="16" s="1"/>
  <c r="P192" i="16"/>
  <c r="Y192" i="16" s="1"/>
  <c r="N194" i="16"/>
  <c r="J187" i="16"/>
  <c r="X187" i="16" l="1"/>
  <c r="V187" i="16"/>
  <c r="W194" i="16"/>
  <c r="T78" i="16"/>
  <c r="R77" i="16"/>
  <c r="S77" i="16"/>
  <c r="L195" i="16"/>
  <c r="U195" i="16" s="1"/>
  <c r="P193" i="16"/>
  <c r="Y193" i="16" s="1"/>
  <c r="N195" i="16"/>
  <c r="J188" i="16"/>
  <c r="X188" i="16" l="1"/>
  <c r="V188" i="16"/>
  <c r="W195" i="16"/>
  <c r="T79" i="16"/>
  <c r="R78" i="16"/>
  <c r="S78" i="16"/>
  <c r="L196" i="16"/>
  <c r="U196" i="16" s="1"/>
  <c r="P194" i="16"/>
  <c r="Y194" i="16" s="1"/>
  <c r="N196" i="16"/>
  <c r="J189" i="16"/>
  <c r="X189" i="16" l="1"/>
  <c r="V189" i="16"/>
  <c r="W196" i="16"/>
  <c r="T80" i="16"/>
  <c r="R79" i="16"/>
  <c r="S79" i="16"/>
  <c r="L197" i="16"/>
  <c r="U197" i="16" s="1"/>
  <c r="P195" i="16"/>
  <c r="Y195" i="16" s="1"/>
  <c r="N197" i="16"/>
  <c r="J190" i="16"/>
  <c r="X190" i="16" l="1"/>
  <c r="V190" i="16"/>
  <c r="W197" i="16"/>
  <c r="T81" i="16"/>
  <c r="R80" i="16"/>
  <c r="S80" i="16"/>
  <c r="L198" i="16"/>
  <c r="U198" i="16" s="1"/>
  <c r="P196" i="16"/>
  <c r="Y196" i="16" s="1"/>
  <c r="N198" i="16"/>
  <c r="J191" i="16"/>
  <c r="X191" i="16" l="1"/>
  <c r="V191" i="16"/>
  <c r="W198" i="16"/>
  <c r="T82" i="16"/>
  <c r="R81" i="16"/>
  <c r="S81" i="16"/>
  <c r="L199" i="16"/>
  <c r="U199" i="16" s="1"/>
  <c r="P197" i="16"/>
  <c r="Y197" i="16" s="1"/>
  <c r="N199" i="16"/>
  <c r="J192" i="16"/>
  <c r="X192" i="16" l="1"/>
  <c r="V192" i="16"/>
  <c r="W199" i="16"/>
  <c r="T83" i="16"/>
  <c r="R82" i="16"/>
  <c r="S82" i="16"/>
  <c r="L200" i="16"/>
  <c r="U200" i="16" s="1"/>
  <c r="P198" i="16"/>
  <c r="Y198" i="16" s="1"/>
  <c r="N200" i="16"/>
  <c r="J193" i="16"/>
  <c r="X193" i="16" l="1"/>
  <c r="V193" i="16"/>
  <c r="W200" i="16"/>
  <c r="T84" i="16"/>
  <c r="R83" i="16"/>
  <c r="S83" i="16"/>
  <c r="L201" i="16"/>
  <c r="U201" i="16" s="1"/>
  <c r="P199" i="16"/>
  <c r="Y199" i="16" s="1"/>
  <c r="N201" i="16"/>
  <c r="J194" i="16"/>
  <c r="X194" i="16" l="1"/>
  <c r="V194" i="16"/>
  <c r="W201" i="16"/>
  <c r="T85" i="16"/>
  <c r="R84" i="16"/>
  <c r="S84" i="16"/>
  <c r="L202" i="16"/>
  <c r="U202" i="16" s="1"/>
  <c r="P200" i="16"/>
  <c r="Y200" i="16" s="1"/>
  <c r="N202" i="16"/>
  <c r="J195" i="16"/>
  <c r="X195" i="16" l="1"/>
  <c r="V195" i="16"/>
  <c r="W202" i="16"/>
  <c r="T86" i="16"/>
  <c r="R85" i="16"/>
  <c r="S85" i="16"/>
  <c r="L203" i="16"/>
  <c r="U203" i="16" s="1"/>
  <c r="P201" i="16"/>
  <c r="Y201" i="16" s="1"/>
  <c r="N203" i="16"/>
  <c r="J196" i="16"/>
  <c r="X196" i="16" l="1"/>
  <c r="V196" i="16"/>
  <c r="W203" i="16"/>
  <c r="T87" i="16"/>
  <c r="R86" i="16"/>
  <c r="S86" i="16"/>
  <c r="L204" i="16"/>
  <c r="U204" i="16" s="1"/>
  <c r="P202" i="16"/>
  <c r="Y202" i="16" s="1"/>
  <c r="N204" i="16"/>
  <c r="J197" i="16"/>
  <c r="X197" i="16" l="1"/>
  <c r="V197" i="16"/>
  <c r="W204" i="16"/>
  <c r="T88" i="16"/>
  <c r="R87" i="16"/>
  <c r="S87" i="16"/>
  <c r="N205" i="16"/>
  <c r="L205" i="16"/>
  <c r="U205" i="16" s="1"/>
  <c r="P203" i="16"/>
  <c r="Y203" i="16" s="1"/>
  <c r="J198" i="16"/>
  <c r="X198" i="16" l="1"/>
  <c r="V198" i="16"/>
  <c r="W205" i="16"/>
  <c r="T89" i="16"/>
  <c r="R88" i="16"/>
  <c r="S88" i="16"/>
  <c r="L206" i="16"/>
  <c r="U206" i="16" s="1"/>
  <c r="N206" i="16"/>
  <c r="P204" i="16"/>
  <c r="Y204" i="16" s="1"/>
  <c r="J199" i="16"/>
  <c r="X199" i="16" l="1"/>
  <c r="V199" i="16"/>
  <c r="W206" i="16"/>
  <c r="T90" i="16"/>
  <c r="R89" i="16"/>
  <c r="S89" i="16"/>
  <c r="P205" i="16"/>
  <c r="Y205" i="16" s="1"/>
  <c r="N207" i="16"/>
  <c r="L207" i="16"/>
  <c r="U207" i="16" s="1"/>
  <c r="J200" i="16"/>
  <c r="X200" i="16" l="1"/>
  <c r="V200" i="16"/>
  <c r="W207" i="16"/>
  <c r="T91" i="16"/>
  <c r="R90" i="16"/>
  <c r="S90" i="16"/>
  <c r="P206" i="16"/>
  <c r="Y206" i="16" s="1"/>
  <c r="N208" i="16"/>
  <c r="L208" i="16"/>
  <c r="U208" i="16" s="1"/>
  <c r="J201" i="16"/>
  <c r="X201" i="16" l="1"/>
  <c r="V201" i="16"/>
  <c r="W208" i="16"/>
  <c r="T92" i="16"/>
  <c r="R91" i="16"/>
  <c r="S91" i="16"/>
  <c r="P207" i="16"/>
  <c r="Y207" i="16" s="1"/>
  <c r="N209" i="16"/>
  <c r="L209" i="16"/>
  <c r="U209" i="16" s="1"/>
  <c r="J202" i="16"/>
  <c r="X202" i="16" l="1"/>
  <c r="V202" i="16"/>
  <c r="W209" i="16"/>
  <c r="T93" i="16"/>
  <c r="R92" i="16"/>
  <c r="S92" i="16"/>
  <c r="P208" i="16"/>
  <c r="Y208" i="16" s="1"/>
  <c r="N210" i="16"/>
  <c r="L210" i="16"/>
  <c r="U210" i="16" s="1"/>
  <c r="J203" i="16"/>
  <c r="X203" i="16" l="1"/>
  <c r="V203" i="16"/>
  <c r="W210" i="16"/>
  <c r="T94" i="16"/>
  <c r="R93" i="16"/>
  <c r="S93" i="16"/>
  <c r="P209" i="16"/>
  <c r="Y209" i="16" s="1"/>
  <c r="L211" i="16"/>
  <c r="U211" i="16" s="1"/>
  <c r="N211" i="16"/>
  <c r="J204" i="16"/>
  <c r="X204" i="16" l="1"/>
  <c r="V204" i="16"/>
  <c r="W211" i="16"/>
  <c r="T95" i="16"/>
  <c r="R94" i="16"/>
  <c r="S94" i="16"/>
  <c r="P210" i="16"/>
  <c r="Y210" i="16" s="1"/>
  <c r="N212" i="16"/>
  <c r="L212" i="16"/>
  <c r="U212" i="16" s="1"/>
  <c r="J205" i="16"/>
  <c r="X205" i="16" l="1"/>
  <c r="V205" i="16"/>
  <c r="W212" i="16"/>
  <c r="T96" i="16"/>
  <c r="R95" i="16"/>
  <c r="S95" i="16"/>
  <c r="P211" i="16"/>
  <c r="Y211" i="16" s="1"/>
  <c r="N213" i="16"/>
  <c r="L213" i="16"/>
  <c r="U213" i="16" s="1"/>
  <c r="J206" i="16"/>
  <c r="X206" i="16" l="1"/>
  <c r="V206" i="16"/>
  <c r="W213" i="16"/>
  <c r="T97" i="16"/>
  <c r="R96" i="16"/>
  <c r="S96" i="16"/>
  <c r="P212" i="16"/>
  <c r="Y212" i="16" s="1"/>
  <c r="L214" i="16"/>
  <c r="U214" i="16" s="1"/>
  <c r="N214" i="16"/>
  <c r="J207" i="16"/>
  <c r="X207" i="16" l="1"/>
  <c r="V207" i="16"/>
  <c r="W214" i="16"/>
  <c r="T98" i="16"/>
  <c r="R97" i="16"/>
  <c r="S97" i="16"/>
  <c r="P213" i="16"/>
  <c r="Y213" i="16" s="1"/>
  <c r="N215" i="16"/>
  <c r="L215" i="16"/>
  <c r="U215" i="16" s="1"/>
  <c r="J208" i="16"/>
  <c r="X208" i="16" l="1"/>
  <c r="V208" i="16"/>
  <c r="W215" i="16"/>
  <c r="T99" i="16"/>
  <c r="R98" i="16"/>
  <c r="S98" i="16"/>
  <c r="P214" i="16"/>
  <c r="Y214" i="16" s="1"/>
  <c r="L216" i="16"/>
  <c r="U216" i="16" s="1"/>
  <c r="N216" i="16"/>
  <c r="J209" i="16"/>
  <c r="X209" i="16" l="1"/>
  <c r="V209" i="16"/>
  <c r="W216" i="16"/>
  <c r="T100" i="16"/>
  <c r="R99" i="16"/>
  <c r="S99" i="16"/>
  <c r="P215" i="16"/>
  <c r="Y215" i="16" s="1"/>
  <c r="N217" i="16"/>
  <c r="L217" i="16"/>
  <c r="U217" i="16" s="1"/>
  <c r="J210" i="16"/>
  <c r="X210" i="16" l="1"/>
  <c r="V210" i="16"/>
  <c r="W217" i="16"/>
  <c r="T101" i="16"/>
  <c r="R100" i="16"/>
  <c r="S100" i="16"/>
  <c r="P216" i="16"/>
  <c r="Y216" i="16" s="1"/>
  <c r="L218" i="16"/>
  <c r="U218" i="16" s="1"/>
  <c r="N218" i="16"/>
  <c r="J211" i="16"/>
  <c r="X211" i="16" l="1"/>
  <c r="V211" i="16"/>
  <c r="W218" i="16"/>
  <c r="T102" i="16"/>
  <c r="R101" i="16"/>
  <c r="S101" i="16"/>
  <c r="P217" i="16"/>
  <c r="Y217" i="16" s="1"/>
  <c r="N219" i="16"/>
  <c r="L219" i="16"/>
  <c r="U219" i="16" s="1"/>
  <c r="J212" i="16"/>
  <c r="X212" i="16" l="1"/>
  <c r="V212" i="16"/>
  <c r="W219" i="16"/>
  <c r="T103" i="16"/>
  <c r="R102" i="16"/>
  <c r="S102" i="16"/>
  <c r="P218" i="16"/>
  <c r="Y218" i="16" s="1"/>
  <c r="L220" i="16"/>
  <c r="U220" i="16" s="1"/>
  <c r="N220" i="16"/>
  <c r="J213" i="16"/>
  <c r="X213" i="16" l="1"/>
  <c r="V213" i="16"/>
  <c r="W220" i="16"/>
  <c r="T104" i="16"/>
  <c r="R103" i="16"/>
  <c r="S103" i="16"/>
  <c r="P219" i="16"/>
  <c r="Y219" i="16" s="1"/>
  <c r="N221" i="16"/>
  <c r="L221" i="16"/>
  <c r="U221" i="16" s="1"/>
  <c r="J214" i="16"/>
  <c r="X214" i="16" l="1"/>
  <c r="V214" i="16"/>
  <c r="W221" i="16"/>
  <c r="T105" i="16"/>
  <c r="R104" i="16"/>
  <c r="S104" i="16"/>
  <c r="P220" i="16"/>
  <c r="Y220" i="16" s="1"/>
  <c r="N222" i="16"/>
  <c r="L222" i="16"/>
  <c r="U222" i="16" s="1"/>
  <c r="J215" i="16"/>
  <c r="X215" i="16" l="1"/>
  <c r="V215" i="16"/>
  <c r="W222" i="16"/>
  <c r="T106" i="16"/>
  <c r="R105" i="16"/>
  <c r="S105" i="16"/>
  <c r="P221" i="16"/>
  <c r="Y221" i="16" s="1"/>
  <c r="N223" i="16"/>
  <c r="L223" i="16"/>
  <c r="U223" i="16" s="1"/>
  <c r="J216" i="16"/>
  <c r="X216" i="16" l="1"/>
  <c r="V216" i="16"/>
  <c r="W223" i="16"/>
  <c r="T107" i="16"/>
  <c r="R106" i="16"/>
  <c r="S106" i="16"/>
  <c r="P222" i="16"/>
  <c r="Y222" i="16" s="1"/>
  <c r="L224" i="16"/>
  <c r="U224" i="16" s="1"/>
  <c r="N224" i="16"/>
  <c r="J217" i="16"/>
  <c r="X217" i="16" l="1"/>
  <c r="V217" i="16"/>
  <c r="W224" i="16"/>
  <c r="T108" i="16"/>
  <c r="R107" i="16"/>
  <c r="S107" i="16"/>
  <c r="P223" i="16"/>
  <c r="Y223" i="16" s="1"/>
  <c r="N225" i="16"/>
  <c r="L225" i="16"/>
  <c r="U225" i="16" s="1"/>
  <c r="J218" i="16"/>
  <c r="X218" i="16" l="1"/>
  <c r="V218" i="16"/>
  <c r="W225" i="16"/>
  <c r="T109" i="16"/>
  <c r="R108" i="16"/>
  <c r="S108" i="16"/>
  <c r="P224" i="16"/>
  <c r="Y224" i="16" s="1"/>
  <c r="L226" i="16"/>
  <c r="U226" i="16" s="1"/>
  <c r="N226" i="16"/>
  <c r="J219" i="16"/>
  <c r="X219" i="16" l="1"/>
  <c r="V219" i="16"/>
  <c r="W226" i="16"/>
  <c r="T110" i="16"/>
  <c r="R109" i="16"/>
  <c r="S109" i="16"/>
  <c r="P225" i="16"/>
  <c r="Y225" i="16" s="1"/>
  <c r="L227" i="16"/>
  <c r="U227" i="16" s="1"/>
  <c r="N227" i="16"/>
  <c r="J220" i="16"/>
  <c r="X220" i="16" l="1"/>
  <c r="V220" i="16"/>
  <c r="W227" i="16"/>
  <c r="T111" i="16"/>
  <c r="R110" i="16"/>
  <c r="S110" i="16"/>
  <c r="P226" i="16"/>
  <c r="Y226" i="16" s="1"/>
  <c r="N228" i="16"/>
  <c r="L228" i="16"/>
  <c r="U228" i="16" s="1"/>
  <c r="J221" i="16"/>
  <c r="X221" i="16" l="1"/>
  <c r="V221" i="16"/>
  <c r="W228" i="16"/>
  <c r="T112" i="16"/>
  <c r="R111" i="16"/>
  <c r="S111" i="16"/>
  <c r="P227" i="16"/>
  <c r="Y227" i="16" s="1"/>
  <c r="N229" i="16"/>
  <c r="L229" i="16"/>
  <c r="U229" i="16" s="1"/>
  <c r="J222" i="16"/>
  <c r="X222" i="16" l="1"/>
  <c r="V222" i="16"/>
  <c r="W229" i="16"/>
  <c r="T113" i="16"/>
  <c r="R112" i="16"/>
  <c r="S112" i="16"/>
  <c r="P228" i="16"/>
  <c r="Y228" i="16" s="1"/>
  <c r="L230" i="16"/>
  <c r="U230" i="16" s="1"/>
  <c r="N230" i="16"/>
  <c r="J223" i="16"/>
  <c r="X223" i="16" l="1"/>
  <c r="V223" i="16"/>
  <c r="W230" i="16"/>
  <c r="T114" i="16"/>
  <c r="R113" i="16"/>
  <c r="S113" i="16"/>
  <c r="P229" i="16"/>
  <c r="Y229" i="16" s="1"/>
  <c r="N231" i="16"/>
  <c r="L231" i="16"/>
  <c r="U231" i="16" s="1"/>
  <c r="J224" i="16"/>
  <c r="X224" i="16" l="1"/>
  <c r="V224" i="16"/>
  <c r="W231" i="16"/>
  <c r="T115" i="16"/>
  <c r="R114" i="16"/>
  <c r="S114" i="16"/>
  <c r="P230" i="16"/>
  <c r="Y230" i="16" s="1"/>
  <c r="N232" i="16"/>
  <c r="L232" i="16"/>
  <c r="U232" i="16" s="1"/>
  <c r="J225" i="16"/>
  <c r="X225" i="16" l="1"/>
  <c r="V225" i="16"/>
  <c r="W232" i="16"/>
  <c r="T116" i="16"/>
  <c r="R115" i="16"/>
  <c r="S115" i="16"/>
  <c r="P231" i="16"/>
  <c r="Y231" i="16" s="1"/>
  <c r="N233" i="16"/>
  <c r="L233" i="16"/>
  <c r="U233" i="16" s="1"/>
  <c r="J226" i="16"/>
  <c r="X226" i="16" l="1"/>
  <c r="V226" i="16"/>
  <c r="W233" i="16"/>
  <c r="T117" i="16"/>
  <c r="R116" i="16"/>
  <c r="S116" i="16"/>
  <c r="P232" i="16"/>
  <c r="Y232" i="16" s="1"/>
  <c r="L234" i="16"/>
  <c r="U234" i="16" s="1"/>
  <c r="N234" i="16"/>
  <c r="J227" i="16"/>
  <c r="X227" i="16" l="1"/>
  <c r="V227" i="16"/>
  <c r="W234" i="16"/>
  <c r="T118" i="16"/>
  <c r="R117" i="16"/>
  <c r="S117" i="16"/>
  <c r="P233" i="16"/>
  <c r="Y233" i="16" s="1"/>
  <c r="L235" i="16"/>
  <c r="U235" i="16" s="1"/>
  <c r="N235" i="16"/>
  <c r="J228" i="16"/>
  <c r="X228" i="16" l="1"/>
  <c r="V228" i="16"/>
  <c r="W235" i="16"/>
  <c r="T119" i="16"/>
  <c r="R118" i="16"/>
  <c r="S118" i="16"/>
  <c r="P234" i="16"/>
  <c r="Y234" i="16" s="1"/>
  <c r="N236" i="16"/>
  <c r="L236" i="16"/>
  <c r="U236" i="16" s="1"/>
  <c r="J229" i="16"/>
  <c r="X229" i="16" l="1"/>
  <c r="V229" i="16"/>
  <c r="W236" i="16"/>
  <c r="T120" i="16"/>
  <c r="R119" i="16"/>
  <c r="S119" i="16"/>
  <c r="P235" i="16"/>
  <c r="Y235" i="16" s="1"/>
  <c r="N237" i="16"/>
  <c r="L237" i="16"/>
  <c r="U237" i="16" s="1"/>
  <c r="J230" i="16"/>
  <c r="X230" i="16" l="1"/>
  <c r="V230" i="16"/>
  <c r="W237" i="16"/>
  <c r="T121" i="16"/>
  <c r="R120" i="16"/>
  <c r="S120" i="16"/>
  <c r="P236" i="16"/>
  <c r="Y236" i="16" s="1"/>
  <c r="N238" i="16"/>
  <c r="L238" i="16"/>
  <c r="U238" i="16" s="1"/>
  <c r="J231" i="16"/>
  <c r="X231" i="16" l="1"/>
  <c r="V231" i="16"/>
  <c r="W238" i="16"/>
  <c r="T122" i="16"/>
  <c r="R121" i="16"/>
  <c r="S121" i="16"/>
  <c r="N239" i="16"/>
  <c r="L239" i="16"/>
  <c r="U239" i="16" s="1"/>
  <c r="P237" i="16"/>
  <c r="Y237" i="16" s="1"/>
  <c r="J232" i="16"/>
  <c r="X232" i="16" l="1"/>
  <c r="V232" i="16"/>
  <c r="W239" i="16"/>
  <c r="T123" i="16"/>
  <c r="R122" i="16"/>
  <c r="S122" i="16"/>
  <c r="L240" i="16"/>
  <c r="U240" i="16" s="1"/>
  <c r="N240" i="16"/>
  <c r="P238" i="16"/>
  <c r="Y238" i="16" s="1"/>
  <c r="J233" i="16"/>
  <c r="X233" i="16" l="1"/>
  <c r="V233" i="16"/>
  <c r="W240" i="16"/>
  <c r="T124" i="16"/>
  <c r="R123" i="16"/>
  <c r="S123" i="16"/>
  <c r="N241" i="16"/>
  <c r="L241" i="16"/>
  <c r="U241" i="16" s="1"/>
  <c r="P239" i="16"/>
  <c r="Y239" i="16" s="1"/>
  <c r="J234" i="16"/>
  <c r="X234" i="16" l="1"/>
  <c r="V234" i="16"/>
  <c r="W241" i="16"/>
  <c r="T125" i="16"/>
  <c r="R124" i="16"/>
  <c r="S124" i="16"/>
  <c r="L242" i="16"/>
  <c r="U242" i="16" s="1"/>
  <c r="N242" i="16"/>
  <c r="P240" i="16"/>
  <c r="Y240" i="16" s="1"/>
  <c r="J235" i="16"/>
  <c r="X235" i="16" l="1"/>
  <c r="V235" i="16"/>
  <c r="W242" i="16"/>
  <c r="T126" i="16"/>
  <c r="R125" i="16"/>
  <c r="S125" i="16"/>
  <c r="L243" i="16"/>
  <c r="U243" i="16" s="1"/>
  <c r="N243" i="16"/>
  <c r="P241" i="16"/>
  <c r="Y241" i="16" s="1"/>
  <c r="J236" i="16"/>
  <c r="X236" i="16" l="1"/>
  <c r="V236" i="16"/>
  <c r="W243" i="16"/>
  <c r="T127" i="16"/>
  <c r="R126" i="16"/>
  <c r="S126" i="16"/>
  <c r="N244" i="16"/>
  <c r="L244" i="16"/>
  <c r="U244" i="16" s="1"/>
  <c r="P242" i="16"/>
  <c r="Y242" i="16" s="1"/>
  <c r="J237" i="16"/>
  <c r="X237" i="16" l="1"/>
  <c r="V237" i="16"/>
  <c r="W244" i="16"/>
  <c r="T128" i="16"/>
  <c r="R127" i="16"/>
  <c r="S127" i="16"/>
  <c r="N245" i="16"/>
  <c r="L245" i="16"/>
  <c r="U245" i="16" s="1"/>
  <c r="P243" i="16"/>
  <c r="Y243" i="16" s="1"/>
  <c r="J238" i="16"/>
  <c r="X238" i="16" l="1"/>
  <c r="V238" i="16"/>
  <c r="W245" i="16"/>
  <c r="T129" i="16"/>
  <c r="R128" i="16"/>
  <c r="S128" i="16"/>
  <c r="L246" i="16"/>
  <c r="U246" i="16" s="1"/>
  <c r="N246" i="16"/>
  <c r="P244" i="16"/>
  <c r="Y244" i="16" s="1"/>
  <c r="J239" i="16"/>
  <c r="X239" i="16" l="1"/>
  <c r="V239" i="16"/>
  <c r="W246" i="16"/>
  <c r="T130" i="16"/>
  <c r="R129" i="16"/>
  <c r="S129" i="16"/>
  <c r="N247" i="16"/>
  <c r="L247" i="16"/>
  <c r="U247" i="16" s="1"/>
  <c r="P245" i="16"/>
  <c r="Y245" i="16" s="1"/>
  <c r="J240" i="16"/>
  <c r="X240" i="16" l="1"/>
  <c r="V240" i="16"/>
  <c r="W247" i="16"/>
  <c r="T131" i="16"/>
  <c r="R130" i="16"/>
  <c r="S130" i="16"/>
  <c r="L248" i="16"/>
  <c r="U248" i="16" s="1"/>
  <c r="N248" i="16"/>
  <c r="P246" i="16"/>
  <c r="Y246" i="16" s="1"/>
  <c r="J241" i="16"/>
  <c r="X241" i="16" l="1"/>
  <c r="V241" i="16"/>
  <c r="W248" i="16"/>
  <c r="T132" i="16"/>
  <c r="R131" i="16"/>
  <c r="S131" i="16"/>
  <c r="N249" i="16"/>
  <c r="L249" i="16"/>
  <c r="U249" i="16" s="1"/>
  <c r="P247" i="16"/>
  <c r="Y247" i="16" s="1"/>
  <c r="J242" i="16"/>
  <c r="X242" i="16" l="1"/>
  <c r="V242" i="16"/>
  <c r="W249" i="16"/>
  <c r="T133" i="16"/>
  <c r="R132" i="16"/>
  <c r="S132" i="16"/>
  <c r="L250" i="16"/>
  <c r="U250" i="16" s="1"/>
  <c r="N250" i="16"/>
  <c r="P248" i="16"/>
  <c r="Y248" i="16" s="1"/>
  <c r="J243" i="16"/>
  <c r="X243" i="16" l="1"/>
  <c r="V243" i="16"/>
  <c r="W250" i="16"/>
  <c r="T134" i="16"/>
  <c r="R133" i="16"/>
  <c r="S133" i="16"/>
  <c r="N251" i="16"/>
  <c r="L251" i="16"/>
  <c r="U251" i="16" s="1"/>
  <c r="P249" i="16"/>
  <c r="Y249" i="16" s="1"/>
  <c r="J244" i="16"/>
  <c r="X244" i="16" l="1"/>
  <c r="V244" i="16"/>
  <c r="W251" i="16"/>
  <c r="R134" i="16"/>
  <c r="S134" i="16"/>
  <c r="L252" i="16"/>
  <c r="U252" i="16" s="1"/>
  <c r="N252" i="16"/>
  <c r="P250" i="16"/>
  <c r="Y250" i="16" s="1"/>
  <c r="J245" i="16"/>
  <c r="X245" i="16" l="1"/>
  <c r="V245" i="16"/>
  <c r="W252" i="16"/>
  <c r="L253" i="16"/>
  <c r="U253" i="16" s="1"/>
  <c r="N253" i="16"/>
  <c r="P251" i="16"/>
  <c r="Y251" i="16" s="1"/>
  <c r="J246" i="16"/>
  <c r="X246" i="16" l="1"/>
  <c r="V246" i="16"/>
  <c r="W253" i="16"/>
  <c r="N254" i="16"/>
  <c r="L254" i="16"/>
  <c r="U254" i="16" s="1"/>
  <c r="P252" i="16"/>
  <c r="Y252" i="16" s="1"/>
  <c r="J247" i="16"/>
  <c r="X247" i="16" l="1"/>
  <c r="V247" i="16"/>
  <c r="W254" i="16"/>
  <c r="N255" i="16"/>
  <c r="L255" i="16"/>
  <c r="U255" i="16" s="1"/>
  <c r="P253" i="16"/>
  <c r="Y253" i="16" s="1"/>
  <c r="J248" i="16"/>
  <c r="X248" i="16" l="1"/>
  <c r="V248" i="16"/>
  <c r="W255" i="16"/>
  <c r="L256" i="16"/>
  <c r="U256" i="16" s="1"/>
  <c r="N256" i="16"/>
  <c r="P254" i="16"/>
  <c r="Y254" i="16" s="1"/>
  <c r="J249" i="16"/>
  <c r="X249" i="16" l="1"/>
  <c r="V249" i="16"/>
  <c r="W256" i="16"/>
  <c r="N257" i="16"/>
  <c r="L257" i="16"/>
  <c r="U257" i="16" s="1"/>
  <c r="P255" i="16"/>
  <c r="Y255" i="16" s="1"/>
  <c r="J250" i="16"/>
  <c r="X250" i="16" l="1"/>
  <c r="V250" i="16"/>
  <c r="W257" i="16"/>
  <c r="L258" i="16"/>
  <c r="U258" i="16" s="1"/>
  <c r="N258" i="16"/>
  <c r="P256" i="16"/>
  <c r="Y256" i="16" s="1"/>
  <c r="J251" i="16"/>
  <c r="X251" i="16" l="1"/>
  <c r="V251" i="16"/>
  <c r="W258" i="16"/>
  <c r="N259" i="16"/>
  <c r="L259" i="16"/>
  <c r="U259" i="16" s="1"/>
  <c r="P257" i="16"/>
  <c r="Y257" i="16" s="1"/>
  <c r="J252" i="16"/>
  <c r="X252" i="16" l="1"/>
  <c r="V252" i="16"/>
  <c r="W259" i="16"/>
  <c r="L260" i="16"/>
  <c r="U260" i="16" s="1"/>
  <c r="N260" i="16"/>
  <c r="P258" i="16"/>
  <c r="Y258" i="16" s="1"/>
  <c r="J253" i="16"/>
  <c r="X253" i="16" l="1"/>
  <c r="V253" i="16"/>
  <c r="W260" i="16"/>
  <c r="N261" i="16"/>
  <c r="L261" i="16"/>
  <c r="U261" i="16" s="1"/>
  <c r="P259" i="16"/>
  <c r="Y259" i="16" s="1"/>
  <c r="J254" i="16"/>
  <c r="X254" i="16" l="1"/>
  <c r="V254" i="16"/>
  <c r="W261" i="16"/>
  <c r="L262" i="16"/>
  <c r="U262" i="16" s="1"/>
  <c r="N262" i="16"/>
  <c r="P260" i="16"/>
  <c r="Y260" i="16" s="1"/>
  <c r="J255" i="16"/>
  <c r="X255" i="16" l="1"/>
  <c r="V255" i="16"/>
  <c r="W262" i="16"/>
  <c r="N263" i="16"/>
  <c r="L263" i="16"/>
  <c r="U263" i="16" s="1"/>
  <c r="P261" i="16"/>
  <c r="Y261" i="16" s="1"/>
  <c r="J256" i="16"/>
  <c r="X256" i="16" l="1"/>
  <c r="V256" i="16"/>
  <c r="W263" i="16"/>
  <c r="L264" i="16"/>
  <c r="U264" i="16" s="1"/>
  <c r="N264" i="16"/>
  <c r="P262" i="16"/>
  <c r="Y262" i="16" s="1"/>
  <c r="J257" i="16"/>
  <c r="X257" i="16" l="1"/>
  <c r="V257" i="16"/>
  <c r="W264" i="16"/>
  <c r="N265" i="16"/>
  <c r="L265" i="16"/>
  <c r="U265" i="16" s="1"/>
  <c r="P263" i="16"/>
  <c r="Y263" i="16" s="1"/>
  <c r="J258" i="16"/>
  <c r="X258" i="16" l="1"/>
  <c r="V258" i="16"/>
  <c r="W265" i="16"/>
  <c r="L266" i="16"/>
  <c r="U266" i="16" s="1"/>
  <c r="N266" i="16"/>
  <c r="P264" i="16"/>
  <c r="Y264" i="16" s="1"/>
  <c r="J259" i="16"/>
  <c r="X259" i="16" l="1"/>
  <c r="V259" i="16"/>
  <c r="W266" i="16"/>
  <c r="N267" i="16"/>
  <c r="L267" i="16"/>
  <c r="U267" i="16" s="1"/>
  <c r="P265" i="16"/>
  <c r="Y265" i="16" s="1"/>
  <c r="J260" i="16"/>
  <c r="X260" i="16" l="1"/>
  <c r="V260" i="16"/>
  <c r="W267" i="16"/>
  <c r="L268" i="16"/>
  <c r="U268" i="16" s="1"/>
  <c r="N268" i="16"/>
  <c r="P266" i="16"/>
  <c r="Y266" i="16" s="1"/>
  <c r="J261" i="16"/>
  <c r="X261" i="16" l="1"/>
  <c r="V261" i="16"/>
  <c r="W268" i="16"/>
  <c r="L269" i="16"/>
  <c r="U269" i="16" s="1"/>
  <c r="N269" i="16"/>
  <c r="P267" i="16"/>
  <c r="Y267" i="16" s="1"/>
  <c r="M271" i="16"/>
  <c r="J262" i="16"/>
  <c r="X262" i="16" l="1"/>
  <c r="V262" i="16"/>
  <c r="W269" i="16"/>
  <c r="N270" i="16"/>
  <c r="L270" i="16"/>
  <c r="U270" i="16" s="1"/>
  <c r="P268" i="16"/>
  <c r="Y268" i="16" s="1"/>
  <c r="M272" i="16"/>
  <c r="J263" i="16"/>
  <c r="X263" i="16" l="1"/>
  <c r="V263" i="16"/>
  <c r="W270" i="16"/>
  <c r="P269" i="16"/>
  <c r="Y269" i="16" s="1"/>
  <c r="L271" i="16"/>
  <c r="U271" i="16" s="1"/>
  <c r="N271" i="16"/>
  <c r="M273" i="16"/>
  <c r="J264" i="16"/>
  <c r="X264" i="16" l="1"/>
  <c r="V264" i="16"/>
  <c r="W271" i="16"/>
  <c r="P270" i="16"/>
  <c r="Y270" i="16" s="1"/>
  <c r="L272" i="16"/>
  <c r="U272" i="16" s="1"/>
  <c r="N272" i="16"/>
  <c r="M274" i="16"/>
  <c r="J265" i="16"/>
  <c r="X265" i="16" l="1"/>
  <c r="V265" i="16"/>
  <c r="W272" i="16"/>
  <c r="L273" i="16"/>
  <c r="U273" i="16" s="1"/>
  <c r="P271" i="16"/>
  <c r="Y271" i="16" s="1"/>
  <c r="N273" i="16"/>
  <c r="M275" i="16"/>
  <c r="J266" i="16"/>
  <c r="X266" i="16" l="1"/>
  <c r="V266" i="16"/>
  <c r="W273" i="16"/>
  <c r="L274" i="16"/>
  <c r="U274" i="16" s="1"/>
  <c r="P272" i="16"/>
  <c r="Y272" i="16" s="1"/>
  <c r="N274" i="16"/>
  <c r="M276" i="16"/>
  <c r="J267" i="16"/>
  <c r="X267" i="16" l="1"/>
  <c r="V267" i="16"/>
  <c r="W274" i="16"/>
  <c r="L275" i="16"/>
  <c r="U275" i="16" s="1"/>
  <c r="P273" i="16"/>
  <c r="Y273" i="16" s="1"/>
  <c r="N275" i="16"/>
  <c r="M277" i="16"/>
  <c r="J268" i="16"/>
  <c r="X268" i="16" l="1"/>
  <c r="V268" i="16"/>
  <c r="W275" i="16"/>
  <c r="L276" i="16"/>
  <c r="U276" i="16" s="1"/>
  <c r="P274" i="16"/>
  <c r="Y274" i="16" s="1"/>
  <c r="N276" i="16"/>
  <c r="M278" i="16"/>
  <c r="J269" i="16"/>
  <c r="X269" i="16" l="1"/>
  <c r="V269" i="16"/>
  <c r="W276" i="16"/>
  <c r="L277" i="16"/>
  <c r="U277" i="16" s="1"/>
  <c r="P275" i="16"/>
  <c r="Y275" i="16" s="1"/>
  <c r="N277" i="16"/>
  <c r="M279" i="16"/>
  <c r="J270" i="16"/>
  <c r="X270" i="16" l="1"/>
  <c r="V270" i="16"/>
  <c r="W277" i="16"/>
  <c r="L278" i="16"/>
  <c r="U278" i="16" s="1"/>
  <c r="P276" i="16"/>
  <c r="Y276" i="16" s="1"/>
  <c r="N278" i="16"/>
  <c r="M280" i="16"/>
  <c r="J271" i="16"/>
  <c r="X271" i="16" l="1"/>
  <c r="V271" i="16"/>
  <c r="W278" i="16"/>
  <c r="L279" i="16"/>
  <c r="U279" i="16" s="1"/>
  <c r="P277" i="16"/>
  <c r="Y277" i="16" s="1"/>
  <c r="N279" i="16"/>
  <c r="M281" i="16"/>
  <c r="J272" i="16"/>
  <c r="X272" i="16" l="1"/>
  <c r="V272" i="16"/>
  <c r="W279" i="16"/>
  <c r="L280" i="16"/>
  <c r="U280" i="16" s="1"/>
  <c r="P278" i="16"/>
  <c r="Y278" i="16" s="1"/>
  <c r="N280" i="16"/>
  <c r="M282" i="16"/>
  <c r="J273" i="16"/>
  <c r="X273" i="16" l="1"/>
  <c r="V273" i="16"/>
  <c r="W280" i="16"/>
  <c r="L281" i="16"/>
  <c r="U281" i="16" s="1"/>
  <c r="P279" i="16"/>
  <c r="Y279" i="16" s="1"/>
  <c r="N281" i="16"/>
  <c r="M283" i="16"/>
  <c r="J274" i="16"/>
  <c r="X274" i="16" l="1"/>
  <c r="V274" i="16"/>
  <c r="W281" i="16"/>
  <c r="L282" i="16"/>
  <c r="U282" i="16" s="1"/>
  <c r="P280" i="16"/>
  <c r="Y280" i="16" s="1"/>
  <c r="N282" i="16"/>
  <c r="M284" i="16"/>
  <c r="J275" i="16"/>
  <c r="X275" i="16" l="1"/>
  <c r="V275" i="16"/>
  <c r="W282" i="16"/>
  <c r="L283" i="16"/>
  <c r="U283" i="16" s="1"/>
  <c r="P281" i="16"/>
  <c r="Y281" i="16" s="1"/>
  <c r="N283" i="16"/>
  <c r="M285" i="16"/>
  <c r="J276" i="16"/>
  <c r="X276" i="16" l="1"/>
  <c r="V276" i="16"/>
  <c r="W283" i="16"/>
  <c r="L284" i="16"/>
  <c r="U284" i="16" s="1"/>
  <c r="P282" i="16"/>
  <c r="Y282" i="16" s="1"/>
  <c r="N284" i="16"/>
  <c r="M286" i="16"/>
  <c r="J277" i="16"/>
  <c r="X277" i="16" l="1"/>
  <c r="V277" i="16"/>
  <c r="W284" i="16"/>
  <c r="L285" i="16"/>
  <c r="U285" i="16" s="1"/>
  <c r="P283" i="16"/>
  <c r="Y283" i="16" s="1"/>
  <c r="N285" i="16"/>
  <c r="M287" i="16"/>
  <c r="J278" i="16"/>
  <c r="X278" i="16" l="1"/>
  <c r="V278" i="16"/>
  <c r="W285" i="16"/>
  <c r="L286" i="16"/>
  <c r="U286" i="16" s="1"/>
  <c r="P284" i="16"/>
  <c r="Y284" i="16" s="1"/>
  <c r="N286" i="16"/>
  <c r="M288" i="16"/>
  <c r="J279" i="16"/>
  <c r="X279" i="16" l="1"/>
  <c r="V279" i="16"/>
  <c r="W286" i="16"/>
  <c r="L287" i="16"/>
  <c r="U287" i="16" s="1"/>
  <c r="P285" i="16"/>
  <c r="Y285" i="16" s="1"/>
  <c r="N287" i="16"/>
  <c r="M289" i="16"/>
  <c r="J280" i="16"/>
  <c r="X280" i="16" l="1"/>
  <c r="V280" i="16"/>
  <c r="W287" i="16"/>
  <c r="L288" i="16"/>
  <c r="U288" i="16" s="1"/>
  <c r="P286" i="16"/>
  <c r="Y286" i="16" s="1"/>
  <c r="N288" i="16"/>
  <c r="M290" i="16"/>
  <c r="J281" i="16"/>
  <c r="X281" i="16" l="1"/>
  <c r="V281" i="16"/>
  <c r="W288" i="16"/>
  <c r="L289" i="16"/>
  <c r="U289" i="16" s="1"/>
  <c r="P287" i="16"/>
  <c r="Y287" i="16" s="1"/>
  <c r="N289" i="16"/>
  <c r="M291" i="16"/>
  <c r="J282" i="16"/>
  <c r="X282" i="16" l="1"/>
  <c r="V282" i="16"/>
  <c r="W289" i="16"/>
  <c r="L290" i="16"/>
  <c r="U290" i="16" s="1"/>
  <c r="P288" i="16"/>
  <c r="Y288" i="16" s="1"/>
  <c r="N290" i="16"/>
  <c r="M292" i="16"/>
  <c r="J283" i="16"/>
  <c r="X283" i="16" l="1"/>
  <c r="V283" i="16"/>
  <c r="W290" i="16"/>
  <c r="L291" i="16"/>
  <c r="U291" i="16" s="1"/>
  <c r="P289" i="16"/>
  <c r="Y289" i="16" s="1"/>
  <c r="N291" i="16"/>
  <c r="M293" i="16"/>
  <c r="J284" i="16"/>
  <c r="X284" i="16" l="1"/>
  <c r="V284" i="16"/>
  <c r="W291" i="16"/>
  <c r="L292" i="16"/>
  <c r="U292" i="16" s="1"/>
  <c r="P290" i="16"/>
  <c r="Y290" i="16" s="1"/>
  <c r="N292" i="16"/>
  <c r="M294" i="16"/>
  <c r="J285" i="16"/>
  <c r="X285" i="16" l="1"/>
  <c r="V285" i="16"/>
  <c r="W292" i="16"/>
  <c r="L293" i="16"/>
  <c r="U293" i="16" s="1"/>
  <c r="P291" i="16"/>
  <c r="Y291" i="16" s="1"/>
  <c r="N293" i="16"/>
  <c r="M295" i="16"/>
  <c r="J286" i="16"/>
  <c r="X286" i="16" l="1"/>
  <c r="V286" i="16"/>
  <c r="W293" i="16"/>
  <c r="L294" i="16"/>
  <c r="U294" i="16" s="1"/>
  <c r="P292" i="16"/>
  <c r="Y292" i="16" s="1"/>
  <c r="N294" i="16"/>
  <c r="M296" i="16"/>
  <c r="J287" i="16"/>
  <c r="X287" i="16" l="1"/>
  <c r="V287" i="16"/>
  <c r="W294" i="16"/>
  <c r="L295" i="16"/>
  <c r="U295" i="16" s="1"/>
  <c r="P293" i="16"/>
  <c r="Y293" i="16" s="1"/>
  <c r="N295" i="16"/>
  <c r="M297" i="16"/>
  <c r="J288" i="16"/>
  <c r="X288" i="16" l="1"/>
  <c r="V288" i="16"/>
  <c r="W295" i="16"/>
  <c r="L296" i="16"/>
  <c r="U296" i="16" s="1"/>
  <c r="P294" i="16"/>
  <c r="Y294" i="16" s="1"/>
  <c r="N296" i="16"/>
  <c r="M298" i="16"/>
  <c r="J289" i="16"/>
  <c r="X289" i="16" l="1"/>
  <c r="V289" i="16"/>
  <c r="W296" i="16"/>
  <c r="L297" i="16"/>
  <c r="U297" i="16" s="1"/>
  <c r="P295" i="16"/>
  <c r="Y295" i="16" s="1"/>
  <c r="N297" i="16"/>
  <c r="M299" i="16"/>
  <c r="J290" i="16"/>
  <c r="X290" i="16" l="1"/>
  <c r="V290" i="16"/>
  <c r="W297" i="16"/>
  <c r="L298" i="16"/>
  <c r="U298" i="16" s="1"/>
  <c r="P296" i="16"/>
  <c r="Y296" i="16" s="1"/>
  <c r="N298" i="16"/>
  <c r="M300" i="16"/>
  <c r="J291" i="16"/>
  <c r="X291" i="16" l="1"/>
  <c r="V291" i="16"/>
  <c r="W298" i="16"/>
  <c r="L299" i="16"/>
  <c r="U299" i="16" s="1"/>
  <c r="P297" i="16"/>
  <c r="Y297" i="16" s="1"/>
  <c r="N299" i="16"/>
  <c r="M301" i="16"/>
  <c r="J292" i="16"/>
  <c r="X292" i="16" l="1"/>
  <c r="V292" i="16"/>
  <c r="W299" i="16"/>
  <c r="L300" i="16"/>
  <c r="U300" i="16" s="1"/>
  <c r="P298" i="16"/>
  <c r="Y298" i="16" s="1"/>
  <c r="N300" i="16"/>
  <c r="M302" i="16"/>
  <c r="J293" i="16"/>
  <c r="X293" i="16" l="1"/>
  <c r="V293" i="16"/>
  <c r="W300" i="16"/>
  <c r="L301" i="16"/>
  <c r="U301" i="16" s="1"/>
  <c r="P299" i="16"/>
  <c r="Y299" i="16" s="1"/>
  <c r="N301" i="16"/>
  <c r="M303" i="16"/>
  <c r="J294" i="16"/>
  <c r="X294" i="16" l="1"/>
  <c r="V294" i="16"/>
  <c r="W301" i="16"/>
  <c r="L302" i="16"/>
  <c r="U302" i="16" s="1"/>
  <c r="P300" i="16"/>
  <c r="Y300" i="16" s="1"/>
  <c r="N302" i="16"/>
  <c r="M304" i="16"/>
  <c r="J295" i="16"/>
  <c r="X295" i="16" l="1"/>
  <c r="V295" i="16"/>
  <c r="W302" i="16"/>
  <c r="L303" i="16"/>
  <c r="U303" i="16" s="1"/>
  <c r="P301" i="16"/>
  <c r="Y301" i="16" s="1"/>
  <c r="N303" i="16"/>
  <c r="M305" i="16"/>
  <c r="J296" i="16"/>
  <c r="X296" i="16" l="1"/>
  <c r="V296" i="16"/>
  <c r="W303" i="16"/>
  <c r="L304" i="16"/>
  <c r="U304" i="16" s="1"/>
  <c r="P302" i="16"/>
  <c r="Y302" i="16" s="1"/>
  <c r="N304" i="16"/>
  <c r="M306" i="16"/>
  <c r="J297" i="16"/>
  <c r="X297" i="16" l="1"/>
  <c r="V297" i="16"/>
  <c r="W304" i="16"/>
  <c r="L305" i="16"/>
  <c r="U305" i="16" s="1"/>
  <c r="P303" i="16"/>
  <c r="Y303" i="16" s="1"/>
  <c r="N305" i="16"/>
  <c r="M307" i="16"/>
  <c r="J298" i="16"/>
  <c r="X298" i="16" l="1"/>
  <c r="V298" i="16"/>
  <c r="W305" i="16"/>
  <c r="L306" i="16"/>
  <c r="U306" i="16" s="1"/>
  <c r="P304" i="16"/>
  <c r="Y304" i="16" s="1"/>
  <c r="N306" i="16"/>
  <c r="M308" i="16"/>
  <c r="J299" i="16"/>
  <c r="X299" i="16" l="1"/>
  <c r="V299" i="16"/>
  <c r="W306" i="16"/>
  <c r="L307" i="16"/>
  <c r="U307" i="16" s="1"/>
  <c r="P305" i="16"/>
  <c r="Y305" i="16" s="1"/>
  <c r="N307" i="16"/>
  <c r="M309" i="16"/>
  <c r="J300" i="16"/>
  <c r="X300" i="16" l="1"/>
  <c r="V300" i="16"/>
  <c r="W307" i="16"/>
  <c r="L308" i="16"/>
  <c r="U308" i="16" s="1"/>
  <c r="P306" i="16"/>
  <c r="Y306" i="16" s="1"/>
  <c r="N308" i="16"/>
  <c r="M310" i="16"/>
  <c r="J301" i="16"/>
  <c r="X301" i="16" l="1"/>
  <c r="V301" i="16"/>
  <c r="W308" i="16"/>
  <c r="L309" i="16"/>
  <c r="U309" i="16" s="1"/>
  <c r="P307" i="16"/>
  <c r="Y307" i="16" s="1"/>
  <c r="N309" i="16"/>
  <c r="M311" i="16"/>
  <c r="J302" i="16"/>
  <c r="X302" i="16" l="1"/>
  <c r="V302" i="16"/>
  <c r="W309" i="16"/>
  <c r="L310" i="16"/>
  <c r="U310" i="16" s="1"/>
  <c r="P308" i="16"/>
  <c r="Y308" i="16" s="1"/>
  <c r="N310" i="16"/>
  <c r="M312" i="16"/>
  <c r="J303" i="16"/>
  <c r="X303" i="16" l="1"/>
  <c r="V303" i="16"/>
  <c r="W310" i="16"/>
  <c r="L311" i="16"/>
  <c r="U311" i="16" s="1"/>
  <c r="P309" i="16"/>
  <c r="Y309" i="16" s="1"/>
  <c r="N311" i="16"/>
  <c r="M313" i="16"/>
  <c r="J304" i="16"/>
  <c r="X304" i="16" l="1"/>
  <c r="V304" i="16"/>
  <c r="W311" i="16"/>
  <c r="L312" i="16"/>
  <c r="U312" i="16" s="1"/>
  <c r="P310" i="16"/>
  <c r="Y310" i="16" s="1"/>
  <c r="N312" i="16"/>
  <c r="M314" i="16"/>
  <c r="J305" i="16"/>
  <c r="X305" i="16" l="1"/>
  <c r="V305" i="16"/>
  <c r="W312" i="16"/>
  <c r="L313" i="16"/>
  <c r="U313" i="16" s="1"/>
  <c r="P311" i="16"/>
  <c r="Y311" i="16" s="1"/>
  <c r="N313" i="16"/>
  <c r="M315" i="16"/>
  <c r="J306" i="16"/>
  <c r="X306" i="16" l="1"/>
  <c r="V306" i="16"/>
  <c r="W313" i="16"/>
  <c r="L314" i="16"/>
  <c r="U314" i="16" s="1"/>
  <c r="P312" i="16"/>
  <c r="Y312" i="16" s="1"/>
  <c r="N314" i="16"/>
  <c r="M316" i="16"/>
  <c r="J307" i="16"/>
  <c r="X307" i="16" l="1"/>
  <c r="V307" i="16"/>
  <c r="W314" i="16"/>
  <c r="L315" i="16"/>
  <c r="U315" i="16" s="1"/>
  <c r="P313" i="16"/>
  <c r="Y313" i="16" s="1"/>
  <c r="N315" i="16"/>
  <c r="M317" i="16"/>
  <c r="J308" i="16"/>
  <c r="X308" i="16" l="1"/>
  <c r="V308" i="16"/>
  <c r="W315" i="16"/>
  <c r="L316" i="16"/>
  <c r="U316" i="16" s="1"/>
  <c r="P314" i="16"/>
  <c r="Y314" i="16" s="1"/>
  <c r="N316" i="16"/>
  <c r="M318" i="16"/>
  <c r="J309" i="16"/>
  <c r="X309" i="16" l="1"/>
  <c r="V309" i="16"/>
  <c r="W316" i="16"/>
  <c r="L317" i="16"/>
  <c r="U317" i="16" s="1"/>
  <c r="P315" i="16"/>
  <c r="Y315" i="16" s="1"/>
  <c r="N317" i="16"/>
  <c r="M319" i="16"/>
  <c r="J310" i="16"/>
  <c r="X310" i="16" l="1"/>
  <c r="V310" i="16"/>
  <c r="W317" i="16"/>
  <c r="L318" i="16"/>
  <c r="U318" i="16" s="1"/>
  <c r="P316" i="16"/>
  <c r="Y316" i="16" s="1"/>
  <c r="N318" i="16"/>
  <c r="M320" i="16"/>
  <c r="J311" i="16"/>
  <c r="X311" i="16" l="1"/>
  <c r="V311" i="16"/>
  <c r="W318" i="16"/>
  <c r="L319" i="16"/>
  <c r="U319" i="16" s="1"/>
  <c r="P317" i="16"/>
  <c r="Y317" i="16" s="1"/>
  <c r="N319" i="16"/>
  <c r="M321" i="16"/>
  <c r="J312" i="16"/>
  <c r="X312" i="16" l="1"/>
  <c r="V312" i="16"/>
  <c r="W319" i="16"/>
  <c r="L320" i="16"/>
  <c r="U320" i="16" s="1"/>
  <c r="P318" i="16"/>
  <c r="Y318" i="16" s="1"/>
  <c r="N320" i="16"/>
  <c r="M322" i="16"/>
  <c r="J313" i="16"/>
  <c r="X313" i="16" l="1"/>
  <c r="V313" i="16"/>
  <c r="W320" i="16"/>
  <c r="L321" i="16"/>
  <c r="U321" i="16" s="1"/>
  <c r="P319" i="16"/>
  <c r="Y319" i="16" s="1"/>
  <c r="N321" i="16"/>
  <c r="M323" i="16"/>
  <c r="J314" i="16"/>
  <c r="X314" i="16" l="1"/>
  <c r="V314" i="16"/>
  <c r="W321" i="16"/>
  <c r="L322" i="16"/>
  <c r="U322" i="16" s="1"/>
  <c r="P320" i="16"/>
  <c r="Y320" i="16" s="1"/>
  <c r="N322" i="16"/>
  <c r="M324" i="16"/>
  <c r="J315" i="16"/>
  <c r="X315" i="16" l="1"/>
  <c r="V315" i="16"/>
  <c r="W322" i="16"/>
  <c r="L323" i="16"/>
  <c r="U323" i="16" s="1"/>
  <c r="P321" i="16"/>
  <c r="Y321" i="16" s="1"/>
  <c r="N323" i="16"/>
  <c r="M325" i="16"/>
  <c r="J316" i="16"/>
  <c r="X316" i="16" l="1"/>
  <c r="V316" i="16"/>
  <c r="W323" i="16"/>
  <c r="L324" i="16"/>
  <c r="U324" i="16" s="1"/>
  <c r="P322" i="16"/>
  <c r="Y322" i="16" s="1"/>
  <c r="N324" i="16"/>
  <c r="M326" i="16"/>
  <c r="J317" i="16"/>
  <c r="X317" i="16" l="1"/>
  <c r="V317" i="16"/>
  <c r="W324" i="16"/>
  <c r="L325" i="16"/>
  <c r="U325" i="16" s="1"/>
  <c r="P323" i="16"/>
  <c r="Y323" i="16" s="1"/>
  <c r="N325" i="16"/>
  <c r="M327" i="16"/>
  <c r="J318" i="16"/>
  <c r="X318" i="16" l="1"/>
  <c r="V318" i="16"/>
  <c r="W325" i="16"/>
  <c r="L326" i="16"/>
  <c r="U326" i="16" s="1"/>
  <c r="P324" i="16"/>
  <c r="Y324" i="16" s="1"/>
  <c r="N326" i="16"/>
  <c r="M328" i="16"/>
  <c r="J319" i="16"/>
  <c r="X319" i="16" l="1"/>
  <c r="V319" i="16"/>
  <c r="W326" i="16"/>
  <c r="L327" i="16"/>
  <c r="U327" i="16" s="1"/>
  <c r="P325" i="16"/>
  <c r="Y325" i="16" s="1"/>
  <c r="N327" i="16"/>
  <c r="M329" i="16"/>
  <c r="J320" i="16"/>
  <c r="X320" i="16" l="1"/>
  <c r="V320" i="16"/>
  <c r="W327" i="16"/>
  <c r="L328" i="16"/>
  <c r="U328" i="16" s="1"/>
  <c r="P326" i="16"/>
  <c r="Y326" i="16" s="1"/>
  <c r="N328" i="16"/>
  <c r="M330" i="16"/>
  <c r="J321" i="16"/>
  <c r="X321" i="16" l="1"/>
  <c r="V321" i="16"/>
  <c r="W328" i="16"/>
  <c r="L329" i="16"/>
  <c r="U329" i="16" s="1"/>
  <c r="P327" i="16"/>
  <c r="Y327" i="16" s="1"/>
  <c r="N329" i="16"/>
  <c r="M331" i="16"/>
  <c r="J322" i="16"/>
  <c r="X322" i="16" l="1"/>
  <c r="V322" i="16"/>
  <c r="W329" i="16"/>
  <c r="L330" i="16"/>
  <c r="U330" i="16" s="1"/>
  <c r="P328" i="16"/>
  <c r="Y328" i="16" s="1"/>
  <c r="N330" i="16"/>
  <c r="M332" i="16"/>
  <c r="J323" i="16"/>
  <c r="X323" i="16" l="1"/>
  <c r="V323" i="16"/>
  <c r="W330" i="16"/>
  <c r="L331" i="16"/>
  <c r="U331" i="16" s="1"/>
  <c r="P329" i="16"/>
  <c r="Y329" i="16" s="1"/>
  <c r="N331" i="16"/>
  <c r="M333" i="16"/>
  <c r="J324" i="16"/>
  <c r="X324" i="16" l="1"/>
  <c r="V324" i="16"/>
  <c r="W331" i="16"/>
  <c r="L332" i="16"/>
  <c r="U332" i="16" s="1"/>
  <c r="P330" i="16"/>
  <c r="Y330" i="16" s="1"/>
  <c r="N332" i="16"/>
  <c r="M334" i="16"/>
  <c r="J325" i="16"/>
  <c r="X325" i="16" l="1"/>
  <c r="V325" i="16"/>
  <c r="W332" i="16"/>
  <c r="L333" i="16"/>
  <c r="U333" i="16" s="1"/>
  <c r="P331" i="16"/>
  <c r="Y331" i="16" s="1"/>
  <c r="N333" i="16"/>
  <c r="M335" i="16"/>
  <c r="J326" i="16"/>
  <c r="X326" i="16" l="1"/>
  <c r="V326" i="16"/>
  <c r="W333" i="16"/>
  <c r="L334" i="16"/>
  <c r="U334" i="16" s="1"/>
  <c r="P332" i="16"/>
  <c r="Y332" i="16" s="1"/>
  <c r="N334" i="16"/>
  <c r="M336" i="16"/>
  <c r="J327" i="16"/>
  <c r="X327" i="16" l="1"/>
  <c r="V327" i="16"/>
  <c r="W334" i="16"/>
  <c r="L335" i="16"/>
  <c r="U335" i="16" s="1"/>
  <c r="P333" i="16"/>
  <c r="Y333" i="16" s="1"/>
  <c r="N335" i="16"/>
  <c r="M337" i="16"/>
  <c r="J328" i="16"/>
  <c r="X328" i="16" l="1"/>
  <c r="V328" i="16"/>
  <c r="W335" i="16"/>
  <c r="L336" i="16"/>
  <c r="U336" i="16" s="1"/>
  <c r="P334" i="16"/>
  <c r="Y334" i="16" s="1"/>
  <c r="N336" i="16"/>
  <c r="M338" i="16"/>
  <c r="J329" i="16"/>
  <c r="X329" i="16" l="1"/>
  <c r="V329" i="16"/>
  <c r="W336" i="16"/>
  <c r="L337" i="16"/>
  <c r="U337" i="16" s="1"/>
  <c r="P335" i="16"/>
  <c r="Y335" i="16" s="1"/>
  <c r="N337" i="16"/>
  <c r="M339" i="16"/>
  <c r="J330" i="16"/>
  <c r="X330" i="16" l="1"/>
  <c r="V330" i="16"/>
  <c r="W337" i="16"/>
  <c r="L338" i="16"/>
  <c r="U338" i="16" s="1"/>
  <c r="P336" i="16"/>
  <c r="Y336" i="16" s="1"/>
  <c r="N338" i="16"/>
  <c r="M340" i="16"/>
  <c r="J331" i="16"/>
  <c r="X331" i="16" l="1"/>
  <c r="V331" i="16"/>
  <c r="W338" i="16"/>
  <c r="L339" i="16"/>
  <c r="U339" i="16" s="1"/>
  <c r="P337" i="16"/>
  <c r="Y337" i="16" s="1"/>
  <c r="N339" i="16"/>
  <c r="M341" i="16"/>
  <c r="J332" i="16"/>
  <c r="X332" i="16" l="1"/>
  <c r="V332" i="16"/>
  <c r="W339" i="16"/>
  <c r="L340" i="16"/>
  <c r="U340" i="16" s="1"/>
  <c r="P338" i="16"/>
  <c r="Y338" i="16" s="1"/>
  <c r="N340" i="16"/>
  <c r="M342" i="16"/>
  <c r="J333" i="16"/>
  <c r="X333" i="16" l="1"/>
  <c r="V333" i="16"/>
  <c r="W340" i="16"/>
  <c r="L341" i="16"/>
  <c r="U341" i="16" s="1"/>
  <c r="P339" i="16"/>
  <c r="Y339" i="16" s="1"/>
  <c r="N341" i="16"/>
  <c r="M343" i="16"/>
  <c r="J334" i="16"/>
  <c r="X334" i="16" l="1"/>
  <c r="V334" i="16"/>
  <c r="W341" i="16"/>
  <c r="L342" i="16"/>
  <c r="U342" i="16" s="1"/>
  <c r="P340" i="16"/>
  <c r="Y340" i="16" s="1"/>
  <c r="N342" i="16"/>
  <c r="M344" i="16"/>
  <c r="J335" i="16"/>
  <c r="X335" i="16" l="1"/>
  <c r="V335" i="16"/>
  <c r="W342" i="16"/>
  <c r="L343" i="16"/>
  <c r="U343" i="16" s="1"/>
  <c r="P341" i="16"/>
  <c r="Y341" i="16" s="1"/>
  <c r="N343" i="16"/>
  <c r="M345" i="16"/>
  <c r="J336" i="16"/>
  <c r="X336" i="16" l="1"/>
  <c r="V336" i="16"/>
  <c r="W343" i="16"/>
  <c r="L344" i="16"/>
  <c r="U344" i="16" s="1"/>
  <c r="P342" i="16"/>
  <c r="Y342" i="16" s="1"/>
  <c r="N344" i="16"/>
  <c r="M346" i="16"/>
  <c r="J337" i="16"/>
  <c r="X337" i="16" l="1"/>
  <c r="V337" i="16"/>
  <c r="W344" i="16"/>
  <c r="L345" i="16"/>
  <c r="U345" i="16" s="1"/>
  <c r="P343" i="16"/>
  <c r="Y343" i="16" s="1"/>
  <c r="N345" i="16"/>
  <c r="M347" i="16"/>
  <c r="J338" i="16"/>
  <c r="X338" i="16" l="1"/>
  <c r="V338" i="16"/>
  <c r="W345" i="16"/>
  <c r="L346" i="16"/>
  <c r="U346" i="16" s="1"/>
  <c r="P344" i="16"/>
  <c r="Y344" i="16" s="1"/>
  <c r="N346" i="16"/>
  <c r="M348" i="16"/>
  <c r="J339" i="16"/>
  <c r="X339" i="16" l="1"/>
  <c r="V339" i="16"/>
  <c r="W346" i="16"/>
  <c r="L347" i="16"/>
  <c r="U347" i="16" s="1"/>
  <c r="P345" i="16"/>
  <c r="Y345" i="16" s="1"/>
  <c r="N347" i="16"/>
  <c r="M349" i="16"/>
  <c r="J340" i="16"/>
  <c r="X340" i="16" l="1"/>
  <c r="V340" i="16"/>
  <c r="W347" i="16"/>
  <c r="L348" i="16"/>
  <c r="U348" i="16" s="1"/>
  <c r="P346" i="16"/>
  <c r="Y346" i="16" s="1"/>
  <c r="N348" i="16"/>
  <c r="M350" i="16"/>
  <c r="J341" i="16"/>
  <c r="X341" i="16" l="1"/>
  <c r="V341" i="16"/>
  <c r="W348" i="16"/>
  <c r="L349" i="16"/>
  <c r="U349" i="16" s="1"/>
  <c r="P347" i="16"/>
  <c r="Y347" i="16" s="1"/>
  <c r="N349" i="16"/>
  <c r="M351" i="16"/>
  <c r="J342" i="16"/>
  <c r="X342" i="16" l="1"/>
  <c r="V342" i="16"/>
  <c r="W349" i="16"/>
  <c r="L350" i="16"/>
  <c r="U350" i="16" s="1"/>
  <c r="P348" i="16"/>
  <c r="Y348" i="16" s="1"/>
  <c r="N350" i="16"/>
  <c r="M352" i="16"/>
  <c r="J343" i="16"/>
  <c r="X343" i="16" l="1"/>
  <c r="V343" i="16"/>
  <c r="W350" i="16"/>
  <c r="L351" i="16"/>
  <c r="U351" i="16" s="1"/>
  <c r="P349" i="16"/>
  <c r="Y349" i="16" s="1"/>
  <c r="N351" i="16"/>
  <c r="M353" i="16"/>
  <c r="J344" i="16"/>
  <c r="X344" i="16" l="1"/>
  <c r="V344" i="16"/>
  <c r="W351" i="16"/>
  <c r="L352" i="16"/>
  <c r="U352" i="16" s="1"/>
  <c r="P350" i="16"/>
  <c r="Y350" i="16" s="1"/>
  <c r="N352" i="16"/>
  <c r="M354" i="16"/>
  <c r="J345" i="16"/>
  <c r="X345" i="16" l="1"/>
  <c r="V345" i="16"/>
  <c r="W352" i="16"/>
  <c r="L353" i="16"/>
  <c r="U353" i="16" s="1"/>
  <c r="P351" i="16"/>
  <c r="Y351" i="16" s="1"/>
  <c r="N353" i="16"/>
  <c r="M355" i="16"/>
  <c r="J346" i="16"/>
  <c r="X346" i="16" l="1"/>
  <c r="V346" i="16"/>
  <c r="W353" i="16"/>
  <c r="L354" i="16"/>
  <c r="U354" i="16" s="1"/>
  <c r="P352" i="16"/>
  <c r="Y352" i="16" s="1"/>
  <c r="N354" i="16"/>
  <c r="M356" i="16"/>
  <c r="J347" i="16"/>
  <c r="X347" i="16" l="1"/>
  <c r="V347" i="16"/>
  <c r="W354" i="16"/>
  <c r="L355" i="16"/>
  <c r="U355" i="16" s="1"/>
  <c r="P353" i="16"/>
  <c r="Y353" i="16" s="1"/>
  <c r="N355" i="16"/>
  <c r="M357" i="16"/>
  <c r="J348" i="16"/>
  <c r="X348" i="16" l="1"/>
  <c r="V348" i="16"/>
  <c r="W355" i="16"/>
  <c r="L356" i="16"/>
  <c r="U356" i="16" s="1"/>
  <c r="P354" i="16"/>
  <c r="Y354" i="16" s="1"/>
  <c r="N356" i="16"/>
  <c r="M358" i="16"/>
  <c r="J349" i="16"/>
  <c r="X349" i="16" l="1"/>
  <c r="V349" i="16"/>
  <c r="W356" i="16"/>
  <c r="L357" i="16"/>
  <c r="U357" i="16" s="1"/>
  <c r="P355" i="16"/>
  <c r="Y355" i="16" s="1"/>
  <c r="N357" i="16"/>
  <c r="M359" i="16"/>
  <c r="J350" i="16"/>
  <c r="X350" i="16" l="1"/>
  <c r="V350" i="16"/>
  <c r="W357" i="16"/>
  <c r="L358" i="16"/>
  <c r="U358" i="16" s="1"/>
  <c r="P356" i="16"/>
  <c r="Y356" i="16" s="1"/>
  <c r="N358" i="16"/>
  <c r="M360" i="16"/>
  <c r="J351" i="16"/>
  <c r="X351" i="16" l="1"/>
  <c r="V351" i="16"/>
  <c r="W358" i="16"/>
  <c r="L359" i="16"/>
  <c r="U359" i="16" s="1"/>
  <c r="P357" i="16"/>
  <c r="Y357" i="16" s="1"/>
  <c r="N359" i="16"/>
  <c r="M361" i="16"/>
  <c r="J352" i="16"/>
  <c r="X352" i="16" l="1"/>
  <c r="V352" i="16"/>
  <c r="W359" i="16"/>
  <c r="L360" i="16"/>
  <c r="U360" i="16" s="1"/>
  <c r="P358" i="16"/>
  <c r="Y358" i="16" s="1"/>
  <c r="N360" i="16"/>
  <c r="M362" i="16"/>
  <c r="J353" i="16"/>
  <c r="X353" i="16" l="1"/>
  <c r="V353" i="16"/>
  <c r="W360" i="16"/>
  <c r="L361" i="16"/>
  <c r="U361" i="16" s="1"/>
  <c r="P359" i="16"/>
  <c r="Y359" i="16" s="1"/>
  <c r="N361" i="16"/>
  <c r="M363" i="16"/>
  <c r="J354" i="16"/>
  <c r="X354" i="16" l="1"/>
  <c r="V354" i="16"/>
  <c r="W361" i="16"/>
  <c r="L362" i="16"/>
  <c r="U362" i="16" s="1"/>
  <c r="P360" i="16"/>
  <c r="Y360" i="16" s="1"/>
  <c r="N362" i="16"/>
  <c r="M364" i="16"/>
  <c r="J355" i="16"/>
  <c r="X355" i="16" l="1"/>
  <c r="V355" i="16"/>
  <c r="W362" i="16"/>
  <c r="L363" i="16"/>
  <c r="U363" i="16" s="1"/>
  <c r="P361" i="16"/>
  <c r="Y361" i="16" s="1"/>
  <c r="N363" i="16"/>
  <c r="M365" i="16"/>
  <c r="J356" i="16"/>
  <c r="X356" i="16" l="1"/>
  <c r="V356" i="16"/>
  <c r="W363" i="16"/>
  <c r="L364" i="16"/>
  <c r="U364" i="16" s="1"/>
  <c r="P362" i="16"/>
  <c r="Y362" i="16" s="1"/>
  <c r="N364" i="16"/>
  <c r="M366" i="16"/>
  <c r="J357" i="16"/>
  <c r="X357" i="16" l="1"/>
  <c r="V357" i="16"/>
  <c r="W364" i="16"/>
  <c r="L365" i="16"/>
  <c r="U365" i="16" s="1"/>
  <c r="P363" i="16"/>
  <c r="Y363" i="16" s="1"/>
  <c r="N365" i="16"/>
  <c r="M367" i="16"/>
  <c r="J358" i="16"/>
  <c r="X358" i="16" l="1"/>
  <c r="V358" i="16"/>
  <c r="W365" i="16"/>
  <c r="L366" i="16"/>
  <c r="U366" i="16" s="1"/>
  <c r="P364" i="16"/>
  <c r="Y364" i="16" s="1"/>
  <c r="N366" i="16"/>
  <c r="M368" i="16"/>
  <c r="J359" i="16"/>
  <c r="X359" i="16" l="1"/>
  <c r="V359" i="16"/>
  <c r="W366" i="16"/>
  <c r="L367" i="16"/>
  <c r="U367" i="16" s="1"/>
  <c r="P365" i="16"/>
  <c r="Y365" i="16" s="1"/>
  <c r="N367" i="16"/>
  <c r="M369" i="16"/>
  <c r="J360" i="16"/>
  <c r="X360" i="16" l="1"/>
  <c r="V360" i="16"/>
  <c r="W367" i="16"/>
  <c r="L368" i="16"/>
  <c r="U368" i="16" s="1"/>
  <c r="P366" i="16"/>
  <c r="Y366" i="16" s="1"/>
  <c r="N368" i="16"/>
  <c r="M370" i="16"/>
  <c r="J361" i="16"/>
  <c r="X361" i="16" l="1"/>
  <c r="V361" i="16"/>
  <c r="W368" i="16"/>
  <c r="L369" i="16"/>
  <c r="U369" i="16" s="1"/>
  <c r="P367" i="16"/>
  <c r="Y367" i="16" s="1"/>
  <c r="N369" i="16"/>
  <c r="M371" i="16"/>
  <c r="J362" i="16"/>
  <c r="X362" i="16" l="1"/>
  <c r="V362" i="16"/>
  <c r="W369" i="16"/>
  <c r="L370" i="16"/>
  <c r="U370" i="16" s="1"/>
  <c r="P368" i="16"/>
  <c r="Y368" i="16" s="1"/>
  <c r="N370" i="16"/>
  <c r="J363" i="16"/>
  <c r="X363" i="16" l="1"/>
  <c r="V363" i="16"/>
  <c r="W370" i="16"/>
  <c r="L371" i="16"/>
  <c r="U371" i="16" s="1"/>
  <c r="P369" i="16"/>
  <c r="Y369" i="16" s="1"/>
  <c r="N371" i="16"/>
  <c r="J364" i="16"/>
  <c r="X364" i="16" l="1"/>
  <c r="V364" i="16"/>
  <c r="W371" i="16"/>
  <c r="P370" i="16"/>
  <c r="Y370" i="16" s="1"/>
  <c r="J365" i="16"/>
  <c r="X365" i="16" l="1"/>
  <c r="V365" i="16"/>
  <c r="P371" i="16"/>
  <c r="Y371" i="16" s="1"/>
  <c r="J366" i="16"/>
  <c r="X366" i="16" l="1"/>
  <c r="V366" i="16"/>
  <c r="J367" i="16"/>
  <c r="X367" i="16" l="1"/>
  <c r="V367" i="16"/>
  <c r="J368" i="16"/>
  <c r="X368" i="16" l="1"/>
  <c r="V368" i="16"/>
  <c r="J369" i="16"/>
  <c r="X369" i="16" l="1"/>
  <c r="V369" i="16"/>
  <c r="J370" i="16"/>
  <c r="X370" i="16" l="1"/>
  <c r="V370" i="16"/>
  <c r="J371" i="16"/>
  <c r="X371" i="16" l="1"/>
  <c r="V371" i="16"/>
  <c r="O9" i="16"/>
  <c r="O135" i="16" s="1"/>
  <c r="Z135" i="16" l="1"/>
  <c r="T135" i="16" s="1"/>
  <c r="R135" i="16" s="1"/>
  <c r="O136" i="16"/>
  <c r="Z136" i="16" l="1"/>
  <c r="T136" i="16" s="1"/>
  <c r="R136" i="16" s="1"/>
  <c r="S135" i="16"/>
  <c r="O137" i="16"/>
  <c r="Z137" i="16" l="1"/>
  <c r="T137" i="16" s="1"/>
  <c r="R137" i="16" s="1"/>
  <c r="O138" i="16"/>
  <c r="S136" i="16"/>
  <c r="Z138" i="16" l="1"/>
  <c r="T138" i="16" s="1"/>
  <c r="R138" i="16" s="1"/>
  <c r="O139" i="16"/>
  <c r="S137" i="16"/>
  <c r="Z139" i="16" l="1"/>
  <c r="T139" i="16" s="1"/>
  <c r="R139" i="16" s="1"/>
  <c r="O140" i="16"/>
  <c r="S138" i="16"/>
  <c r="Z140" i="16" l="1"/>
  <c r="T140" i="16" s="1"/>
  <c r="R140" i="16" s="1"/>
  <c r="S139" i="16"/>
  <c r="O141" i="16"/>
  <c r="Z141" i="16" l="1"/>
  <c r="T141" i="16" s="1"/>
  <c r="R141" i="16" s="1"/>
  <c r="O142" i="16"/>
  <c r="S140" i="16"/>
  <c r="Z142" i="16" l="1"/>
  <c r="T142" i="16" s="1"/>
  <c r="R142" i="16" s="1"/>
  <c r="S141" i="16"/>
  <c r="O143" i="16"/>
  <c r="Z143" i="16" l="1"/>
  <c r="T143" i="16" s="1"/>
  <c r="R143" i="16" s="1"/>
  <c r="O144" i="16"/>
  <c r="S142" i="16"/>
  <c r="Z144" i="16" l="1"/>
  <c r="T144" i="16" s="1"/>
  <c r="R144" i="16" s="1"/>
  <c r="O145" i="16"/>
  <c r="S143" i="16"/>
  <c r="Z145" i="16" l="1"/>
  <c r="T145" i="16" s="1"/>
  <c r="R145" i="16" s="1"/>
  <c r="O146" i="16"/>
  <c r="S144" i="16"/>
  <c r="Z146" i="16" l="1"/>
  <c r="T146" i="16" s="1"/>
  <c r="R146" i="16" s="1"/>
  <c r="S145" i="16"/>
  <c r="O147" i="16"/>
  <c r="Z147" i="16" l="1"/>
  <c r="T147" i="16" s="1"/>
  <c r="R147" i="16" s="1"/>
  <c r="O148" i="16"/>
  <c r="S146" i="16"/>
  <c r="Z148" i="16" l="1"/>
  <c r="T148" i="16" s="1"/>
  <c r="R148" i="16" s="1"/>
  <c r="O149" i="16"/>
  <c r="S147" i="16"/>
  <c r="Z149" i="16" l="1"/>
  <c r="T149" i="16" s="1"/>
  <c r="R149" i="16" s="1"/>
  <c r="S148" i="16"/>
  <c r="O150" i="16"/>
  <c r="Z150" i="16" l="1"/>
  <c r="T150" i="16" s="1"/>
  <c r="R150" i="16" s="1"/>
  <c r="O151" i="16"/>
  <c r="S149" i="16"/>
  <c r="Z151" i="16" l="1"/>
  <c r="T151" i="16" s="1"/>
  <c r="R151" i="16" s="1"/>
  <c r="O152" i="16"/>
  <c r="S150" i="16"/>
  <c r="Z152" i="16" l="1"/>
  <c r="T152" i="16" s="1"/>
  <c r="R152" i="16" s="1"/>
  <c r="S151" i="16"/>
  <c r="O153" i="16"/>
  <c r="Z153" i="16" l="1"/>
  <c r="T153" i="16" s="1"/>
  <c r="R153" i="16" s="1"/>
  <c r="O154" i="16"/>
  <c r="S152" i="16"/>
  <c r="Z154" i="16" l="1"/>
  <c r="T154" i="16" s="1"/>
  <c r="R154" i="16" s="1"/>
  <c r="S153" i="16"/>
  <c r="O155" i="16"/>
  <c r="Z155" i="16" l="1"/>
  <c r="T155" i="16" s="1"/>
  <c r="R155" i="16" s="1"/>
  <c r="S154" i="16"/>
  <c r="O156" i="16"/>
  <c r="Z156" i="16" l="1"/>
  <c r="T156" i="16" s="1"/>
  <c r="R156" i="16" s="1"/>
  <c r="O157" i="16"/>
  <c r="S155" i="16"/>
  <c r="Z157" i="16" l="1"/>
  <c r="T157" i="16" s="1"/>
  <c r="R157" i="16" s="1"/>
  <c r="O158" i="16"/>
  <c r="S156" i="16"/>
  <c r="Z158" i="16" l="1"/>
  <c r="T158" i="16" s="1"/>
  <c r="R158" i="16" s="1"/>
  <c r="S157" i="16"/>
  <c r="O159" i="16"/>
  <c r="Z159" i="16" l="1"/>
  <c r="T159" i="16" s="1"/>
  <c r="R159" i="16" s="1"/>
  <c r="S158" i="16"/>
  <c r="O160" i="16"/>
  <c r="Z160" i="16" l="1"/>
  <c r="T160" i="16" s="1"/>
  <c r="R160" i="16" s="1"/>
  <c r="S159" i="16"/>
  <c r="O161" i="16"/>
  <c r="Z161" i="16" l="1"/>
  <c r="T161" i="16" s="1"/>
  <c r="R161" i="16" s="1"/>
  <c r="O162" i="16"/>
  <c r="S160" i="16"/>
  <c r="Z162" i="16" l="1"/>
  <c r="T162" i="16" s="1"/>
  <c r="R162" i="16" s="1"/>
  <c r="S161" i="16"/>
  <c r="O163" i="16"/>
  <c r="Z163" i="16" l="1"/>
  <c r="T163" i="16" s="1"/>
  <c r="R163" i="16" s="1"/>
  <c r="S162" i="16"/>
  <c r="O164" i="16"/>
  <c r="Z164" i="16" l="1"/>
  <c r="T164" i="16" s="1"/>
  <c r="R164" i="16" s="1"/>
  <c r="O165" i="16"/>
  <c r="S163" i="16"/>
  <c r="Z165" i="16" l="1"/>
  <c r="T165" i="16" s="1"/>
  <c r="R165" i="16" s="1"/>
  <c r="O166" i="16"/>
  <c r="S164" i="16"/>
  <c r="Z166" i="16" l="1"/>
  <c r="T166" i="16" s="1"/>
  <c r="R166" i="16" s="1"/>
  <c r="O167" i="16"/>
  <c r="S165" i="16"/>
  <c r="Z167" i="16" l="1"/>
  <c r="T167" i="16" s="1"/>
  <c r="R167" i="16" s="1"/>
  <c r="S166" i="16"/>
  <c r="O168" i="16"/>
  <c r="Z168" i="16" l="1"/>
  <c r="T168" i="16" s="1"/>
  <c r="R168" i="16" s="1"/>
  <c r="S167" i="16"/>
  <c r="O169" i="16"/>
  <c r="Z169" i="16" l="1"/>
  <c r="T169" i="16" s="1"/>
  <c r="R169" i="16" s="1"/>
  <c r="O170" i="16"/>
  <c r="S168" i="16"/>
  <c r="Z170" i="16" l="1"/>
  <c r="T170" i="16" s="1"/>
  <c r="R170" i="16" s="1"/>
  <c r="O171" i="16"/>
  <c r="S169" i="16"/>
  <c r="Z171" i="16" l="1"/>
  <c r="T171" i="16" s="1"/>
  <c r="R171" i="16" s="1"/>
  <c r="S170" i="16"/>
  <c r="O172" i="16"/>
  <c r="Z172" i="16" l="1"/>
  <c r="T172" i="16" s="1"/>
  <c r="R172" i="16" s="1"/>
  <c r="O173" i="16"/>
  <c r="S171" i="16"/>
  <c r="Z173" i="16" l="1"/>
  <c r="T173" i="16" s="1"/>
  <c r="R173" i="16" s="1"/>
  <c r="O174" i="16"/>
  <c r="S172" i="16"/>
  <c r="Z174" i="16" l="1"/>
  <c r="T174" i="16" s="1"/>
  <c r="R174" i="16" s="1"/>
  <c r="O175" i="16"/>
  <c r="S173" i="16"/>
  <c r="Z175" i="16" l="1"/>
  <c r="T175" i="16" s="1"/>
  <c r="R175" i="16" s="1"/>
  <c r="S174" i="16"/>
  <c r="O176" i="16"/>
  <c r="Z176" i="16" l="1"/>
  <c r="T176" i="16" s="1"/>
  <c r="R176" i="16" s="1"/>
  <c r="S175" i="16"/>
  <c r="O177" i="16"/>
  <c r="Z177" i="16" l="1"/>
  <c r="T177" i="16" s="1"/>
  <c r="R177" i="16" s="1"/>
  <c r="S176" i="16"/>
  <c r="O178" i="16"/>
  <c r="Z178" i="16" l="1"/>
  <c r="T178" i="16" s="1"/>
  <c r="R178" i="16" s="1"/>
  <c r="O179" i="16"/>
  <c r="S177" i="16"/>
  <c r="Z179" i="16" l="1"/>
  <c r="T179" i="16" s="1"/>
  <c r="R179" i="16" s="1"/>
  <c r="S178" i="16"/>
  <c r="O180" i="16"/>
  <c r="Z180" i="16" l="1"/>
  <c r="T180" i="16" s="1"/>
  <c r="R180" i="16" s="1"/>
  <c r="S179" i="16"/>
  <c r="O181" i="16"/>
  <c r="Z181" i="16" l="1"/>
  <c r="T181" i="16" s="1"/>
  <c r="R181" i="16" s="1"/>
  <c r="O182" i="16"/>
  <c r="S180" i="16"/>
  <c r="Z182" i="16" l="1"/>
  <c r="T182" i="16" s="1"/>
  <c r="R182" i="16" s="1"/>
  <c r="O183" i="16"/>
  <c r="S181" i="16"/>
  <c r="Z183" i="16" l="1"/>
  <c r="T183" i="16" s="1"/>
  <c r="R183" i="16" s="1"/>
  <c r="O184" i="16"/>
  <c r="S182" i="16"/>
  <c r="Z184" i="16" l="1"/>
  <c r="T184" i="16" s="1"/>
  <c r="R184" i="16" s="1"/>
  <c r="S183" i="16"/>
  <c r="O185" i="16"/>
  <c r="Z185" i="16" l="1"/>
  <c r="T185" i="16" s="1"/>
  <c r="R185" i="16" s="1"/>
  <c r="S184" i="16"/>
  <c r="O186" i="16"/>
  <c r="Z186" i="16" l="1"/>
  <c r="T186" i="16" s="1"/>
  <c r="R186" i="16" s="1"/>
  <c r="O187" i="16"/>
  <c r="S185" i="16"/>
  <c r="Z187" i="16" l="1"/>
  <c r="T187" i="16" s="1"/>
  <c r="R187" i="16" s="1"/>
  <c r="O188" i="16"/>
  <c r="S186" i="16"/>
  <c r="Z188" i="16" l="1"/>
  <c r="T188" i="16" s="1"/>
  <c r="R188" i="16" s="1"/>
  <c r="S187" i="16"/>
  <c r="O189" i="16"/>
  <c r="Z189" i="16" l="1"/>
  <c r="T189" i="16" s="1"/>
  <c r="R189" i="16" s="1"/>
  <c r="S188" i="16"/>
  <c r="O190" i="16"/>
  <c r="Z190" i="16" l="1"/>
  <c r="T190" i="16" s="1"/>
  <c r="R190" i="16" s="1"/>
  <c r="O191" i="16"/>
  <c r="S189" i="16"/>
  <c r="Z191" i="16" l="1"/>
  <c r="T191" i="16" s="1"/>
  <c r="R191" i="16" s="1"/>
  <c r="S190" i="16"/>
  <c r="O192" i="16"/>
  <c r="Z192" i="16" l="1"/>
  <c r="T192" i="16" s="1"/>
  <c r="R192" i="16" s="1"/>
  <c r="S191" i="16"/>
  <c r="O193" i="16"/>
  <c r="Z193" i="16" l="1"/>
  <c r="T193" i="16" s="1"/>
  <c r="R193" i="16" s="1"/>
  <c r="S192" i="16"/>
  <c r="O194" i="16"/>
  <c r="Z194" i="16" l="1"/>
  <c r="T194" i="16" s="1"/>
  <c r="R194" i="16" s="1"/>
  <c r="S193" i="16"/>
  <c r="O195" i="16"/>
  <c r="Z195" i="16" l="1"/>
  <c r="T195" i="16" s="1"/>
  <c r="R195" i="16" s="1"/>
  <c r="O196" i="16"/>
  <c r="S194" i="16"/>
  <c r="Z196" i="16" l="1"/>
  <c r="T196" i="16" s="1"/>
  <c r="R196" i="16" s="1"/>
  <c r="S195" i="16"/>
  <c r="O197" i="16"/>
  <c r="Z197" i="16" l="1"/>
  <c r="T197" i="16" s="1"/>
  <c r="R197" i="16" s="1"/>
  <c r="O198" i="16"/>
  <c r="S196" i="16"/>
  <c r="Z198" i="16" l="1"/>
  <c r="T198" i="16" s="1"/>
  <c r="R198" i="16" s="1"/>
  <c r="O199" i="16"/>
  <c r="S197" i="16"/>
  <c r="Z199" i="16" l="1"/>
  <c r="T199" i="16" s="1"/>
  <c r="R199" i="16" s="1"/>
  <c r="O200" i="16"/>
  <c r="S198" i="16"/>
  <c r="Z200" i="16" l="1"/>
  <c r="T200" i="16" s="1"/>
  <c r="R200" i="16" s="1"/>
  <c r="S199" i="16"/>
  <c r="O201" i="16"/>
  <c r="Z201" i="16" l="1"/>
  <c r="T201" i="16" s="1"/>
  <c r="R201" i="16" s="1"/>
  <c r="O202" i="16"/>
  <c r="S200" i="16"/>
  <c r="Z202" i="16" l="1"/>
  <c r="T202" i="16" s="1"/>
  <c r="R202" i="16" s="1"/>
  <c r="O203" i="16"/>
  <c r="S201" i="16"/>
  <c r="Z203" i="16" l="1"/>
  <c r="T203" i="16" s="1"/>
  <c r="R203" i="16" s="1"/>
  <c r="S202" i="16"/>
  <c r="O204" i="16"/>
  <c r="Z204" i="16" s="1"/>
  <c r="O205" i="16" l="1"/>
  <c r="Z205" i="16" s="1"/>
  <c r="T204" i="16"/>
  <c r="R204" i="16" s="1"/>
  <c r="S203" i="16"/>
  <c r="O206" i="16" l="1"/>
  <c r="Z206" i="16" s="1"/>
  <c r="T205" i="16"/>
  <c r="R205" i="16" s="1"/>
  <c r="S204" i="16"/>
  <c r="O207" i="16" l="1"/>
  <c r="Z207" i="16" s="1"/>
  <c r="T206" i="16"/>
  <c r="R206" i="16" s="1"/>
  <c r="O208" i="16" l="1"/>
  <c r="Z208" i="16" s="1"/>
  <c r="T207" i="16"/>
  <c r="R207" i="16" s="1"/>
  <c r="S205" i="16"/>
  <c r="S206" i="16"/>
  <c r="O209" i="16" l="1"/>
  <c r="Z209" i="16" s="1"/>
  <c r="T208" i="16"/>
  <c r="R208" i="16" s="1"/>
  <c r="S207" i="16"/>
  <c r="O210" i="16" l="1"/>
  <c r="Z210" i="16" s="1"/>
  <c r="T209" i="16"/>
  <c r="R209" i="16" s="1"/>
  <c r="S208" i="16"/>
  <c r="O211" i="16" l="1"/>
  <c r="Z211" i="16" s="1"/>
  <c r="T210" i="16"/>
  <c r="R210" i="16" s="1"/>
  <c r="O212" i="16" l="1"/>
  <c r="Z212" i="16" s="1"/>
  <c r="T211" i="16"/>
  <c r="R211" i="16" s="1"/>
  <c r="S209" i="16"/>
  <c r="S210" i="16"/>
  <c r="O213" i="16" l="1"/>
  <c r="Z213" i="16" s="1"/>
  <c r="T212" i="16"/>
  <c r="R212" i="16" s="1"/>
  <c r="S211" i="16"/>
  <c r="O214" i="16" l="1"/>
  <c r="Z214" i="16" s="1"/>
  <c r="T213" i="16"/>
  <c r="R213" i="16" s="1"/>
  <c r="S212" i="16"/>
  <c r="O215" i="16" l="1"/>
  <c r="Z215" i="16" s="1"/>
  <c r="T214" i="16"/>
  <c r="R214" i="16" s="1"/>
  <c r="O216" i="16" l="1"/>
  <c r="Z216" i="16" s="1"/>
  <c r="T215" i="16"/>
  <c r="R215" i="16" s="1"/>
  <c r="S213" i="16"/>
  <c r="S214" i="16"/>
  <c r="O217" i="16" l="1"/>
  <c r="Z217" i="16" s="1"/>
  <c r="T216" i="16"/>
  <c r="R216" i="16" s="1"/>
  <c r="S215" i="16"/>
  <c r="O218" i="16" l="1"/>
  <c r="Z218" i="16" s="1"/>
  <c r="T217" i="16"/>
  <c r="R217" i="16" s="1"/>
  <c r="S216" i="16"/>
  <c r="O219" i="16" l="1"/>
  <c r="Z219" i="16" s="1"/>
  <c r="T218" i="16"/>
  <c r="R218" i="16" s="1"/>
  <c r="S217" i="16"/>
  <c r="O220" i="16" l="1"/>
  <c r="Z220" i="16" s="1"/>
  <c r="T219" i="16"/>
  <c r="R219" i="16" s="1"/>
  <c r="S218" i="16"/>
  <c r="O221" i="16" l="1"/>
  <c r="Z221" i="16" s="1"/>
  <c r="T220" i="16"/>
  <c r="R220" i="16" s="1"/>
  <c r="S219" i="16"/>
  <c r="O222" i="16" l="1"/>
  <c r="Z222" i="16" s="1"/>
  <c r="T221" i="16"/>
  <c r="R221" i="16" s="1"/>
  <c r="S220" i="16"/>
  <c r="O223" i="16" l="1"/>
  <c r="Z223" i="16" s="1"/>
  <c r="T222" i="16"/>
  <c r="R222" i="16" s="1"/>
  <c r="S221" i="16"/>
  <c r="O224" i="16" l="1"/>
  <c r="Z224" i="16" s="1"/>
  <c r="T223" i="16"/>
  <c r="R223" i="16" s="1"/>
  <c r="S222" i="16"/>
  <c r="O225" i="16" l="1"/>
  <c r="Z225" i="16" s="1"/>
  <c r="T224" i="16"/>
  <c r="R224" i="16" s="1"/>
  <c r="S223" i="16"/>
  <c r="O226" i="16" l="1"/>
  <c r="Z226" i="16" s="1"/>
  <c r="T225" i="16"/>
  <c r="R225" i="16" s="1"/>
  <c r="S224" i="16"/>
  <c r="O227" i="16" l="1"/>
  <c r="Z227" i="16" s="1"/>
  <c r="T226" i="16"/>
  <c r="R226" i="16" s="1"/>
  <c r="S225" i="16"/>
  <c r="O228" i="16" l="1"/>
  <c r="Z228" i="16" s="1"/>
  <c r="T227" i="16"/>
  <c r="R227" i="16" s="1"/>
  <c r="S226" i="16"/>
  <c r="O229" i="16" l="1"/>
  <c r="Z229" i="16" s="1"/>
  <c r="T228" i="16"/>
  <c r="R228" i="16" s="1"/>
  <c r="S227" i="16"/>
  <c r="O230" i="16" l="1"/>
  <c r="Z230" i="16" s="1"/>
  <c r="T229" i="16"/>
  <c r="R229" i="16" s="1"/>
  <c r="S228" i="16"/>
  <c r="O231" i="16" l="1"/>
  <c r="Z231" i="16" s="1"/>
  <c r="T230" i="16"/>
  <c r="R230" i="16" s="1"/>
  <c r="S229" i="16"/>
  <c r="O232" i="16" l="1"/>
  <c r="Z232" i="16" s="1"/>
  <c r="T231" i="16"/>
  <c r="R231" i="16" s="1"/>
  <c r="S230" i="16"/>
  <c r="O233" i="16" l="1"/>
  <c r="Z233" i="16" s="1"/>
  <c r="T232" i="16"/>
  <c r="R232" i="16" s="1"/>
  <c r="S231" i="16"/>
  <c r="O234" i="16" l="1"/>
  <c r="Z234" i="16" s="1"/>
  <c r="T233" i="16"/>
  <c r="R233" i="16" s="1"/>
  <c r="S232" i="16"/>
  <c r="O235" i="16" l="1"/>
  <c r="Z235" i="16" s="1"/>
  <c r="T234" i="16"/>
  <c r="R234" i="16" s="1"/>
  <c r="S233" i="16"/>
  <c r="O236" i="16" l="1"/>
  <c r="Z236" i="16" s="1"/>
  <c r="T235" i="16"/>
  <c r="R235" i="16" s="1"/>
  <c r="S234" i="16"/>
  <c r="T236" i="16" l="1"/>
  <c r="R236" i="16" s="1"/>
  <c r="O237" i="16"/>
  <c r="Z237" i="16" s="1"/>
  <c r="S235" i="16"/>
  <c r="O238" i="16" l="1"/>
  <c r="Z238" i="16" s="1"/>
  <c r="T237" i="16"/>
  <c r="R237" i="16" s="1"/>
  <c r="S236" i="16"/>
  <c r="O239" i="16" l="1"/>
  <c r="Z239" i="16" s="1"/>
  <c r="T238" i="16"/>
  <c r="R238" i="16" s="1"/>
  <c r="S237" i="16"/>
  <c r="O240" i="16" l="1"/>
  <c r="Z240" i="16" s="1"/>
  <c r="T239" i="16"/>
  <c r="R239" i="16" s="1"/>
  <c r="S238" i="16"/>
  <c r="O241" i="16" l="1"/>
  <c r="Z241" i="16" s="1"/>
  <c r="T240" i="16"/>
  <c r="R240" i="16" s="1"/>
  <c r="S239" i="16"/>
  <c r="O242" i="16" l="1"/>
  <c r="Z242" i="16" s="1"/>
  <c r="T241" i="16"/>
  <c r="R241" i="16" s="1"/>
  <c r="S240" i="16"/>
  <c r="O243" i="16" l="1"/>
  <c r="Z243" i="16" s="1"/>
  <c r="T242" i="16"/>
  <c r="R242" i="16" s="1"/>
  <c r="S241" i="16"/>
  <c r="O244" i="16" l="1"/>
  <c r="Z244" i="16" s="1"/>
  <c r="T243" i="16"/>
  <c r="R243" i="16" s="1"/>
  <c r="S242" i="16"/>
  <c r="O245" i="16" l="1"/>
  <c r="Z245" i="16" s="1"/>
  <c r="T244" i="16"/>
  <c r="R244" i="16" s="1"/>
  <c r="S243" i="16"/>
  <c r="O246" i="16" l="1"/>
  <c r="Z246" i="16" s="1"/>
  <c r="T245" i="16"/>
  <c r="R245" i="16" s="1"/>
  <c r="S244" i="16"/>
  <c r="O247" i="16" l="1"/>
  <c r="Z247" i="16" s="1"/>
  <c r="T246" i="16"/>
  <c r="R246" i="16" s="1"/>
  <c r="S245" i="16"/>
  <c r="O248" i="16" l="1"/>
  <c r="Z248" i="16" s="1"/>
  <c r="T247" i="16"/>
  <c r="R247" i="16" s="1"/>
  <c r="S246" i="16"/>
  <c r="O249" i="16" l="1"/>
  <c r="Z249" i="16" s="1"/>
  <c r="T248" i="16"/>
  <c r="R248" i="16" s="1"/>
  <c r="S247" i="16"/>
  <c r="O250" i="16" l="1"/>
  <c r="Z250" i="16" s="1"/>
  <c r="T249" i="16"/>
  <c r="R249" i="16" s="1"/>
  <c r="S248" i="16"/>
  <c r="O251" i="16" l="1"/>
  <c r="Z251" i="16" s="1"/>
  <c r="T250" i="16"/>
  <c r="R250" i="16" s="1"/>
  <c r="S249" i="16"/>
  <c r="O252" i="16" l="1"/>
  <c r="Z252" i="16" s="1"/>
  <c r="T251" i="16"/>
  <c r="R251" i="16" s="1"/>
  <c r="S250" i="16"/>
  <c r="O253" i="16" l="1"/>
  <c r="Z253" i="16" s="1"/>
  <c r="T252" i="16"/>
  <c r="R252" i="16" s="1"/>
  <c r="S251" i="16"/>
  <c r="O254" i="16" l="1"/>
  <c r="Z254" i="16" s="1"/>
  <c r="T253" i="16"/>
  <c r="R253" i="16" s="1"/>
  <c r="S252" i="16"/>
  <c r="O255" i="16" l="1"/>
  <c r="Z255" i="16" s="1"/>
  <c r="T254" i="16"/>
  <c r="R254" i="16" s="1"/>
  <c r="S253" i="16"/>
  <c r="O256" i="16" l="1"/>
  <c r="Z256" i="16" s="1"/>
  <c r="T255" i="16"/>
  <c r="R255" i="16" s="1"/>
  <c r="S254" i="16"/>
  <c r="O257" i="16" l="1"/>
  <c r="Z257" i="16" s="1"/>
  <c r="T256" i="16"/>
  <c r="R256" i="16" s="1"/>
  <c r="S255" i="16"/>
  <c r="O258" i="16" l="1"/>
  <c r="Z258" i="16" s="1"/>
  <c r="T257" i="16"/>
  <c r="R257" i="16" s="1"/>
  <c r="S256" i="16"/>
  <c r="O259" i="16" l="1"/>
  <c r="Z259" i="16" s="1"/>
  <c r="T258" i="16"/>
  <c r="R258" i="16" s="1"/>
  <c r="S257" i="16"/>
  <c r="O260" i="16" l="1"/>
  <c r="Z260" i="16" s="1"/>
  <c r="T259" i="16"/>
  <c r="R259" i="16" s="1"/>
  <c r="S258" i="16"/>
  <c r="O261" i="16" l="1"/>
  <c r="Z261" i="16" s="1"/>
  <c r="T260" i="16"/>
  <c r="R260" i="16" s="1"/>
  <c r="S259" i="16"/>
  <c r="O262" i="16" l="1"/>
  <c r="Z262" i="16" s="1"/>
  <c r="T261" i="16"/>
  <c r="R261" i="16" s="1"/>
  <c r="S260" i="16"/>
  <c r="O263" i="16" l="1"/>
  <c r="Z263" i="16" s="1"/>
  <c r="T262" i="16"/>
  <c r="R262" i="16" s="1"/>
  <c r="S261" i="16"/>
  <c r="O264" i="16" l="1"/>
  <c r="Z264" i="16" s="1"/>
  <c r="T263" i="16"/>
  <c r="R263" i="16" s="1"/>
  <c r="S262" i="16"/>
  <c r="O265" i="16" l="1"/>
  <c r="Z265" i="16" s="1"/>
  <c r="T264" i="16"/>
  <c r="R264" i="16" s="1"/>
  <c r="S263" i="16"/>
  <c r="O266" i="16" l="1"/>
  <c r="Z266" i="16" s="1"/>
  <c r="T265" i="16"/>
  <c r="R265" i="16" s="1"/>
  <c r="S264" i="16"/>
  <c r="O267" i="16" l="1"/>
  <c r="Z267" i="16" s="1"/>
  <c r="T266" i="16"/>
  <c r="R266" i="16" s="1"/>
  <c r="S265" i="16"/>
  <c r="O268" i="16" l="1"/>
  <c r="Z268" i="16" s="1"/>
  <c r="T267" i="16"/>
  <c r="R267" i="16" s="1"/>
  <c r="S266" i="16"/>
  <c r="O269" i="16" l="1"/>
  <c r="Z269" i="16" s="1"/>
  <c r="T268" i="16"/>
  <c r="R268" i="16" s="1"/>
  <c r="S267" i="16"/>
  <c r="O270" i="16" l="1"/>
  <c r="Z270" i="16" s="1"/>
  <c r="T269" i="16"/>
  <c r="S268" i="16"/>
  <c r="T270" i="16" l="1"/>
  <c r="R270" i="16" s="1"/>
  <c r="R269" i="16"/>
  <c r="O271" i="16"/>
  <c r="Z271" i="16" s="1"/>
  <c r="S269" i="16"/>
  <c r="T271" i="16" l="1"/>
  <c r="R271" i="16" s="1"/>
  <c r="S270" i="16"/>
  <c r="O272" i="16"/>
  <c r="Z272" i="16" s="1"/>
  <c r="T272" i="16" l="1"/>
  <c r="R272" i="16" s="1"/>
  <c r="O273" i="16"/>
  <c r="Z273" i="16" s="1"/>
  <c r="S271" i="16"/>
  <c r="T273" i="16" l="1"/>
  <c r="R273" i="16" s="1"/>
  <c r="O274" i="16"/>
  <c r="Z274" i="16" s="1"/>
  <c r="S272" i="16"/>
  <c r="T274" i="16" l="1"/>
  <c r="R274" i="16" s="1"/>
  <c r="S273" i="16"/>
  <c r="O275" i="16"/>
  <c r="Z275" i="16" s="1"/>
  <c r="T275" i="16" l="1"/>
  <c r="R275" i="16" s="1"/>
  <c r="S274" i="16"/>
  <c r="O276" i="16"/>
  <c r="Z276" i="16" s="1"/>
  <c r="T276" i="16" l="1"/>
  <c r="R276" i="16" s="1"/>
  <c r="O277" i="16"/>
  <c r="Z277" i="16" s="1"/>
  <c r="S275" i="16"/>
  <c r="T277" i="16" l="1"/>
  <c r="R277" i="16" s="1"/>
  <c r="O278" i="16"/>
  <c r="Z278" i="16" s="1"/>
  <c r="S276" i="16"/>
  <c r="T278" i="16" l="1"/>
  <c r="R278" i="16" s="1"/>
  <c r="O279" i="16"/>
  <c r="Z279" i="16" s="1"/>
  <c r="S277" i="16"/>
  <c r="T279" i="16" l="1"/>
  <c r="R279" i="16" s="1"/>
  <c r="S278" i="16"/>
  <c r="O280" i="16"/>
  <c r="Z280" i="16" s="1"/>
  <c r="T280" i="16" l="1"/>
  <c r="R280" i="16" s="1"/>
  <c r="S279" i="16"/>
  <c r="O281" i="16"/>
  <c r="Z281" i="16" s="1"/>
  <c r="T281" i="16" l="1"/>
  <c r="R281" i="16" s="1"/>
  <c r="S280" i="16"/>
  <c r="O282" i="16"/>
  <c r="Z282" i="16" s="1"/>
  <c r="T282" i="16" l="1"/>
  <c r="R282" i="16" s="1"/>
  <c r="O283" i="16"/>
  <c r="Z283" i="16" s="1"/>
  <c r="S281" i="16"/>
  <c r="T283" i="16" l="1"/>
  <c r="R283" i="16" s="1"/>
  <c r="S282" i="16"/>
  <c r="O284" i="16"/>
  <c r="Z284" i="16" s="1"/>
  <c r="T284" i="16" l="1"/>
  <c r="R284" i="16" s="1"/>
  <c r="S283" i="16"/>
  <c r="O285" i="16"/>
  <c r="Z285" i="16" s="1"/>
  <c r="T285" i="16" l="1"/>
  <c r="R285" i="16" s="1"/>
  <c r="O286" i="16"/>
  <c r="Z286" i="16" s="1"/>
  <c r="S284" i="16"/>
  <c r="T286" i="16" l="1"/>
  <c r="R286" i="16" s="1"/>
  <c r="O287" i="16"/>
  <c r="Z287" i="16" s="1"/>
  <c r="S285" i="16"/>
  <c r="T287" i="16" l="1"/>
  <c r="R287" i="16" s="1"/>
  <c r="O288" i="16"/>
  <c r="Z288" i="16" s="1"/>
  <c r="S286" i="16"/>
  <c r="T288" i="16" l="1"/>
  <c r="R288" i="16" s="1"/>
  <c r="S287" i="16"/>
  <c r="O289" i="16"/>
  <c r="Z289" i="16" s="1"/>
  <c r="T289" i="16" l="1"/>
  <c r="R289" i="16" s="1"/>
  <c r="O290" i="16"/>
  <c r="Z290" i="16" s="1"/>
  <c r="S288" i="16"/>
  <c r="T290" i="16" l="1"/>
  <c r="R290" i="16" s="1"/>
  <c r="O291" i="16"/>
  <c r="Z291" i="16" s="1"/>
  <c r="S289" i="16"/>
  <c r="T291" i="16" l="1"/>
  <c r="R291" i="16" s="1"/>
  <c r="S290" i="16"/>
  <c r="O292" i="16"/>
  <c r="Z292" i="16" s="1"/>
  <c r="T292" i="16" l="1"/>
  <c r="R292" i="16" s="1"/>
  <c r="S291" i="16"/>
  <c r="O293" i="16"/>
  <c r="Z293" i="16" s="1"/>
  <c r="T293" i="16" l="1"/>
  <c r="R293" i="16" s="1"/>
  <c r="O294" i="16"/>
  <c r="Z294" i="16" s="1"/>
  <c r="S292" i="16"/>
  <c r="T294" i="16" l="1"/>
  <c r="R294" i="16" s="1"/>
  <c r="O295" i="16"/>
  <c r="Z295" i="16" s="1"/>
  <c r="S293" i="16"/>
  <c r="T295" i="16" l="1"/>
  <c r="R295" i="16" s="1"/>
  <c r="S294" i="16"/>
  <c r="O296" i="16"/>
  <c r="Z296" i="16" s="1"/>
  <c r="T296" i="16" l="1"/>
  <c r="R296" i="16" s="1"/>
  <c r="S295" i="16"/>
  <c r="O297" i="16"/>
  <c r="Z297" i="16" s="1"/>
  <c r="T297" i="16" l="1"/>
  <c r="R297" i="16" s="1"/>
  <c r="O298" i="16"/>
  <c r="Z298" i="16" s="1"/>
  <c r="S296" i="16"/>
  <c r="T298" i="16" l="1"/>
  <c r="R298" i="16" s="1"/>
  <c r="O299" i="16"/>
  <c r="Z299" i="16" s="1"/>
  <c r="S297" i="16"/>
  <c r="T299" i="16" l="1"/>
  <c r="R299" i="16" s="1"/>
  <c r="O300" i="16"/>
  <c r="Z300" i="16" s="1"/>
  <c r="S298" i="16"/>
  <c r="T300" i="16" l="1"/>
  <c r="R300" i="16" s="1"/>
  <c r="O301" i="16"/>
  <c r="Z301" i="16" s="1"/>
  <c r="S299" i="16"/>
  <c r="T301" i="16" l="1"/>
  <c r="R301" i="16" s="1"/>
  <c r="O302" i="16"/>
  <c r="Z302" i="16" s="1"/>
  <c r="S300" i="16"/>
  <c r="T302" i="16" l="1"/>
  <c r="R302" i="16" s="1"/>
  <c r="S301" i="16"/>
  <c r="O303" i="16"/>
  <c r="Z303" i="16" s="1"/>
  <c r="T303" i="16" l="1"/>
  <c r="R303" i="16" s="1"/>
  <c r="S302" i="16"/>
  <c r="O304" i="16"/>
  <c r="Z304" i="16" s="1"/>
  <c r="T304" i="16" l="1"/>
  <c r="R304" i="16" s="1"/>
  <c r="S303" i="16"/>
  <c r="O305" i="16"/>
  <c r="Z305" i="16" s="1"/>
  <c r="T305" i="16" l="1"/>
  <c r="R305" i="16" s="1"/>
  <c r="O306" i="16"/>
  <c r="Z306" i="16" s="1"/>
  <c r="S304" i="16"/>
  <c r="T306" i="16" l="1"/>
  <c r="R306" i="16" s="1"/>
  <c r="O307" i="16"/>
  <c r="Z307" i="16" s="1"/>
  <c r="S305" i="16"/>
  <c r="T307" i="16" l="1"/>
  <c r="R307" i="16" s="1"/>
  <c r="S306" i="16"/>
  <c r="O308" i="16"/>
  <c r="Z308" i="16" s="1"/>
  <c r="T308" i="16" l="1"/>
  <c r="R308" i="16" s="1"/>
  <c r="S307" i="16"/>
  <c r="O309" i="16"/>
  <c r="Z309" i="16" s="1"/>
  <c r="T309" i="16" l="1"/>
  <c r="R309" i="16" s="1"/>
  <c r="S308" i="16"/>
  <c r="O310" i="16"/>
  <c r="Z310" i="16" s="1"/>
  <c r="T310" i="16" l="1"/>
  <c r="R310" i="16" s="1"/>
  <c r="O311" i="16"/>
  <c r="Z311" i="16" s="1"/>
  <c r="S309" i="16"/>
  <c r="T311" i="16" l="1"/>
  <c r="R311" i="16" s="1"/>
  <c r="O312" i="16"/>
  <c r="Z312" i="16" s="1"/>
  <c r="S310" i="16"/>
  <c r="T312" i="16" l="1"/>
  <c r="R312" i="16" s="1"/>
  <c r="O313" i="16"/>
  <c r="Z313" i="16" s="1"/>
  <c r="S311" i="16"/>
  <c r="T313" i="16" l="1"/>
  <c r="R313" i="16" s="1"/>
  <c r="S312" i="16"/>
  <c r="O314" i="16"/>
  <c r="Z314" i="16" s="1"/>
  <c r="T314" i="16" l="1"/>
  <c r="R314" i="16" s="1"/>
  <c r="O315" i="16"/>
  <c r="Z315" i="16" s="1"/>
  <c r="S313" i="16"/>
  <c r="T315" i="16" l="1"/>
  <c r="R315" i="16" s="1"/>
  <c r="O316" i="16"/>
  <c r="Z316" i="16" s="1"/>
  <c r="S314" i="16"/>
  <c r="T316" i="16" l="1"/>
  <c r="R316" i="16" s="1"/>
  <c r="S315" i="16"/>
  <c r="O317" i="16"/>
  <c r="Z317" i="16" s="1"/>
  <c r="T317" i="16" l="1"/>
  <c r="R317" i="16" s="1"/>
  <c r="O318" i="16"/>
  <c r="Z318" i="16" s="1"/>
  <c r="S316" i="16"/>
  <c r="T318" i="16" l="1"/>
  <c r="R318" i="16" s="1"/>
  <c r="O319" i="16"/>
  <c r="Z319" i="16" s="1"/>
  <c r="S317" i="16"/>
  <c r="T319" i="16" l="1"/>
  <c r="R319" i="16" s="1"/>
  <c r="O320" i="16"/>
  <c r="Z320" i="16" s="1"/>
  <c r="S318" i="16"/>
  <c r="T320" i="16" l="1"/>
  <c r="R320" i="16" s="1"/>
  <c r="S319" i="16"/>
  <c r="O321" i="16"/>
  <c r="Z321" i="16" s="1"/>
  <c r="T321" i="16" l="1"/>
  <c r="R321" i="16" s="1"/>
  <c r="S320" i="16"/>
  <c r="O322" i="16"/>
  <c r="Z322" i="16" s="1"/>
  <c r="T322" i="16" l="1"/>
  <c r="R322" i="16" s="1"/>
  <c r="O323" i="16"/>
  <c r="Z323" i="16" s="1"/>
  <c r="S321" i="16"/>
  <c r="T323" i="16" l="1"/>
  <c r="R323" i="16" s="1"/>
  <c r="O324" i="16"/>
  <c r="Z324" i="16" s="1"/>
  <c r="S322" i="16"/>
  <c r="T324" i="16" l="1"/>
  <c r="R324" i="16" s="1"/>
  <c r="S323" i="16"/>
  <c r="O325" i="16"/>
  <c r="Z325" i="16" s="1"/>
  <c r="T325" i="16" l="1"/>
  <c r="R325" i="16" s="1"/>
  <c r="S324" i="16"/>
  <c r="O326" i="16"/>
  <c r="Z326" i="16" s="1"/>
  <c r="T326" i="16" l="1"/>
  <c r="R326" i="16" s="1"/>
  <c r="O327" i="16"/>
  <c r="Z327" i="16" s="1"/>
  <c r="S325" i="16"/>
  <c r="T327" i="16" l="1"/>
  <c r="R327" i="16" s="1"/>
  <c r="O328" i="16"/>
  <c r="Z328" i="16" s="1"/>
  <c r="S326" i="16"/>
  <c r="T328" i="16" l="1"/>
  <c r="R328" i="16" s="1"/>
  <c r="S327" i="16"/>
  <c r="O329" i="16"/>
  <c r="Z329" i="16" s="1"/>
  <c r="T329" i="16" l="1"/>
  <c r="R329" i="16" s="1"/>
  <c r="S328" i="16"/>
  <c r="O330" i="16"/>
  <c r="Z330" i="16" s="1"/>
  <c r="T330" i="16" l="1"/>
  <c r="R330" i="16" s="1"/>
  <c r="S329" i="16"/>
  <c r="O331" i="16"/>
  <c r="Z331" i="16" s="1"/>
  <c r="T331" i="16" l="1"/>
  <c r="R331" i="16" s="1"/>
  <c r="O332" i="16"/>
  <c r="Z332" i="16" s="1"/>
  <c r="S330" i="16"/>
  <c r="T332" i="16" l="1"/>
  <c r="R332" i="16" s="1"/>
  <c r="S331" i="16"/>
  <c r="O333" i="16"/>
  <c r="Z333" i="16" s="1"/>
  <c r="T333" i="16" l="1"/>
  <c r="R333" i="16" s="1"/>
  <c r="S332" i="16"/>
  <c r="O334" i="16"/>
  <c r="Z334" i="16" s="1"/>
  <c r="T334" i="16" l="1"/>
  <c r="R334" i="16" s="1"/>
  <c r="O335" i="16"/>
  <c r="Z335" i="16" s="1"/>
  <c r="S333" i="16"/>
  <c r="T335" i="16" l="1"/>
  <c r="R335" i="16" s="1"/>
  <c r="O336" i="16"/>
  <c r="Z336" i="16" s="1"/>
  <c r="S334" i="16"/>
  <c r="T336" i="16" l="1"/>
  <c r="R336" i="16" s="1"/>
  <c r="O337" i="16"/>
  <c r="Z337" i="16" s="1"/>
  <c r="S335" i="16"/>
  <c r="T337" i="16" l="1"/>
  <c r="R337" i="16" s="1"/>
  <c r="S336" i="16"/>
  <c r="O338" i="16"/>
  <c r="Z338" i="16" s="1"/>
  <c r="T338" i="16" l="1"/>
  <c r="R338" i="16" s="1"/>
  <c r="O339" i="16"/>
  <c r="Z339" i="16" s="1"/>
  <c r="S337" i="16"/>
  <c r="T339" i="16" l="1"/>
  <c r="R339" i="16" s="1"/>
  <c r="O340" i="16"/>
  <c r="Z340" i="16" s="1"/>
  <c r="S338" i="16"/>
  <c r="T340" i="16" l="1"/>
  <c r="R340" i="16" s="1"/>
  <c r="S339" i="16"/>
  <c r="O341" i="16"/>
  <c r="Z341" i="16" s="1"/>
  <c r="T341" i="16" l="1"/>
  <c r="R341" i="16" s="1"/>
  <c r="S340" i="16"/>
  <c r="O342" i="16"/>
  <c r="Z342" i="16" s="1"/>
  <c r="T342" i="16" l="1"/>
  <c r="R342" i="16" s="1"/>
  <c r="O343" i="16"/>
  <c r="Z343" i="16" s="1"/>
  <c r="S341" i="16"/>
  <c r="T343" i="16" l="1"/>
  <c r="R343" i="16" s="1"/>
  <c r="O344" i="16"/>
  <c r="Z344" i="16" s="1"/>
  <c r="S342" i="16"/>
  <c r="T344" i="16" l="1"/>
  <c r="R344" i="16" s="1"/>
  <c r="S343" i="16"/>
  <c r="O345" i="16"/>
  <c r="Z345" i="16" s="1"/>
  <c r="T345" i="16" l="1"/>
  <c r="R345" i="16" s="1"/>
  <c r="O346" i="16"/>
  <c r="Z346" i="16" s="1"/>
  <c r="S344" i="16"/>
  <c r="T346" i="16" l="1"/>
  <c r="R346" i="16" s="1"/>
  <c r="S345" i="16"/>
  <c r="O347" i="16"/>
  <c r="Z347" i="16" s="1"/>
  <c r="T347" i="16" l="1"/>
  <c r="R347" i="16" s="1"/>
  <c r="O348" i="16"/>
  <c r="Z348" i="16" s="1"/>
  <c r="S346" i="16"/>
  <c r="T348" i="16" l="1"/>
  <c r="R348" i="16" s="1"/>
  <c r="S347" i="16"/>
  <c r="O349" i="16"/>
  <c r="Z349" i="16" s="1"/>
  <c r="T349" i="16" l="1"/>
  <c r="R349" i="16" s="1"/>
  <c r="O350" i="16"/>
  <c r="Z350" i="16" s="1"/>
  <c r="S348" i="16"/>
  <c r="T350" i="16" l="1"/>
  <c r="R350" i="16" s="1"/>
  <c r="O351" i="16"/>
  <c r="Z351" i="16" s="1"/>
  <c r="S349" i="16"/>
  <c r="T351" i="16" l="1"/>
  <c r="R351" i="16" s="1"/>
  <c r="O352" i="16"/>
  <c r="Z352" i="16" s="1"/>
  <c r="S350" i="16"/>
  <c r="T352" i="16" l="1"/>
  <c r="R352" i="16" s="1"/>
  <c r="S351" i="16"/>
  <c r="O353" i="16"/>
  <c r="Z353" i="16" s="1"/>
  <c r="T353" i="16" l="1"/>
  <c r="R353" i="16" s="1"/>
  <c r="S352" i="16"/>
  <c r="O354" i="16"/>
  <c r="Z354" i="16" s="1"/>
  <c r="T354" i="16" l="1"/>
  <c r="R354" i="16" s="1"/>
  <c r="S353" i="16"/>
  <c r="O355" i="16"/>
  <c r="Z355" i="16" s="1"/>
  <c r="T355" i="16" l="1"/>
  <c r="R355" i="16" s="1"/>
  <c r="O356" i="16"/>
  <c r="Z356" i="16" s="1"/>
  <c r="S354" i="16"/>
  <c r="T356" i="16" l="1"/>
  <c r="R356" i="16" s="1"/>
  <c r="S355" i="16"/>
  <c r="O357" i="16"/>
  <c r="Z357" i="16" s="1"/>
  <c r="T357" i="16" l="1"/>
  <c r="R357" i="16" s="1"/>
  <c r="S356" i="16"/>
  <c r="O358" i="16"/>
  <c r="Z358" i="16" s="1"/>
  <c r="T358" i="16" l="1"/>
  <c r="R358" i="16" s="1"/>
  <c r="O359" i="16"/>
  <c r="Z359" i="16" s="1"/>
  <c r="S357" i="16"/>
  <c r="T359" i="16" l="1"/>
  <c r="R359" i="16" s="1"/>
  <c r="S358" i="16"/>
  <c r="O360" i="16"/>
  <c r="Z360" i="16" s="1"/>
  <c r="T360" i="16" l="1"/>
  <c r="R360" i="16" s="1"/>
  <c r="S359" i="16"/>
  <c r="O361" i="16"/>
  <c r="Z361" i="16" s="1"/>
  <c r="T361" i="16" l="1"/>
  <c r="R361" i="16" s="1"/>
  <c r="S360" i="16"/>
  <c r="O362" i="16"/>
  <c r="Z362" i="16" s="1"/>
  <c r="T362" i="16" l="1"/>
  <c r="R362" i="16" s="1"/>
  <c r="S361" i="16"/>
  <c r="O363" i="16"/>
  <c r="Z363" i="16" s="1"/>
  <c r="T363" i="16" l="1"/>
  <c r="R363" i="16" s="1"/>
  <c r="O364" i="16"/>
  <c r="Z364" i="16" s="1"/>
  <c r="S362" i="16"/>
  <c r="T364" i="16" l="1"/>
  <c r="R364" i="16" s="1"/>
  <c r="S363" i="16"/>
  <c r="O365" i="16"/>
  <c r="Z365" i="16" s="1"/>
  <c r="T365" i="16" l="1"/>
  <c r="R365" i="16" s="1"/>
  <c r="S364" i="16"/>
  <c r="O366" i="16"/>
  <c r="Z366" i="16" s="1"/>
  <c r="T366" i="16" l="1"/>
  <c r="R366" i="16" s="1"/>
  <c r="O367" i="16"/>
  <c r="Z367" i="16" s="1"/>
  <c r="S365" i="16"/>
  <c r="T367" i="16" l="1"/>
  <c r="R367" i="16" s="1"/>
  <c r="O368" i="16"/>
  <c r="Z368" i="16" s="1"/>
  <c r="S366" i="16"/>
  <c r="T368" i="16" l="1"/>
  <c r="R368" i="16" s="1"/>
  <c r="O369" i="16"/>
  <c r="Z369" i="16" s="1"/>
  <c r="S367" i="16"/>
  <c r="T369" i="16" l="1"/>
  <c r="R369" i="16" s="1"/>
  <c r="S368" i="16"/>
  <c r="O370" i="16"/>
  <c r="Z370" i="16" s="1"/>
  <c r="T370" i="16" l="1"/>
  <c r="R370" i="16" s="1"/>
  <c r="O371" i="16"/>
  <c r="Z371" i="16" s="1"/>
  <c r="S369" i="16"/>
  <c r="T371" i="16" l="1"/>
  <c r="T372" i="16" s="1"/>
  <c r="S370" i="16"/>
  <c r="R371" i="16" l="1"/>
  <c r="S37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maxime clairet</author>
  </authors>
  <commentList>
    <comment ref="C18" authorId="0" shapeId="0" xr:uid="{4AD602C5-AB28-4DDA-8A45-B6A7D5FB4F42}">
      <text>
        <r>
          <rPr>
            <b/>
            <sz val="9"/>
            <color indexed="81"/>
            <rFont val="Tahoma"/>
            <family val="2"/>
          </rPr>
          <t>Calculate with typ and simulate worst case if needed</t>
        </r>
      </text>
    </comment>
    <comment ref="G18" authorId="0" shapeId="0" xr:uid="{44EEE324-58E7-4605-956C-A19312950662}">
      <text>
        <r>
          <rPr>
            <b/>
            <sz val="9"/>
            <color indexed="81"/>
            <rFont val="Tahoma"/>
            <family val="2"/>
          </rPr>
          <t>Calculate with typ and simulate worst case if needed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nection" type="5" refreshedVersion="0" background="1">
    <dbPr connection="Provider=Microsoft.Mashup.OleDb.1;Data Source=$Workbook$;Location=FS85_Magna_BMW_ATE;Extended Properties=&quot;&quot;" commandType="0"/>
  </connection>
  <connection id="2" xr16:uid="{00000000-0015-0000-FFFF-FFFF01000000}" keepAlive="1" name="Query - FS85_Magna_BMW_ATE" description="Connection to the 'FS85_Magna_BMW_ATE' query in the workbook." type="5" refreshedVersion="6" background="1">
    <dbPr connection="Provider=Microsoft.Mashup.OleDb.1;Data Source=$Workbook$;Location=FS85_Magna_BMW_ATE;Extended Properties=&quot;&quot;" command="SELECT * FROM [FS85_Magna_BMW_AT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<sst xmlns="http://schemas.openxmlformats.org/spreadsheetml/2006/main" count="2660" uniqueCount="954">
  <si>
    <t>Register  Name</t>
  </si>
  <si>
    <t>ADDRESS</t>
  </si>
  <si>
    <t>R/W</t>
  </si>
  <si>
    <t>BIT7</t>
  </si>
  <si>
    <t>BIT5</t>
  </si>
  <si>
    <t>BIT6</t>
  </si>
  <si>
    <t>BIT4</t>
  </si>
  <si>
    <t>BIT3</t>
  </si>
  <si>
    <t>BIT2</t>
  </si>
  <si>
    <t>BIT1</t>
  </si>
  <si>
    <t>BIT0</t>
  </si>
  <si>
    <t>-</t>
  </si>
  <si>
    <t>Default</t>
  </si>
  <si>
    <t>0000_0000</t>
  </si>
  <si>
    <t>PGOOD</t>
  </si>
  <si>
    <t>ABIST</t>
  </si>
  <si>
    <t>WATCHDOG</t>
  </si>
  <si>
    <t>LDO2</t>
  </si>
  <si>
    <t>LDO1</t>
  </si>
  <si>
    <t>RW</t>
  </si>
  <si>
    <t>VPREV[5:0]</t>
  </si>
  <si>
    <t>VPRESC[5:0]</t>
  </si>
  <si>
    <t>VPRESRHS[1:0]</t>
  </si>
  <si>
    <t>VPRESRLS[1:0]</t>
  </si>
  <si>
    <t>VPRETOFF[1:0]</t>
  </si>
  <si>
    <t>VPREILIM[1:0]</t>
  </si>
  <si>
    <t>VBSTV[3:0]</t>
  </si>
  <si>
    <t>VBSTSR[1:0]</t>
  </si>
  <si>
    <t>VBSTILIM[1:0]</t>
  </si>
  <si>
    <t>VBSTCCOMP[1:0]</t>
  </si>
  <si>
    <t>VBSTRCOMP[1:0]</t>
  </si>
  <si>
    <t>VB1V[7:0]</t>
  </si>
  <si>
    <t>VB12MULTIPH</t>
  </si>
  <si>
    <t>VB1SWILIM[1:0]</t>
  </si>
  <si>
    <t>OTP_CFG_BUCK1_1</t>
  </si>
  <si>
    <t>OTP_CFG_BUCK1_2</t>
  </si>
  <si>
    <t>VB2V[7:0]</t>
  </si>
  <si>
    <t>VB2SWILIM[1:0]</t>
  </si>
  <si>
    <t>OTP_CFG_BUCK2_1</t>
  </si>
  <si>
    <t>OTP_CFG_BUCK2_2</t>
  </si>
  <si>
    <t>VB3V[4:0]</t>
  </si>
  <si>
    <t>VB3SWILIM[1:0]</t>
  </si>
  <si>
    <t>OTP_CFG_BUCK3_1</t>
  </si>
  <si>
    <t>OTP_CFG_BUCK3_2</t>
  </si>
  <si>
    <t>LDO1V[2:0]</t>
  </si>
  <si>
    <t>LDO2V[2:0]</t>
  </si>
  <si>
    <t>LDO1ILIM</t>
  </si>
  <si>
    <t>LDO2ILIM</t>
  </si>
  <si>
    <t>OTP_CFG_LDO</t>
  </si>
  <si>
    <t>VB1S[2:0]</t>
  </si>
  <si>
    <t>VB2S[2:0]</t>
  </si>
  <si>
    <t>LDO1S[2:0]</t>
  </si>
  <si>
    <t>LDO2S[2:0]</t>
  </si>
  <si>
    <t>VB3S[2:0]</t>
  </si>
  <si>
    <t>CLK_DIV2[2:0]</t>
  </si>
  <si>
    <t>VPRE_ph[2:0]</t>
  </si>
  <si>
    <t>VBST_ph[2:0]</t>
  </si>
  <si>
    <t>BUCK1_ph[2:0]</t>
  </si>
  <si>
    <t>BUCK2_ph[2:0]</t>
  </si>
  <si>
    <t>BUCK3_ph[2:0]</t>
  </si>
  <si>
    <t>CLK_DIV1[1:0]</t>
  </si>
  <si>
    <t>PLL_sel</t>
  </si>
  <si>
    <t>VPRE_clk_sel</t>
  </si>
  <si>
    <t>VBST_clk_sel</t>
  </si>
  <si>
    <t>BUCK1_clk_sel</t>
  </si>
  <si>
    <t>BUCK2_clk_sel</t>
  </si>
  <si>
    <t>BUCK3_clk_sel</t>
  </si>
  <si>
    <t>conf_tsd[5:0]</t>
  </si>
  <si>
    <t>PSYNC_EN</t>
  </si>
  <si>
    <t>PSYNC_CFG</t>
  </si>
  <si>
    <t>Autoretry_infinite</t>
  </si>
  <si>
    <t>VPRE_off_dly</t>
  </si>
  <si>
    <t>VCORE_V[7:0]</t>
  </si>
  <si>
    <t>VCOREOVTH[3:0]</t>
  </si>
  <si>
    <t>VDDIOOVTH[3:0]</t>
  </si>
  <si>
    <t>VCORE_SVS_CLAMP[4:0]</t>
  </si>
  <si>
    <t>VDDIO_V</t>
  </si>
  <si>
    <t>PGOOD_VCORE</t>
  </si>
  <si>
    <t>PGOOD_VDDIO</t>
  </si>
  <si>
    <t>PGOOD_VMON1</t>
  </si>
  <si>
    <t xml:space="preserve">PGOOD_VMON2 </t>
  </si>
  <si>
    <t xml:space="preserve">PGOOD_VMON3 </t>
  </si>
  <si>
    <t xml:space="preserve">PGOOD_VMON4 </t>
  </si>
  <si>
    <t>ABIST1_VCORE</t>
  </si>
  <si>
    <t>ABIST1_VDDIO</t>
  </si>
  <si>
    <t>ABIST1_VMON1</t>
  </si>
  <si>
    <t xml:space="preserve">ABIST1_VMON2 </t>
  </si>
  <si>
    <t xml:space="preserve">ABIST1_VMON3 </t>
  </si>
  <si>
    <t xml:space="preserve">ABIST1_VMON4 </t>
  </si>
  <si>
    <t>VMON1_EN</t>
  </si>
  <si>
    <t>VMON2_EN</t>
  </si>
  <si>
    <t>VMON3_EN</t>
  </si>
  <si>
    <t>VMON4_EN</t>
  </si>
  <si>
    <t>FCCU_EN</t>
  </si>
  <si>
    <t>ERRMON_EN</t>
  </si>
  <si>
    <t>WD_Selection</t>
  </si>
  <si>
    <t>WD_DIS</t>
  </si>
  <si>
    <t>OTP_CFG_VPRE_1</t>
  </si>
  <si>
    <t>OTP_CFG_VPRE_2</t>
  </si>
  <si>
    <t>OTP_CFG_VPRE_3</t>
  </si>
  <si>
    <t>OTP_CFG_BOOST_1</t>
  </si>
  <si>
    <t>OTP_CFG_BOOST_2</t>
  </si>
  <si>
    <t>OTP_CFG_BOOST_3</t>
  </si>
  <si>
    <t>OTP_CFG_SEQ_1</t>
  </si>
  <si>
    <t>OTP_CFG_SEQ_2</t>
  </si>
  <si>
    <t>OTP_CFG_SEQ_3</t>
  </si>
  <si>
    <t>OTP_CFG_CLOCK_1</t>
  </si>
  <si>
    <t>OTP_CFG_CLOCK_2</t>
  </si>
  <si>
    <t>OTP_CFG_CLOCK_3</t>
  </si>
  <si>
    <t>OTP_CFG_CLOCK_4</t>
  </si>
  <si>
    <t>OTP_CFG_SM_1</t>
  </si>
  <si>
    <t>OTP_CFG_SM_2</t>
  </si>
  <si>
    <t>VSUPCFG</t>
  </si>
  <si>
    <t>OTP_CFG_VSUP_UV</t>
  </si>
  <si>
    <t>OTP_CFG_I2C</t>
  </si>
  <si>
    <t>VDDIO_REG_ASSIGN[2:0]</t>
  </si>
  <si>
    <t>OTP_CFG_OV</t>
  </si>
  <si>
    <t>OTP_CFG_PGOOD</t>
  </si>
  <si>
    <t>OTP_CFG_ABIST1</t>
  </si>
  <si>
    <t>OTP_CFG_ASIL</t>
  </si>
  <si>
    <t>VMON1OVTH[3:0]</t>
  </si>
  <si>
    <t>VMON2OVTH[3:0]</t>
  </si>
  <si>
    <t>VMON3OVTH[3:0]</t>
  </si>
  <si>
    <t>VMON4OVTH[3:0]</t>
  </si>
  <si>
    <t>VCOREUVTH[3:0]</t>
  </si>
  <si>
    <t>VDDIOUVTH[3:0]</t>
  </si>
  <si>
    <t>VMON1UVTH[3:0]</t>
  </si>
  <si>
    <t>VMON2UVTH[3:0]</t>
  </si>
  <si>
    <t>VMON3UVTH[3:0]</t>
  </si>
  <si>
    <t>VMON4UVTH[3:0]</t>
  </si>
  <si>
    <t>OTP_CFG_UVOV_1</t>
  </si>
  <si>
    <t>OTP_CFG_UVOV_2</t>
  </si>
  <si>
    <t>OTP_CFG_UVOV_3</t>
  </si>
  <si>
    <t>OTP_CFG_UVOV_4</t>
  </si>
  <si>
    <t>OTP_CFG_UVOV_5</t>
  </si>
  <si>
    <t>OTP_CFG_UVOV_6</t>
  </si>
  <si>
    <t>OTP_CFG_UVOV_7</t>
  </si>
  <si>
    <t>OTP_CFG_UVOV_8</t>
  </si>
  <si>
    <t>VBSTTONTIME[1:0]</t>
  </si>
  <si>
    <t>VBSTSC[4:0]</t>
  </si>
  <si>
    <t>VB3INDOPT[1:0]</t>
  </si>
  <si>
    <t>I2CDEVADDR[3:0]</t>
  </si>
  <si>
    <t>BOOSTEN</t>
  </si>
  <si>
    <t>BUCK2EN</t>
  </si>
  <si>
    <t>BUCK3EN</t>
  </si>
  <si>
    <t>FLT_RECOVERY_EN</t>
  </si>
  <si>
    <t>DeviceID[7:0]</t>
  </si>
  <si>
    <t>OTP_CFG_DEVID</t>
  </si>
  <si>
    <t>OTP_M_S1_CRC_LSB</t>
  </si>
  <si>
    <t>OTP_M_S1_CRC_MSB</t>
  </si>
  <si>
    <t>OTP_M_S1_CRC_LSB[7:0]</t>
  </si>
  <si>
    <t>OTP_M_S1_CRC_MSB[7:0]</t>
  </si>
  <si>
    <t>OTP_FS_S1_CRC_LSB[7:0]</t>
  </si>
  <si>
    <t>OTP_FS_S1_CRC_MSB[7:0]</t>
  </si>
  <si>
    <t>OTP_FS_S1_CRC_LSB</t>
  </si>
  <si>
    <t>OTP_FS_S1_CRC_MSB</t>
  </si>
  <si>
    <t>VB1INDOPT[1:0]</t>
  </si>
  <si>
    <t>VB2INDOPT[1:0]</t>
  </si>
  <si>
    <t>VB2GMCOMP[2:0]</t>
  </si>
  <si>
    <t>VB1GMCOMP[2:0]</t>
  </si>
  <si>
    <t>otp_SPARE2[6:0]</t>
  </si>
  <si>
    <t>VB3_CTRL_GM</t>
  </si>
  <si>
    <t>VB3_CTRL_RC</t>
  </si>
  <si>
    <t>10</t>
  </si>
  <si>
    <t>11</t>
  </si>
  <si>
    <t>000</t>
  </si>
  <si>
    <t>VSUP Under Voltage Threshold Configuration</t>
  </si>
  <si>
    <t>0000000</t>
  </si>
  <si>
    <t>VpreV[5:0]</t>
  </si>
  <si>
    <t>VPRE High Side slew rate control</t>
  </si>
  <si>
    <t>VPRE output voltage</t>
  </si>
  <si>
    <t>VPRE slope compensation</t>
  </si>
  <si>
    <t>VPRE current limitation threshold</t>
  </si>
  <si>
    <t>VBOOST output voltage</t>
  </si>
  <si>
    <t>14</t>
  </si>
  <si>
    <t>15</t>
  </si>
  <si>
    <t>16</t>
  </si>
  <si>
    <t>17</t>
  </si>
  <si>
    <t>18</t>
  </si>
  <si>
    <t>19</t>
  </si>
  <si>
    <t>1A</t>
  </si>
  <si>
    <t>1B</t>
  </si>
  <si>
    <t>1C</t>
  </si>
  <si>
    <t>1D</t>
  </si>
  <si>
    <t>1E</t>
  </si>
  <si>
    <t>1F</t>
  </si>
  <si>
    <t>20</t>
  </si>
  <si>
    <t>21</t>
  </si>
  <si>
    <t>22</t>
  </si>
  <si>
    <t>23</t>
  </si>
  <si>
    <t>24</t>
  </si>
  <si>
    <t>25</t>
  </si>
  <si>
    <t>26</t>
  </si>
  <si>
    <t>27</t>
  </si>
  <si>
    <t>28</t>
  </si>
  <si>
    <t>29</t>
  </si>
  <si>
    <t>2A</t>
  </si>
  <si>
    <t>2B</t>
  </si>
  <si>
    <t>2C</t>
  </si>
  <si>
    <t>2D</t>
  </si>
  <si>
    <t>2E</t>
  </si>
  <si>
    <t>2F</t>
  </si>
  <si>
    <t>Data_Bin</t>
  </si>
  <si>
    <t>Data_Hex</t>
  </si>
  <si>
    <t>BOOST enable</t>
  </si>
  <si>
    <t>BOOST minimum ON time</t>
  </si>
  <si>
    <t>VBOOST slope compensation</t>
  </si>
  <si>
    <t>VPRE minimum OFF time</t>
  </si>
  <si>
    <r>
      <t xml:space="preserve">VBOOST Compensation Network Resistor </t>
    </r>
    <r>
      <rPr>
        <b/>
        <sz val="11"/>
        <rFont val="Calibri"/>
        <family val="2"/>
        <scheme val="minor"/>
      </rPr>
      <t>Rcomp</t>
    </r>
  </si>
  <si>
    <t>VBOOST current limitation</t>
  </si>
  <si>
    <t>VPRE Low Side slew rate control</t>
  </si>
  <si>
    <t>VBOOST Low Side slew rate control</t>
  </si>
  <si>
    <t>VBUCK1 output voltage</t>
  </si>
  <si>
    <t>01000000 - 0.8V</t>
  </si>
  <si>
    <t>10001000 - 1.25V</t>
  </si>
  <si>
    <t>10011000 - 1.35V</t>
  </si>
  <si>
    <t>10110001 - 1.8V</t>
  </si>
  <si>
    <t xml:space="preserve">VBUCK1 current limitation </t>
  </si>
  <si>
    <t>01 - 2.6A</t>
  </si>
  <si>
    <t>VBUCK1 &amp; VBUCK2 multiphase operation enable</t>
  </si>
  <si>
    <t>VBUCK2 output voltage</t>
  </si>
  <si>
    <t>BUCK2 enable</t>
  </si>
  <si>
    <t xml:space="preserve">VBUCK2 current limitation </t>
  </si>
  <si>
    <t>BUCK3 enable</t>
  </si>
  <si>
    <t>VBUCK3 output voltage</t>
  </si>
  <si>
    <t>BUCK2 Compensation Network</t>
  </si>
  <si>
    <r>
      <t xml:space="preserve">VBOOST Compensation Network Capacitor </t>
    </r>
    <r>
      <rPr>
        <b/>
        <sz val="11"/>
        <rFont val="Calibri"/>
        <family val="2"/>
        <scheme val="minor"/>
      </rPr>
      <t>Ccomp</t>
    </r>
  </si>
  <si>
    <t>BUCK1 Compensation Network</t>
  </si>
  <si>
    <t>001 - 16.25 GM</t>
  </si>
  <si>
    <t>010 - 32.5 GM</t>
  </si>
  <si>
    <t>011 - 48.75 GM</t>
  </si>
  <si>
    <t>100 - 65 GM</t>
  </si>
  <si>
    <t>101 - 81.25 GM</t>
  </si>
  <si>
    <t>110 - 97.5 GM</t>
  </si>
  <si>
    <t xml:space="preserve">VBUCK3 current limitation </t>
  </si>
  <si>
    <t>BUCK1 inductor selection</t>
  </si>
  <si>
    <t>BUCK2 inductor selection</t>
  </si>
  <si>
    <t>BUCK3 inductor selection</t>
  </si>
  <si>
    <t xml:space="preserve">VLDO2 current limitation </t>
  </si>
  <si>
    <t>VLDO2 output voltage</t>
  </si>
  <si>
    <t xml:space="preserve">VLDO1 current limitation </t>
  </si>
  <si>
    <t>VLDO1 output voltage</t>
  </si>
  <si>
    <t>BUCK2 sequencing slot</t>
  </si>
  <si>
    <t>000 - Regulator Start and Stop in Slot 0</t>
  </si>
  <si>
    <t>001 - Regulator Start and Stop in Slot 1</t>
  </si>
  <si>
    <t>010 - Regulator Start and Stop in Slot 2</t>
  </si>
  <si>
    <t>011 - Regulator Start and Stop in Slot 3</t>
  </si>
  <si>
    <t>100 - Regulator Start and Stop in Slot 4</t>
  </si>
  <si>
    <t>101 - Regulator Start and Stop in Slot 5</t>
  </si>
  <si>
    <t>110 - Regulator Start and Stop in Slot 6</t>
  </si>
  <si>
    <t>BUCK1 sequencing slot</t>
  </si>
  <si>
    <t>LDO2 sequencing slot</t>
  </si>
  <si>
    <t>LDO1 sequencing slot</t>
  </si>
  <si>
    <t>00000</t>
  </si>
  <si>
    <t>BUCK3 sequencing slot</t>
  </si>
  <si>
    <t>001 - delay 1</t>
  </si>
  <si>
    <t>VPRE phase (delay) selection</t>
  </si>
  <si>
    <t>010 - delay 2</t>
  </si>
  <si>
    <t>011 - delay 3</t>
  </si>
  <si>
    <t>100 - delay 4</t>
  </si>
  <si>
    <t>101 - delay 5</t>
  </si>
  <si>
    <t>110 - delay 6</t>
  </si>
  <si>
    <t>111 - delay 7</t>
  </si>
  <si>
    <t>BUCK1 phase (delay) selection</t>
  </si>
  <si>
    <t>BOOST phase (delay) selection</t>
  </si>
  <si>
    <t>BUCK3 phase (delay) selection</t>
  </si>
  <si>
    <t>BUCK2 phase (delay) selection</t>
  </si>
  <si>
    <t>Divider 2 setting</t>
  </si>
  <si>
    <t>BUCK3 clock selection</t>
  </si>
  <si>
    <t>BUCK2 clock selection</t>
  </si>
  <si>
    <t>BUCK1 clock selection</t>
  </si>
  <si>
    <t>BOOST clock selection</t>
  </si>
  <si>
    <t>VPRE clock selection</t>
  </si>
  <si>
    <t>Divider 1 setting</t>
  </si>
  <si>
    <t>Delay to turn OFF VPRE at device power down</t>
  </si>
  <si>
    <t>Deep Fail-safe autoretry enable</t>
  </si>
  <si>
    <t>Deep Fail-safe infinite autoretry enable</t>
  </si>
  <si>
    <t>VSUP_CFG</t>
  </si>
  <si>
    <t>Autoretry_en</t>
  </si>
  <si>
    <t>Device I2C address</t>
  </si>
  <si>
    <t>0000 - Address D0</t>
  </si>
  <si>
    <t>0001 - Address D1</t>
  </si>
  <si>
    <t>0010 - Address D2</t>
  </si>
  <si>
    <t>0011 - Address D3</t>
  </si>
  <si>
    <t>0100 - Address D4</t>
  </si>
  <si>
    <t>0101 - Address D5</t>
  </si>
  <si>
    <t>0110 - Address D6</t>
  </si>
  <si>
    <t>1111 - Address D15</t>
  </si>
  <si>
    <t>0111 - Address D7</t>
  </si>
  <si>
    <t>1000 - Address D8</t>
  </si>
  <si>
    <t>1010 - Address D10</t>
  </si>
  <si>
    <t>1011 - Address D11</t>
  </si>
  <si>
    <t>1100 - Address D12</t>
  </si>
  <si>
    <t>1101 - Address D13</t>
  </si>
  <si>
    <t>1110 - Address D14</t>
  </si>
  <si>
    <t>Regulator assigned to VDDIO</t>
  </si>
  <si>
    <t>0A</t>
  </si>
  <si>
    <t>0B</t>
  </si>
  <si>
    <t>0C</t>
  </si>
  <si>
    <t>0D</t>
  </si>
  <si>
    <t>0E</t>
  </si>
  <si>
    <t>0F</t>
  </si>
  <si>
    <t>12</t>
  </si>
  <si>
    <t>13</t>
  </si>
  <si>
    <t>00</t>
  </si>
  <si>
    <t>MAIN OTP_REGISTERS</t>
  </si>
  <si>
    <t>FAIL-SAFE OTP_REGISTERS</t>
  </si>
  <si>
    <t>Bit name</t>
  </si>
  <si>
    <t>Bit description</t>
  </si>
  <si>
    <t>Comments</t>
  </si>
  <si>
    <t xml:space="preserve">Document ID: </t>
  </si>
  <si>
    <t>Document Description:</t>
  </si>
  <si>
    <t xml:space="preserve">Related Data Sheet: </t>
  </si>
  <si>
    <t>Revision</t>
  </si>
  <si>
    <t>Date</t>
  </si>
  <si>
    <t>Description of changes</t>
  </si>
  <si>
    <t>Revision History:</t>
  </si>
  <si>
    <t xml:space="preserve">      Select OTP configuration</t>
  </si>
  <si>
    <t>Main</t>
  </si>
  <si>
    <t>FailSafe</t>
  </si>
  <si>
    <t>Logic</t>
  </si>
  <si>
    <t>Data</t>
  </si>
  <si>
    <t>000 - External regulator</t>
  </si>
  <si>
    <t>001 - VPRE</t>
  </si>
  <si>
    <t>010 - LDO1</t>
  </si>
  <si>
    <t>011 - LDO2</t>
  </si>
  <si>
    <t>100 - BUCK3</t>
  </si>
  <si>
    <t>101 - External regulator</t>
  </si>
  <si>
    <t>110 - External regulator</t>
  </si>
  <si>
    <t>111 - External regulator</t>
  </si>
  <si>
    <t>0 - 2x FS85</t>
  </si>
  <si>
    <t>Synchronization with 2 devices</t>
  </si>
  <si>
    <t>0001 - 105%</t>
  </si>
  <si>
    <t>0000 - 104.5%</t>
  </si>
  <si>
    <t>0010 - 105.5%</t>
  </si>
  <si>
    <t>0011 - 106%</t>
  </si>
  <si>
    <t>0100 - 106.5%</t>
  </si>
  <si>
    <t>0101 - 107%</t>
  </si>
  <si>
    <t>0110 - 107.5%</t>
  </si>
  <si>
    <t>0111 - 108%</t>
  </si>
  <si>
    <t>1000 - 108.5%</t>
  </si>
  <si>
    <t>1001 - 109%</t>
  </si>
  <si>
    <t>1011 - 110%</t>
  </si>
  <si>
    <t>1100 - 110.5%</t>
  </si>
  <si>
    <t>1101 - 111%</t>
  </si>
  <si>
    <t>1110 - 111.5%</t>
  </si>
  <si>
    <t>1111 - 112%</t>
  </si>
  <si>
    <t>VDDIO overvoltage threshold configuration</t>
  </si>
  <si>
    <t>VCORE (BUCK1) overvoltage threshold configuration</t>
  </si>
  <si>
    <t>0 - 3.3V</t>
  </si>
  <si>
    <t>VDDIO voltage selection</t>
  </si>
  <si>
    <t>SVS max value allowed (mask)</t>
  </si>
  <si>
    <t>00000 - No SVS</t>
  </si>
  <si>
    <t>00001 - 2 steps available</t>
  </si>
  <si>
    <t>00011 - 4 steps available</t>
  </si>
  <si>
    <t>00111 - 8 steps available</t>
  </si>
  <si>
    <t>01111 - 16 steps available</t>
  </si>
  <si>
    <t>VMON2 overvoltage threshold configuration</t>
  </si>
  <si>
    <t>VMON3 overvoltage threshold configuration</t>
  </si>
  <si>
    <t>VMON4 overvoltage threshold configuration</t>
  </si>
  <si>
    <t>VMON1 overvoltage threshold configuration</t>
  </si>
  <si>
    <t>VDDIO undervoltage threshold configuration</t>
  </si>
  <si>
    <t>0000 - 95.5%</t>
  </si>
  <si>
    <t>0001 - 95%</t>
  </si>
  <si>
    <t>0010 - 94.5%</t>
  </si>
  <si>
    <t>0011 - 94%</t>
  </si>
  <si>
    <t>0100 - 93.5%</t>
  </si>
  <si>
    <t>0101 - 93%</t>
  </si>
  <si>
    <t>0110 - 92.5%</t>
  </si>
  <si>
    <t>0111 - 92%</t>
  </si>
  <si>
    <t>1000 - 91.5%</t>
  </si>
  <si>
    <t>1001 - 91%</t>
  </si>
  <si>
    <t>1011 - 90%</t>
  </si>
  <si>
    <t>1100 - 89.5%</t>
  </si>
  <si>
    <t>1101 - 89%</t>
  </si>
  <si>
    <t>1110 - 88.5%</t>
  </si>
  <si>
    <t>1111 - 88%</t>
  </si>
  <si>
    <t>VCORE undervoltage threshold configuration</t>
  </si>
  <si>
    <t>VMON2 undervoltage threshold configuration</t>
  </si>
  <si>
    <t>VMON1 undervoltage threshold configuration</t>
  </si>
  <si>
    <t>VMON4 undervoltage threshold configuration</t>
  </si>
  <si>
    <t>VMON3 undervoltage threshold configuration</t>
  </si>
  <si>
    <t>VMON4 assignment to PGOOD</t>
  </si>
  <si>
    <t>0 - Not assigned</t>
  </si>
  <si>
    <t>1 - Assigned</t>
  </si>
  <si>
    <t>RSTB assignment to PGOOD</t>
  </si>
  <si>
    <t>VMON3 assignment to PGOOD</t>
  </si>
  <si>
    <t>VMON2 assignment to PGOOD</t>
  </si>
  <si>
    <t>VMON1 assignment to PGOOD</t>
  </si>
  <si>
    <t>VDDIO assignment to PGOOD</t>
  </si>
  <si>
    <t>VCORE (BUCK1) assignment to PGOOD</t>
  </si>
  <si>
    <t>ABIST_VMON4</t>
  </si>
  <si>
    <t>VMON4 assignment to ABIST1</t>
  </si>
  <si>
    <t>ABIST_VMON3</t>
  </si>
  <si>
    <t>ABIST_VMON2</t>
  </si>
  <si>
    <t>ABIST_VMON1</t>
  </si>
  <si>
    <t>ABIST_VDDIO</t>
  </si>
  <si>
    <t>ABIST_VCORE</t>
  </si>
  <si>
    <t>VCORE assignment to ABIST1</t>
  </si>
  <si>
    <t>VDDIO assignment to ABIST1</t>
  </si>
  <si>
    <t>VMON1 assignment to ABIST1</t>
  </si>
  <si>
    <t>VMON2 assignment to ABIST1</t>
  </si>
  <si>
    <t>VMON3 assignment to ABIST1</t>
  </si>
  <si>
    <t>0 - Disabled</t>
  </si>
  <si>
    <t>1 - Enabled</t>
  </si>
  <si>
    <t>ERRMON monitoring enable</t>
  </si>
  <si>
    <t>FCCU monitoring enable</t>
  </si>
  <si>
    <t>VMON4</t>
  </si>
  <si>
    <t>VMON4 monitoring enable</t>
  </si>
  <si>
    <t>VMON3</t>
  </si>
  <si>
    <t>VMON3 monitoring enable</t>
  </si>
  <si>
    <t>VMON2</t>
  </si>
  <si>
    <t>VMON2 monitoring enable</t>
  </si>
  <si>
    <t>VMON1</t>
  </si>
  <si>
    <t>VMON1 monitoring enable</t>
  </si>
  <si>
    <t>PGOOD_RSTB</t>
  </si>
  <si>
    <t>WD_SELECTION</t>
  </si>
  <si>
    <t>Watchdog mode selection</t>
  </si>
  <si>
    <t>0 - Enabled</t>
  </si>
  <si>
    <t>1 - Disabled</t>
  </si>
  <si>
    <t>Watchdog monitoring enable</t>
  </si>
  <si>
    <t>0 - Simple WD</t>
  </si>
  <si>
    <t>1 - Challenger WD</t>
  </si>
  <si>
    <t>Fault recovery strategy enable</t>
  </si>
  <si>
    <t>1001 - Address D9</t>
  </si>
  <si>
    <t>BUCK3 Gain control</t>
  </si>
  <si>
    <t>Register Address</t>
  </si>
  <si>
    <t>00000001</t>
  </si>
  <si>
    <t>PLL enable</t>
  </si>
  <si>
    <t>0 - Default</t>
  </si>
  <si>
    <t>Customer:</t>
  </si>
  <si>
    <t>File revision:</t>
  </si>
  <si>
    <t>File repository:</t>
  </si>
  <si>
    <t>Author:</t>
  </si>
  <si>
    <t>01010000 - 0.9V</t>
  </si>
  <si>
    <t>01110000 - 1.1V</t>
  </si>
  <si>
    <t>10000000 - 1.2V</t>
  </si>
  <si>
    <t>10010000 - 1.3V</t>
  </si>
  <si>
    <t>10100000 - 1.4V</t>
  </si>
  <si>
    <t>10110000 - 1.5V</t>
  </si>
  <si>
    <t>00000000</t>
  </si>
  <si>
    <t>Automatically filled in by Sidence IP</t>
  </si>
  <si>
    <t>0 - CLK1</t>
  </si>
  <si>
    <t>1 - CLK2</t>
  </si>
  <si>
    <t>Scale the slope compensation and the Zero Cross Detection according to inductor value</t>
  </si>
  <si>
    <t>BUCK3 Compensation Resistor</t>
  </si>
  <si>
    <t>Need a drop out &gt;0.5V</t>
  </si>
  <si>
    <t>Need a drop out &gt;1V</t>
  </si>
  <si>
    <t>Need PSYNC_EN=1</t>
  </si>
  <si>
    <t>Recommended for Truck 24V network</t>
  </si>
  <si>
    <t>conf_tsd[5]</t>
  </si>
  <si>
    <t>LDO2 behavior in case of TSD</t>
  </si>
  <si>
    <t>conf_tsd[0]</t>
  </si>
  <si>
    <t>conf_tsd[1]</t>
  </si>
  <si>
    <t>LDO1 behavior in case of TSD</t>
  </si>
  <si>
    <t>conf_tsd[2]</t>
  </si>
  <si>
    <t>BUCK3 behavior in case of TSD</t>
  </si>
  <si>
    <t>BUCK2 behavior in case of TSD</t>
  </si>
  <si>
    <t>conf_tsd[3]</t>
  </si>
  <si>
    <t>conf_tsd[4]</t>
  </si>
  <si>
    <t>BUCK1 behavior in case of TSD</t>
  </si>
  <si>
    <t>BOOST behavior in case of TSD</t>
  </si>
  <si>
    <t>0 - LDO2 Shutdown</t>
  </si>
  <si>
    <t>1 - LDO2 Shutdown + DFS</t>
  </si>
  <si>
    <t>1 - LDO1 Shutdown + DFS</t>
  </si>
  <si>
    <t>0 - LDO1 Shutdown</t>
  </si>
  <si>
    <t>0 - BUCK3 Shutdown</t>
  </si>
  <si>
    <t>1 - BUCK3 Shutdown + DFS</t>
  </si>
  <si>
    <t>1 - BUCK2 Shutdown + DFS</t>
  </si>
  <si>
    <t>0 - BUCK2 Shutdown</t>
  </si>
  <si>
    <t>1 - BUCK1 Shutdown + DFS</t>
  </si>
  <si>
    <t>0 - BUCK1 Shutdown</t>
  </si>
  <si>
    <t>0 - BOOST Shutdown</t>
  </si>
  <si>
    <t>1 - BOOST Shutdown + DFS</t>
  </si>
  <si>
    <t>VPRE</t>
  </si>
  <si>
    <t>Output voltage</t>
  </si>
  <si>
    <t>Slope compensation</t>
  </si>
  <si>
    <t>Current limitation</t>
  </si>
  <si>
    <t>High Side slew rate</t>
  </si>
  <si>
    <t>Low Side slew rate</t>
  </si>
  <si>
    <t>BUCK1</t>
  </si>
  <si>
    <t>Switching frequency</t>
  </si>
  <si>
    <t>Inductor</t>
  </si>
  <si>
    <t>BUCK2</t>
  </si>
  <si>
    <t>Enabled</t>
  </si>
  <si>
    <t>Multiphase with Buck1</t>
  </si>
  <si>
    <t>BUCK3</t>
  </si>
  <si>
    <t>Compensation network</t>
  </si>
  <si>
    <t>Compensation resistor</t>
  </si>
  <si>
    <t>Gain control</t>
  </si>
  <si>
    <t>MAIN</t>
  </si>
  <si>
    <t>FAIL SAFE</t>
  </si>
  <si>
    <t>VBOOST</t>
  </si>
  <si>
    <t>Slew rate</t>
  </si>
  <si>
    <t>Compensation capacitor</t>
  </si>
  <si>
    <t>Phase shifting</t>
  </si>
  <si>
    <t>Behavior in case of TSD</t>
  </si>
  <si>
    <t>Power sequencing slot</t>
  </si>
  <si>
    <t>Turn OFF delay</t>
  </si>
  <si>
    <t>PSYNC</t>
  </si>
  <si>
    <t>Other</t>
  </si>
  <si>
    <t>I2C address</t>
  </si>
  <si>
    <t>Device ID</t>
  </si>
  <si>
    <t>VSUP power-up threshold</t>
  </si>
  <si>
    <t>VCOREMON</t>
  </si>
  <si>
    <t>Monitoring Voltage</t>
  </si>
  <si>
    <t>OVTH</t>
  </si>
  <si>
    <t>UVTH</t>
  </si>
  <si>
    <t>SVS_CLAMP</t>
  </si>
  <si>
    <t>VDDIOMON</t>
  </si>
  <si>
    <t>ABIST1</t>
  </si>
  <si>
    <t>RSTB</t>
  </si>
  <si>
    <t>Safety enable</t>
  </si>
  <si>
    <t>FCCU</t>
  </si>
  <si>
    <t>ERRMON</t>
  </si>
  <si>
    <t>FLT_RECOVERY</t>
  </si>
  <si>
    <t>1010 - 109.5%</t>
  </si>
  <si>
    <t>1010 - 90.5%</t>
  </si>
  <si>
    <t>in red font, don't touch</t>
  </si>
  <si>
    <r>
      <t xml:space="preserve">in red font, don't touch
</t>
    </r>
    <r>
      <rPr>
        <b/>
        <sz val="12"/>
        <color rgb="FFFF9900"/>
        <rFont val="Calibri"/>
        <family val="2"/>
        <scheme val="minor"/>
      </rPr>
      <t>in orange, FS84 vs FS85 consideration</t>
    </r>
  </si>
  <si>
    <t>Deep Fail Safe (autoretry)</t>
  </si>
  <si>
    <t>With this configuration, the I2C address changes externally with MOSI pin state</t>
  </si>
  <si>
    <t>VSUP</t>
  </si>
  <si>
    <t>Time</t>
  </si>
  <si>
    <t>Power sequencing</t>
  </si>
  <si>
    <t>RSTB_VCORE</t>
  </si>
  <si>
    <t>RSTB_VDDIO</t>
  </si>
  <si>
    <t>RSTB_VMON1</t>
  </si>
  <si>
    <t>RSTB_VMON2</t>
  </si>
  <si>
    <t>RSTB_VMON3</t>
  </si>
  <si>
    <t>RSTB_VMON4</t>
  </si>
  <si>
    <t>EXT.</t>
  </si>
  <si>
    <t>VBOS</t>
  </si>
  <si>
    <t>LBIST</t>
  </si>
  <si>
    <t>DONE</t>
  </si>
  <si>
    <t>ABIST_Temp</t>
  </si>
  <si>
    <t>01000100 - 0.825V</t>
  </si>
  <si>
    <t>01100101 - 1.03125V</t>
  </si>
  <si>
    <t>4/ When the OTP configuration is OK, generate the text file that will be used with the EVB GUI</t>
  </si>
  <si>
    <t>5/ The text file will be used with the EVB GUI. Refer to the GUI user guide.</t>
  </si>
  <si>
    <t>Quick User Guide:</t>
  </si>
  <si>
    <r>
      <t xml:space="preserve">   - From </t>
    </r>
    <r>
      <rPr>
        <b/>
        <sz val="10"/>
        <rFont val="Arial"/>
        <family val="2"/>
      </rPr>
      <t>OTP_conf_file_generation</t>
    </r>
    <r>
      <rPr>
        <sz val="10"/>
        <rFont val="Arial"/>
        <family val="2"/>
      </rPr>
      <t xml:space="preserve"> sheet</t>
    </r>
  </si>
  <si>
    <r>
      <t xml:space="preserve">3/ Verify the complete OTP configuration in </t>
    </r>
    <r>
      <rPr>
        <b/>
        <sz val="10"/>
        <rFont val="Arial"/>
        <family val="2"/>
      </rPr>
      <t>OTP_conf_summary</t>
    </r>
    <r>
      <rPr>
        <sz val="10"/>
        <rFont val="Arial"/>
        <family val="2"/>
      </rPr>
      <t xml:space="preserve"> sheet</t>
    </r>
  </si>
  <si>
    <t>OTP_CFG_DGLT_DUR_1</t>
  </si>
  <si>
    <t>OTP_CFG_DGLT_DUR_2</t>
  </si>
  <si>
    <t>VCORE_UV_DGLT[1:0]</t>
  </si>
  <si>
    <t>VDDIO_UV_DGLT[1:0]</t>
  </si>
  <si>
    <t>VMONx_UV_DGLT[1:0]</t>
  </si>
  <si>
    <t>VMONx_OV_DGLT</t>
  </si>
  <si>
    <t>VCORE_OV_DGLT</t>
  </si>
  <si>
    <t>VDDIO_OV_DGLT</t>
  </si>
  <si>
    <t>VCORE undervoltage filtering time</t>
  </si>
  <si>
    <t>VCORE overvoltage filtering time</t>
  </si>
  <si>
    <t>VDDIO undervoltage filtering time</t>
  </si>
  <si>
    <t>VDDIO overvoltage filtering time</t>
  </si>
  <si>
    <t>VMONx undervoltage filtering time</t>
  </si>
  <si>
    <t>VMONx overvoltage filtering time</t>
  </si>
  <si>
    <t>Valid for all VMON1,2,3,4</t>
  </si>
  <si>
    <t>OV_DGLT</t>
  </si>
  <si>
    <t>UV_DGLT</t>
  </si>
  <si>
    <t>Reserved</t>
  </si>
  <si>
    <t>M_I2CDEVADDR[3:0]</t>
  </si>
  <si>
    <t>FS_I2CDEVADDR[3:0]</t>
  </si>
  <si>
    <t>PLL enabled</t>
  </si>
  <si>
    <t>Filename:</t>
  </si>
  <si>
    <t>Part Number:</t>
  </si>
  <si>
    <r>
      <t xml:space="preserve">   - Click on </t>
    </r>
    <r>
      <rPr>
        <b/>
        <sz val="10"/>
        <rFont val="Arial"/>
        <family val="2"/>
      </rPr>
      <t>Write_OTP_File_GUI</t>
    </r>
    <r>
      <rPr>
        <sz val="10"/>
        <rFont val="Arial"/>
        <family val="2"/>
      </rPr>
      <t xml:space="preserve"> button to generate the text file at the location entered in G7 cell</t>
    </r>
  </si>
  <si>
    <t xml:space="preserve">   - Fill in cells G3 to G10.</t>
  </si>
  <si>
    <t>000 - delay 0</t>
  </si>
  <si>
    <r>
      <t>Type number</t>
    </r>
    <r>
      <rPr>
        <b/>
        <vertAlign val="superscript"/>
        <sz val="10"/>
        <color rgb="FF003883"/>
        <rFont val="Arial"/>
        <family val="2"/>
      </rPr>
      <t>[1]</t>
    </r>
  </si>
  <si>
    <t>Package</t>
  </si>
  <si>
    <t>Name</t>
  </si>
  <si>
    <t>Description</t>
  </si>
  <si>
    <t>Version</t>
  </si>
  <si>
    <t>HVQFN56</t>
  </si>
  <si>
    <t>HVQFN56, plastic, thermally enhanced very thin quad; flat non-leaded package, wettable flanks; 56 terminals; 0.5 mm pitch; 8 mm x 8 mm x 0.85 mm body</t>
  </si>
  <si>
    <t>[1] To order parts in tape and reel, add the R2 suffix to the part number.</t>
  </si>
  <si>
    <t>Table 1. Ordering Information</t>
  </si>
  <si>
    <t>Functional block</t>
  </si>
  <si>
    <t>Feature</t>
  </si>
  <si>
    <t>OTP selection</t>
  </si>
  <si>
    <t xml:space="preserve"> 1    General description</t>
  </si>
  <si>
    <t xml:space="preserve"> 2    Features and benefits</t>
  </si>
  <si>
    <t xml:space="preserve"> 3    Applications</t>
  </si>
  <si>
    <t xml:space="preserve"> 4    Ordering information</t>
  </si>
  <si>
    <t xml:space="preserve"> 5    Power up sequence summary</t>
  </si>
  <si>
    <t xml:space="preserve"> 6    Hardware configuration diagram</t>
  </si>
  <si>
    <t xml:space="preserve"> 7    OTP configuration</t>
  </si>
  <si>
    <t xml:space="preserve"> 8    Legal information</t>
  </si>
  <si>
    <t xml:space="preserve"> Contents</t>
  </si>
  <si>
    <t>I2C</t>
  </si>
  <si>
    <t>Miscellaneous</t>
  </si>
  <si>
    <t>Table 2. Main OTP configuration</t>
  </si>
  <si>
    <t>Table 2. Main OTP configuration (continued)</t>
  </si>
  <si>
    <t>Table 3. Fail-safe OTP configuration</t>
  </si>
  <si>
    <t>Table 3. Fail-safe OTP configuration (continued)</t>
  </si>
  <si>
    <t>001111 - 3.3V</t>
  </si>
  <si>
    <t>010100 - 3.8V</t>
  </si>
  <si>
    <t>010111 - 4.1V</t>
  </si>
  <si>
    <t>100000 - 5.0V</t>
  </si>
  <si>
    <t>00 - 50mV</t>
  </si>
  <si>
    <t>01 - 80mV</t>
  </si>
  <si>
    <t>10 - 120mV</t>
  </si>
  <si>
    <t>11 - 150mV</t>
  </si>
  <si>
    <t>10 - 40ns</t>
  </si>
  <si>
    <t>00 - PU/PD/130mA</t>
  </si>
  <si>
    <t>01 - PU/PD/260mA</t>
  </si>
  <si>
    <t>10 - PU/PD/520mA</t>
  </si>
  <si>
    <t>11 - PU/PD/900mA</t>
  </si>
  <si>
    <t>0110 - 5.00V</t>
  </si>
  <si>
    <t>1101 - 5.74V</t>
  </si>
  <si>
    <t>00 - 60ns</t>
  </si>
  <si>
    <t>01 - 50ns</t>
  </si>
  <si>
    <t>00 - 750kohms</t>
  </si>
  <si>
    <t>01 - 500Kohms</t>
  </si>
  <si>
    <t>00 - 125pF</t>
  </si>
  <si>
    <t>01 - 2A</t>
  </si>
  <si>
    <t>01100000 - 1.0V</t>
  </si>
  <si>
    <t>01100100 - 1.025V</t>
  </si>
  <si>
    <t>11 - 4.5A</t>
  </si>
  <si>
    <t>00000 - 1.0V</t>
  </si>
  <si>
    <t>00001 - 1.1V</t>
  </si>
  <si>
    <t>00010 - 1.2V</t>
  </si>
  <si>
    <t>00011 - 1.25V</t>
  </si>
  <si>
    <t>00100 - 1.3V</t>
  </si>
  <si>
    <t>00101 - 1.35V</t>
  </si>
  <si>
    <t>00110 - 1.5V</t>
  </si>
  <si>
    <t>00111 - 1.6V</t>
  </si>
  <si>
    <t>01000 - 1.8V</t>
  </si>
  <si>
    <t>01110 - 2.3V</t>
  </si>
  <si>
    <t>10000 - 2.5V</t>
  </si>
  <si>
    <t>10001 - 2.8V</t>
  </si>
  <si>
    <t>10101 - 3.3V</t>
  </si>
  <si>
    <t>0 - 400mA</t>
  </si>
  <si>
    <t>1 - 150mA</t>
  </si>
  <si>
    <t>000 - 1.1V</t>
  </si>
  <si>
    <t>001 - 1.2V</t>
  </si>
  <si>
    <t>010 - 1.6V</t>
  </si>
  <si>
    <t>011 - 1.8V</t>
  </si>
  <si>
    <t>100 - 2.5V</t>
  </si>
  <si>
    <t>101 - 2.8V</t>
  </si>
  <si>
    <t>110 - 3.3V</t>
  </si>
  <si>
    <t>111 - 5.0V</t>
  </si>
  <si>
    <t>000 - divide by 8  - CLK2=2.5MHz</t>
  </si>
  <si>
    <t>001 - divide by 10 - CLK2=2MHz</t>
  </si>
  <si>
    <t>010 - divide by 12  - CLK2=1.67MHz</t>
  </si>
  <si>
    <t>011 - divide by 14  - CLK2=1.43MHz</t>
  </si>
  <si>
    <t>100 - divide by 44 - CLK2=455KHz</t>
  </si>
  <si>
    <t>101 - divide by 46  - CLK2=435KHz</t>
  </si>
  <si>
    <t>110 - divide by 48  - CLK2=417KHz</t>
  </si>
  <si>
    <t>111 - divide by 64  - CLK2=312.5KHz</t>
  </si>
  <si>
    <t>00 - divide by 7 - CLK1=2.85MHz</t>
  </si>
  <si>
    <t>01 - divide by 8 - CLK1=2.5MHz</t>
  </si>
  <si>
    <t>10 - divide by 9  - CLK1=2.22MHz</t>
  </si>
  <si>
    <t>11 - divide by 14  - CLK1=1.43MHz</t>
  </si>
  <si>
    <t>1 - 32ms</t>
  </si>
  <si>
    <t>0 - 4.9V for Vpre &lt; 4.5V</t>
  </si>
  <si>
    <t>1 - 6.2V for Vpre &gt; 4.5V</t>
  </si>
  <si>
    <t>000100 - 40mV/µs</t>
  </si>
  <si>
    <t>000101 - 50mV/µs</t>
  </si>
  <si>
    <t>000110 - 60mV/µs</t>
  </si>
  <si>
    <t>000111 - 70mV/µs</t>
  </si>
  <si>
    <t>001000 - 80mV/µs</t>
  </si>
  <si>
    <t>001001 - 90mV/µs</t>
  </si>
  <si>
    <t>001010 - 100mV/µs</t>
  </si>
  <si>
    <t>001110 - 140mV/µs</t>
  </si>
  <si>
    <t>010100 - 200mV/µs</t>
  </si>
  <si>
    <t>00110 - 160mV/µs</t>
  </si>
  <si>
    <t>01100 - 125mV/µs</t>
  </si>
  <si>
    <t>01110 - 79mV/µs</t>
  </si>
  <si>
    <t>10 - 300V/µs</t>
  </si>
  <si>
    <t>11 - 500V/µs</t>
  </si>
  <si>
    <t>0 - 250µs</t>
  </si>
  <si>
    <t>Enable PLL when FIN is used</t>
  </si>
  <si>
    <t>If BUCK1/2 are used in multiphase, BUCK1 settings must be done before enabling the multiphase configuration</t>
  </si>
  <si>
    <t>00 - 5µs</t>
  </si>
  <si>
    <t>01 - 15µs</t>
  </si>
  <si>
    <t>10 - 25µs</t>
  </si>
  <si>
    <t>11 - 40µs</t>
  </si>
  <si>
    <t>0 - 25µs</t>
  </si>
  <si>
    <t>1 - 45µs</t>
  </si>
  <si>
    <t>00 - 1µH</t>
  </si>
  <si>
    <t>01 - 0.47µH</t>
  </si>
  <si>
    <t>10 - 1.5µH</t>
  </si>
  <si>
    <t>Only "Default" configuration to use with L value in the spec (from 0.47µH to 1.5µH)</t>
  </si>
  <si>
    <t>Note: VBOS is set at 5.1 V and RSTB at 3.2 V or 4.9 V to differentiate from regulators on the graph</t>
  </si>
  <si>
    <t>-12.5mV</t>
  </si>
  <si>
    <t>-25mV</t>
  </si>
  <si>
    <t>-50mV</t>
  </si>
  <si>
    <t>-100mV</t>
  </si>
  <si>
    <t>Need a drop out (Vin - Vout) &gt; 0.5V</t>
  </si>
  <si>
    <t>Need a drop out(Vin - Vout) &gt; 1V</t>
  </si>
  <si>
    <t>FS0B cannot be released when WD is disabled by OTP. Recommend to use Debug mode.
Valid_WD=0, so the device will go to STANDBY when WAKE1=WAKE2=0</t>
  </si>
  <si>
    <t>To be used with NXP 16nm S32 MCU</t>
  </si>
  <si>
    <t>When enabled, PSYNC_CFG configuration is used to synchronize 2x devices</t>
  </si>
  <si>
    <t>When disabled, PSYNC_CFG is ignored</t>
  </si>
  <si>
    <t>FS85#1 state machine stops before FS85#1_VPRE starts and waits for FS85#2 to synchronize FS85#2_VPRE start</t>
  </si>
  <si>
    <t>Default value</t>
  </si>
  <si>
    <t>x15 autoretry from Deep Fail-safe</t>
  </si>
  <si>
    <t>When disabled, Autorety_infinite is ignored</t>
  </si>
  <si>
    <t xml:space="preserve">Infinite autoretry from Deep Fail-safe. </t>
  </si>
  <si>
    <t>Need Autoretry_en=1</t>
  </si>
  <si>
    <r>
      <t xml:space="preserve">1/ Fill in </t>
    </r>
    <r>
      <rPr>
        <b/>
        <sz val="10"/>
        <rFont val="Arial"/>
        <family val="2"/>
      </rPr>
      <t>OTP_conf_main_reg</t>
    </r>
    <r>
      <rPr>
        <sz val="10"/>
        <rFont val="Arial"/>
        <family val="2"/>
      </rPr>
      <t xml:space="preserve"> sheet with available drop down list configuration for each OTP bit. Read the comments in OTP_conf_main_bits sheet for help</t>
    </r>
  </si>
  <si>
    <r>
      <t>2/ Fill in</t>
    </r>
    <r>
      <rPr>
        <b/>
        <sz val="10"/>
        <rFont val="Arial"/>
        <family val="2"/>
      </rPr>
      <t xml:space="preserve"> OTP_conf_failsafe_reg</t>
    </r>
    <r>
      <rPr>
        <sz val="10"/>
        <rFont val="Arial"/>
        <family val="2"/>
      </rPr>
      <t xml:space="preserve"> sheet with available drop down list configuration for each OTP bit.  Read the comments in OTP_conf_failsafe_bits sheet for help</t>
    </r>
  </si>
  <si>
    <t xml:space="preserve">     FS85_FS84_OTP_Config</t>
  </si>
  <si>
    <t>010001 - 170mV/µs</t>
  </si>
  <si>
    <t>011000 - 240mV/µs</t>
  </si>
  <si>
    <t>01011000 - 0.95V</t>
  </si>
  <si>
    <t>1 - 5.0V</t>
  </si>
  <si>
    <t xml:space="preserve">   Initial release</t>
  </si>
  <si>
    <t>Inputs</t>
  </si>
  <si>
    <t>Outputs</t>
  </si>
  <si>
    <t>Normalized values</t>
  </si>
  <si>
    <t>Current mode regulation loop principle</t>
  </si>
  <si>
    <t>PI Filter</t>
  </si>
  <si>
    <t>Fpi = Fsw / 10</t>
  </si>
  <si>
    <t>Hz</t>
  </si>
  <si>
    <t>Lpi</t>
  </si>
  <si>
    <t>uH</t>
  </si>
  <si>
    <t>Cpi1_Vbat_Calculated</t>
  </si>
  <si>
    <t>uF</t>
  </si>
  <si>
    <t>Cpi1_Vbat_Selected</t>
  </si>
  <si>
    <t>Cpi2_Vsup_Selected</t>
  </si>
  <si>
    <t>VPRE - 455KHz</t>
  </si>
  <si>
    <t>VPRE - 2.22MHz</t>
  </si>
  <si>
    <t>BOOST - 2.22MHz</t>
  </si>
  <si>
    <t>Vin (VSUP)</t>
  </si>
  <si>
    <t>V</t>
  </si>
  <si>
    <t>Vin (VPRE)</t>
  </si>
  <si>
    <t>Vout (3.3 or 4.1 or 5.0V)</t>
  </si>
  <si>
    <t>Fsw (455KHz or 2.22MHz)</t>
  </si>
  <si>
    <t>Fsw</t>
  </si>
  <si>
    <t>I_PRE_average</t>
  </si>
  <si>
    <t>A</t>
  </si>
  <si>
    <t>I_BOOST</t>
  </si>
  <si>
    <t>I_PRE_peak (in the inductor)</t>
  </si>
  <si>
    <t>Inductor Current Ripple desired</t>
  </si>
  <si>
    <t>%</t>
  </si>
  <si>
    <t>Output Voltage Ripple desired</t>
  </si>
  <si>
    <t>mV</t>
  </si>
  <si>
    <t>L_PRE_calculated</t>
  </si>
  <si>
    <t>L_BOOST</t>
  </si>
  <si>
    <t>L_PRE_selected from
(4.7uH - 10uH @450KHz)</t>
  </si>
  <si>
    <t>L_PRE_selected from
(1.5uH - 4.7uH @2.22MHz)</t>
  </si>
  <si>
    <t>L_BOOST_selected from
(2.2uH - 6.8uH @2.22MHz)</t>
  </si>
  <si>
    <t>Inductor Current Ripple Calculated</t>
  </si>
  <si>
    <t>Cout_PRE_min (for ripple)</t>
  </si>
  <si>
    <t>C_BOOST_min (for ripple)</t>
  </si>
  <si>
    <t>Cout_PRE_min (for transient)
Cout = dI / (2π x Fbw x dV)</t>
  </si>
  <si>
    <r>
      <t>Cout_BOOST_min (for transient)
Cout = DI / (2</t>
    </r>
    <r>
      <rPr>
        <sz val="10"/>
        <color theme="1"/>
        <rFont val="Arial"/>
        <family val="2"/>
      </rPr>
      <t>π x Fbw x DV)</t>
    </r>
  </si>
  <si>
    <t>Cout_PRE_selected</t>
  </si>
  <si>
    <t>Cout_BOOST_selected</t>
  </si>
  <si>
    <t>Max dV Calculated</t>
  </si>
  <si>
    <t>Cout_PRE_ESR</t>
  </si>
  <si>
    <t>mΩ</t>
  </si>
  <si>
    <t>Voltage/Current Ratio (Kcs)
Kcs = 0.466/ILIM</t>
  </si>
  <si>
    <t>V/A</t>
  </si>
  <si>
    <t>Output Voltage Ripple Calculated</t>
  </si>
  <si>
    <t>Bandwidth (Fbw ~12KHz)</t>
  </si>
  <si>
    <t>Rsense (10 - 20)</t>
  </si>
  <si>
    <r>
      <t>Fz = 1/(2</t>
    </r>
    <r>
      <rPr>
        <sz val="10"/>
        <color theme="1"/>
        <rFont val="Arial"/>
        <family val="2"/>
      </rPr>
      <t>π x Rcomp x Ccomp)</t>
    </r>
  </si>
  <si>
    <t>Bandwidth target (Fbw ~Fsw/10)</t>
  </si>
  <si>
    <t>Bandwidth target (Fbw ~Fsw/15)</t>
  </si>
  <si>
    <t>Fp = 1/(2π x Rcomp x Chf)</t>
  </si>
  <si>
    <t>Fz = Fbw/10 = 1/(2π x Rcomp x Ccomp)</t>
  </si>
  <si>
    <t>uS</t>
  </si>
  <si>
    <t>Fp = Fsw/2 = 1/(2π x Rcomp x Chf)</t>
  </si>
  <si>
    <t>Fp = Fsw/4 = 1/(2π x Rcomp x Chf)</t>
  </si>
  <si>
    <r>
      <t>Fgbw = 1/(Kcs x 2</t>
    </r>
    <r>
      <rPr>
        <sz val="10"/>
        <color theme="1"/>
        <rFont val="Arial"/>
        <family val="2"/>
      </rPr>
      <t>π x Cout)</t>
    </r>
  </si>
  <si>
    <t>mS</t>
  </si>
  <si>
    <t>EA gain = (Vref/Vout) x gmEA x Rcomp</t>
  </si>
  <si>
    <t>Fgbw = 1/(Rsense x Acs x 2π x Cout)</t>
  </si>
  <si>
    <t>KΩ</t>
  </si>
  <si>
    <t>Ccomp_selected from OTP</t>
  </si>
  <si>
    <t>pF</t>
  </si>
  <si>
    <t>Rcomp_Calculated</t>
  </si>
  <si>
    <t>Chf_integrated (fixed)</t>
  </si>
  <si>
    <t>Rcomp_selected</t>
  </si>
  <si>
    <t>Discharge slope m=(Vout+Vd-Vin)/L</t>
  </si>
  <si>
    <t>mA/us</t>
  </si>
  <si>
    <t>Ccomp_calculated (min)</t>
  </si>
  <si>
    <t>nF</t>
  </si>
  <si>
    <t>Slope compensation to select 
SC &gt; m x Kcs</t>
  </si>
  <si>
    <t>mV/us</t>
  </si>
  <si>
    <t>Ccomp_selected</t>
  </si>
  <si>
    <t>Chf_calculated</t>
  </si>
  <si>
    <t>Chf_selected</t>
  </si>
  <si>
    <t>Discharge slope m=(Vout/L)</t>
  </si>
  <si>
    <t>Slope compensation to select 
SC &gt; m x Rsense x Acs</t>
  </si>
  <si>
    <t>Current Limit to select must be &gt;</t>
  </si>
  <si>
    <t>Flavor</t>
  </si>
  <si>
    <t>FAILSAFE</t>
  </si>
  <si>
    <t xml:space="preserve">   Add possibility to load an existing OTP config from ATE format</t>
  </si>
  <si>
    <t>Register</t>
  </si>
  <si>
    <t>Bit7</t>
  </si>
  <si>
    <t>Bit6</t>
  </si>
  <si>
    <t>Bit5</t>
  </si>
  <si>
    <t>Bit4</t>
  </si>
  <si>
    <t>Bit3</t>
  </si>
  <si>
    <t>Bit2</t>
  </si>
  <si>
    <t>Bit1</t>
  </si>
  <si>
    <t>Bit0</t>
  </si>
  <si>
    <t>otp_SPARE0[2:0</t>
  </si>
  <si>
    <t>otp_SPARE1[2:0</t>
  </si>
  <si>
    <t>Tslot</t>
  </si>
  <si>
    <t>DVS_BUCK12[1:0]</t>
  </si>
  <si>
    <t>DVS_BUCK3[1:0]</t>
  </si>
  <si>
    <t>VPRE_MODE</t>
  </si>
  <si>
    <t>0 - Force PWM</t>
  </si>
  <si>
    <t>1 - APS</t>
  </si>
  <si>
    <t>Automatic Pulse Skipping for 2.2MHz</t>
  </si>
  <si>
    <t>Force PWM for 455kHz</t>
  </si>
  <si>
    <t>VPRE mode</t>
  </si>
  <si>
    <t>00 - 7.81mV/µs</t>
  </si>
  <si>
    <t>01 - 3.13mV/µs</t>
  </si>
  <si>
    <t>11 - 2.23mV/µs</t>
  </si>
  <si>
    <t>01 - 3.47mV/µs</t>
  </si>
  <si>
    <t>11 - 2.08mV/µs</t>
  </si>
  <si>
    <t>otp_SPARE1[2:0]</t>
  </si>
  <si>
    <t>otp_SPARE0[1:0]</t>
  </si>
  <si>
    <t>otp_SPARE2[1:0]</t>
  </si>
  <si>
    <t>otp_SPARE3[4:0]</t>
  </si>
  <si>
    <t>Soft start ramp</t>
  </si>
  <si>
    <t>Power up/down slot duration</t>
  </si>
  <si>
    <t>Device family</t>
  </si>
  <si>
    <t>111 - Regulator does not Start (Enabled by SPI/I2C)</t>
  </si>
  <si>
    <t>C0</t>
  </si>
  <si>
    <t>C0 silicon features</t>
  </si>
  <si>
    <t>B0 silicon compatibility</t>
  </si>
  <si>
    <t>SOT684-23</t>
  </si>
  <si>
    <t xml:space="preserve">     C0 silicon, FS85_FS84 datasheet rev 3.1 and after</t>
  </si>
  <si>
    <t>BUCK3 soft start/stop configurability</t>
  </si>
  <si>
    <t>BUCK1 and BUCK2 soft start/stop configurability</t>
  </si>
  <si>
    <t>Power up synchronization</t>
  </si>
  <si>
    <t>PSYNC pin of FS85/FS84 shall be connected to the PGOOD pin of an external PMIC. In this configuration, FS85 state machine stops after VPRE starts and waits for the PGOOD pin of the external PMIC to be released to continue its own power sequencing</t>
  </si>
  <si>
    <t>When FS85/FS84 is used with an external PMIC, PSYNC_EN=1 and PSYNC_CFG=1, during power down sequence, FS85 should wait for the external PMIC power down sequence completion before turning OFF VPRE (VPRE is powering the external PMIC).  OTP_VPRE_off_dly bit shall be configured to extend VPRE turn OFF delay from 250 μs default value to 32 ms.</t>
  </si>
  <si>
    <t>1 - 1x FS85 and 1x ext. PMIC</t>
  </si>
  <si>
    <t>Recommended for Automotive 12V network. Can be used for VPRE &gt; 4.5V but in this case VPRE cannot regulate 5V when VSUP=4.9V</t>
  </si>
  <si>
    <t>Default value recommended</t>
  </si>
  <si>
    <t>Defaut GM to use. Will  be stable and will cover most of the use cases with typical output capacitor.</t>
  </si>
  <si>
    <t>Decrease GM to reduce the regulation bandwidth and increase the Phase and Gain margin but transient performance may be degraded.</t>
  </si>
  <si>
    <t>Increase GM to enlarge the regulation bandwidth and improve transient performance but the Phase and Gain margin may be degraded with typical output capacitor. High output capacitor value reduces the regulation loop bandwidth. Since the compensation network is integrated, increasing the GM helps to improve the Phase Margin by enlarging the bandwidth.</t>
  </si>
  <si>
    <t>Resistors</t>
  </si>
  <si>
    <t>Capacitors</t>
  </si>
  <si>
    <r>
      <t>E12</t>
    </r>
    <r>
      <rPr>
        <sz val="11"/>
        <color rgb="FF000000"/>
        <rFont val="Calibri"/>
        <family val="2"/>
        <scheme val="minor"/>
      </rPr>
      <t>   10% tolerance</t>
    </r>
  </si>
  <si>
    <r>
      <t>E24</t>
    </r>
    <r>
      <rPr>
        <sz val="11"/>
        <color rgb="FF000000"/>
        <rFont val="Calibri"/>
        <family val="2"/>
        <scheme val="minor"/>
      </rPr>
      <t>     5% tolerance</t>
    </r>
  </si>
  <si>
    <r>
      <t>E48</t>
    </r>
    <r>
      <rPr>
        <sz val="11"/>
        <color rgb="FF000000"/>
        <rFont val="Calibri"/>
        <family val="2"/>
        <scheme val="minor"/>
      </rPr>
      <t>     2% tolerance</t>
    </r>
  </si>
  <si>
    <r>
      <t>E96</t>
    </r>
    <r>
      <rPr>
        <sz val="11"/>
        <color rgb="FF000000"/>
        <rFont val="Calibri"/>
        <family val="2"/>
        <scheme val="minor"/>
      </rPr>
      <t>     1% tolerance</t>
    </r>
  </si>
  <si>
    <r>
      <t>E192</t>
    </r>
    <r>
      <rPr>
        <sz val="11"/>
        <color rgb="FF000000"/>
        <rFont val="Calibri"/>
        <family val="2"/>
        <scheme val="minor"/>
      </rPr>
      <t>   0.5, 0.25, 0.1% and higher tolerances</t>
    </r>
  </si>
  <si>
    <t>E24</t>
  </si>
  <si>
    <t>E48</t>
  </si>
  <si>
    <t>E96</t>
  </si>
  <si>
    <t>E192</t>
  </si>
  <si>
    <t xml:space="preserve">   Add new OTP bits for C0 silicon in OTP_conf_main_reg sheet
        - VPRE_MODE bit added
        - DVS_BUCK12 bits added
        - DVS_BUCK3 bit added
        - Tslot bit added
   Add Normalized_R_C_Values sheet</t>
  </si>
  <si>
    <t xml:space="preserve">Related GUI: </t>
  </si>
  <si>
    <t xml:space="preserve">     C0 silicon, FS85_FS84 GUI rev 0.7.4 and after</t>
  </si>
  <si>
    <t>Silicon</t>
  </si>
  <si>
    <t>Application</t>
  </si>
  <si>
    <t>File name:</t>
  </si>
  <si>
    <t>EA transconductance (gmEA_PRE)</t>
  </si>
  <si>
    <t>EA transconductance (gmEA_BOOST)</t>
  </si>
  <si>
    <t>1 - 1000µs</t>
  </si>
  <si>
    <t xml:space="preserve">   Update "Power Sequencing" graph taking into account different Tslot and DVS for BUCK1/2/3</t>
  </si>
  <si>
    <t>01101100 - 1.075V</t>
  </si>
  <si>
    <t>01110110 - 1.1375V</t>
  </si>
  <si>
    <t>01101110 - 1.0875V</t>
  </si>
  <si>
    <t>01101111 - 1.09375V</t>
  </si>
  <si>
    <t>All faults asserting RSTB will also assert PGOOD, except the external Reset from MCU</t>
  </si>
  <si>
    <t>01110011 - 1.11875V</t>
  </si>
  <si>
    <t xml:space="preserve">   Add setting 1.11875V to VB2V[7:0] settings</t>
  </si>
  <si>
    <t>FS8430</t>
  </si>
  <si>
    <t xml:space="preserve">   Forced PD to 900mA for LS VPRE during import from previous silicon revision
   Save folder dialog added for ATE files</t>
  </si>
  <si>
    <t xml:space="preserve">   Correct power sequence drawing when a regulator is starting by SPI/I2C
   Correct macro error to convert OTP ATE file from B0 to C0 silicon</t>
  </si>
  <si>
    <t>2.0</t>
  </si>
  <si>
    <t xml:space="preserve"> Version for production release</t>
  </si>
  <si>
    <t>10 - 2.60mV/µs</t>
  </si>
  <si>
    <t>00 - 10.4mV/µs</t>
  </si>
  <si>
    <t>p</t>
  </si>
  <si>
    <t>b</t>
  </si>
  <si>
    <t>Silicon &amp; Flavor</t>
  </si>
  <si>
    <t>Customer &amp; Application</t>
  </si>
  <si>
    <t>nb ABIST</t>
  </si>
  <si>
    <r>
      <rPr>
        <u/>
        <sz val="11"/>
        <rFont val="Calibri"/>
        <family val="2"/>
        <scheme val="minor"/>
      </rPr>
      <t>Notes:</t>
    </r>
    <r>
      <rPr>
        <sz val="11"/>
        <rFont val="Calibri"/>
        <family val="2"/>
        <scheme val="minor"/>
      </rPr>
      <t xml:space="preserve">
- VBOS is set @5.1V to differentiate from regulators on the graph
- BUCK1/2/3, LDO1/2 and RSTB may have -0.1V offset to differentiate from other regulators on the graph
- Timing representation may not be 100% accurate</t>
    </r>
  </si>
  <si>
    <t>OTP type</t>
  </si>
  <si>
    <t>B</t>
  </si>
  <si>
    <t>C</t>
  </si>
  <si>
    <t>D</t>
  </si>
  <si>
    <t>E</t>
  </si>
  <si>
    <t>F</t>
  </si>
  <si>
    <t>MC - Standard Production</t>
  </si>
  <si>
    <t>ES - Step Cut</t>
  </si>
  <si>
    <t>KS - Dimple</t>
  </si>
  <si>
    <t>PC - Sampling</t>
  </si>
  <si>
    <t>SC - Custom Production</t>
  </si>
  <si>
    <t>VMONx</t>
  </si>
  <si>
    <t>ASIL</t>
  </si>
  <si>
    <t>FS8400</t>
  </si>
  <si>
    <t>Yes</t>
  </si>
  <si>
    <t>No</t>
  </si>
  <si>
    <t>FS8405</t>
  </si>
  <si>
    <t>optional</t>
  </si>
  <si>
    <t>FS8410</t>
  </si>
  <si>
    <t>FS8415</t>
  </si>
  <si>
    <t>FS8420</t>
  </si>
  <si>
    <t>FS8425</t>
  </si>
  <si>
    <t>FS8435</t>
  </si>
  <si>
    <t>FS8500</t>
  </si>
  <si>
    <t>FS8510</t>
  </si>
  <si>
    <t>FS8520</t>
  </si>
  <si>
    <t>FS8530</t>
  </si>
  <si>
    <t>Device options</t>
  </si>
  <si>
    <t>OTP program ID</t>
  </si>
  <si>
    <t>OTP ID revision</t>
  </si>
  <si>
    <t>V OTP</t>
  </si>
  <si>
    <t>V Number</t>
  </si>
  <si>
    <t>Slot</t>
  </si>
  <si>
    <t>SR</t>
  </si>
  <si>
    <t>dt</t>
  </si>
  <si>
    <t>SR adjusted</t>
  </si>
  <si>
    <t>V after config (enable/slot)</t>
  </si>
  <si>
    <t>V final</t>
  </si>
  <si>
    <t>up to 2</t>
  </si>
  <si>
    <t>up to 4</t>
  </si>
  <si>
    <t>Max load transient dV (under/over voltage)</t>
  </si>
  <si>
    <t>Max load transient dI requirement</t>
  </si>
  <si>
    <t>SPI/I2C</t>
  </si>
  <si>
    <t>Rcomp_selected from OTP</t>
  </si>
  <si>
    <t>kHz</t>
  </si>
  <si>
    <t>Max load transient DV Calculated</t>
  </si>
  <si>
    <t>MHz</t>
  </si>
  <si>
    <t>Vd (diode foward voltage)</t>
  </si>
  <si>
    <t>Cpi2_Vripple_Calculated</t>
  </si>
  <si>
    <t>Vout</t>
  </si>
  <si>
    <t>Duty Cycle (Eff=1)</t>
  </si>
  <si>
    <t>Zin_PRE_Calculated (Eff=1)</t>
  </si>
  <si>
    <t>Ω</t>
  </si>
  <si>
    <t>Zout_PI_filter_Calculated (Eff=1)</t>
  </si>
  <si>
    <t>Part Number</t>
  </si>
  <si>
    <t>Rev</t>
  </si>
  <si>
    <t>Fc_cutoff_frequency_Cpi2_Lpi_Calculated</t>
  </si>
  <si>
    <t>6D</t>
  </si>
  <si>
    <t>E4</t>
  </si>
  <si>
    <t>FF</t>
  </si>
  <si>
    <t>BB</t>
  </si>
  <si>
    <t>3F</t>
  </si>
  <si>
    <t>5.74</t>
  </si>
  <si>
    <t>A0</t>
  </si>
  <si>
    <t>Ilim min</t>
  </si>
  <si>
    <t>Date of release:</t>
  </si>
  <si>
    <t>Power sequencing corrected, device family and other features added</t>
  </si>
  <si>
    <t>2.2</t>
  </si>
  <si>
    <t>FS85 WD Challenger Selection issue solved.</t>
  </si>
  <si>
    <t>C:\Users\dpc\Desktop\Nxp\OTP-Sheet-V2</t>
  </si>
  <si>
    <t>C:\Users\dpc\Desktop\Nxp\OTP-Sheet-V2\v2-v2.txt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</si>
</sst>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 mmmm\ yy"/>
    <numFmt numFmtId="165" formatCode="d\ mmmm\ yyyy"/>
    <numFmt numFmtId="166" formatCode="0.0"/>
    <numFmt numFmtId="167" formatCode="0.00000"/>
    <numFmt numFmtId="168" formatCode="0.000"/>
    <numFmt numFmtId="169" formatCode="[$-409]d\-mmm\-yyyy;@"/>
  </numFmts>
  <fonts count="54" x14ac:knownFonts="1">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sz val="11"/>
      <name val="Calibri"/>
      <family val="2"/>
      <scheme val="minor"/>
    </font>
    <font>
      <sz val="10"/>
      <name val="Arial"/>
      <family val="2"/>
    </font>
    <font>
      <b/>
      <sz val="18"/>
      <color theme="1"/>
      <name val="Calibri"/>
      <family val="2"/>
      <scheme val="minor"/>
    </font>
    <font>
      <b/>
      <sz val="12"/>
      <color theme="1"/>
      <name val="Calibri"/>
      <family val="2"/>
      <scheme val="minor"/>
    </font>
    <font>
      <sz val="12"/>
      <color theme="1"/>
      <name val="Calibri"/>
      <family val="2"/>
      <scheme val="minor"/>
    </font>
    <font>
      <sz val="12"/>
      <name val="Calibri"/>
      <family val="2"/>
      <scheme val="minor"/>
    </font>
    <font>
      <b/>
      <sz val="11"/>
      <name val="Calibri"/>
      <family val="2"/>
      <scheme val="minor"/>
    </font>
    <font>
      <b/>
      <sz val="14"/>
      <color theme="1"/>
      <name val="Calibri"/>
      <family val="2"/>
      <scheme val="minor"/>
    </font>
    <font>
      <b/>
      <u/>
      <sz val="11"/>
      <name val="Arial"/>
      <family val="2"/>
    </font>
    <font>
      <sz val="11"/>
      <name val="Arial"/>
      <family val="2"/>
    </font>
    <font>
      <b/>
      <sz val="11"/>
      <name val="Arial"/>
      <family val="2"/>
    </font>
    <font>
      <b/>
      <sz val="10"/>
      <name val="Arial"/>
      <family val="2"/>
    </font>
    <font>
      <b/>
      <sz val="11"/>
      <color rgb="FFFF0000"/>
      <name val="Calibri"/>
      <family val="2"/>
      <scheme val="minor"/>
    </font>
    <font>
      <b/>
      <sz val="11"/>
      <color rgb="FF0000FF"/>
      <name val="Calibri"/>
      <family val="2"/>
      <scheme val="minor"/>
    </font>
    <font>
      <sz val="12"/>
      <color rgb="FFFF0000"/>
      <name val="Calibri"/>
      <family val="2"/>
      <scheme val="minor"/>
    </font>
    <font>
      <b/>
      <sz val="12"/>
      <color rgb="FFFF0000"/>
      <name val="Calibri"/>
      <family val="2"/>
      <scheme val="minor"/>
    </font>
    <font>
      <b/>
      <sz val="12"/>
      <color rgb="FFFF9900"/>
      <name val="Calibri"/>
      <family val="2"/>
      <scheme val="minor"/>
    </font>
    <font>
      <sz val="12"/>
      <color rgb="FFFF9900"/>
      <name val="Calibri"/>
      <family val="2"/>
      <scheme val="minor"/>
    </font>
    <font>
      <sz val="12"/>
      <color rgb="FF080808"/>
      <name val="Calibri"/>
      <family val="2"/>
      <scheme val="minor"/>
    </font>
    <font>
      <sz val="11"/>
      <color theme="0"/>
      <name val="Calibri"/>
      <family val="2"/>
      <scheme val="minor"/>
    </font>
    <font>
      <sz val="11"/>
      <color theme="1"/>
      <name val="Arial"/>
      <family val="2"/>
    </font>
    <font>
      <sz val="10"/>
      <color theme="1"/>
      <name val="Arial"/>
      <family val="2"/>
    </font>
    <font>
      <b/>
      <sz val="24"/>
      <color rgb="FF007088"/>
      <name val="Arial"/>
      <family val="2"/>
    </font>
    <font>
      <b/>
      <sz val="13"/>
      <color rgb="FF007088"/>
      <name val="Arial"/>
      <family val="2"/>
    </font>
    <font>
      <b/>
      <sz val="11"/>
      <color rgb="FF007088"/>
      <name val="Arial"/>
      <family val="2"/>
    </font>
    <font>
      <b/>
      <sz val="9"/>
      <color indexed="81"/>
      <name val="Tahoma"/>
      <family val="2"/>
    </font>
    <font>
      <b/>
      <sz val="24"/>
      <color rgb="FF003883"/>
      <name val="Arial"/>
      <family val="2"/>
    </font>
    <font>
      <b/>
      <sz val="14"/>
      <color rgb="FF003883"/>
      <name val="Arial"/>
      <family val="2"/>
    </font>
    <font>
      <b/>
      <sz val="10"/>
      <color rgb="FF003883"/>
      <name val="Arial"/>
      <family val="2"/>
    </font>
    <font>
      <b/>
      <vertAlign val="superscript"/>
      <sz val="10"/>
      <color rgb="FF003883"/>
      <name val="Arial"/>
      <family val="2"/>
    </font>
    <font>
      <sz val="8"/>
      <name val="Arial"/>
      <family val="2"/>
    </font>
    <font>
      <sz val="8"/>
      <color theme="1"/>
      <name val="Arial"/>
      <family val="2"/>
    </font>
    <font>
      <sz val="9"/>
      <color theme="1"/>
      <name val="Arial"/>
      <family val="2"/>
    </font>
    <font>
      <i/>
      <sz val="9"/>
      <color theme="1"/>
      <name val="Arial"/>
      <family val="2"/>
    </font>
    <font>
      <b/>
      <sz val="9"/>
      <color theme="1"/>
      <name val="Arial"/>
      <family val="2"/>
    </font>
    <font>
      <sz val="9"/>
      <color theme="1"/>
      <name val="Calibri"/>
      <family val="2"/>
      <scheme val="minor"/>
    </font>
    <font>
      <b/>
      <sz val="9"/>
      <color rgb="FF003883"/>
      <name val="Arial"/>
      <family val="2"/>
    </font>
    <font>
      <sz val="12"/>
      <color rgb="FF969696"/>
      <name val="Calibri"/>
      <family val="2"/>
      <scheme val="minor"/>
    </font>
    <font>
      <sz val="11"/>
      <color theme="1"/>
      <name val="Calibri"/>
      <family val="2"/>
      <scheme val="minor"/>
    </font>
    <font>
      <b/>
      <sz val="11"/>
      <color theme="1"/>
      <name val="Arial"/>
      <family val="2"/>
    </font>
    <font>
      <b/>
      <sz val="10"/>
      <color theme="1"/>
      <name val="Arial"/>
      <family val="2"/>
    </font>
    <font>
      <sz val="10"/>
      <name val="Arial"/>
      <family val="2"/>
    </font>
    <font>
      <sz val="11"/>
      <color theme="0" tint="-0.249977111117893"/>
      <name val="Calibri"/>
      <family val="2"/>
      <scheme val="minor"/>
    </font>
    <font>
      <b/>
      <sz val="11"/>
      <color rgb="FF000000"/>
      <name val="Calibri"/>
      <family val="2"/>
      <scheme val="minor"/>
    </font>
    <font>
      <sz val="11"/>
      <color rgb="FF000000"/>
      <name val="Calibri"/>
      <family val="2"/>
      <scheme val="minor"/>
    </font>
    <font>
      <b/>
      <sz val="12"/>
      <name val="Calibri"/>
      <family val="2"/>
      <scheme val="minor"/>
    </font>
    <font>
      <u/>
      <sz val="11"/>
      <name val="Calibri"/>
      <family val="2"/>
      <scheme val="minor"/>
    </font>
    <font>
      <sz val="8"/>
      <name val="Calibri"/>
      <family val="2"/>
      <scheme val="minor"/>
    </font>
    <font>
      <b/>
      <sz val="11"/>
      <color theme="0"/>
      <name val="Calibri"/>
      <family val="2"/>
      <scheme val="minor"/>
    </font>
    <font>
      <sz val="11"/>
      <color theme="0" tint="-0.14999847407452621"/>
      <name val="Calibri"/>
      <family val="2"/>
      <scheme val="minor"/>
    </font>
  </fonts>
  <fills count="20">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E6EBF3"/>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C0FFC0"/>
        <bgColor indexed="64"/>
      </patternFill>
    </fill>
    <fill>
      <patternFill patternType="solid">
        <fgColor rgb="FFC0FFFF"/>
        <bgColor indexed="64"/>
      </patternFill>
    </fill>
    <fill>
      <patternFill patternType="solid">
        <fgColor rgb="FFC0C0FF"/>
        <bgColor indexed="64"/>
      </patternFill>
    </fill>
    <fill>
      <patternFill patternType="solid">
        <fgColor rgb="FFFFC0FF"/>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diagonal/>
    </border>
    <border>
      <left style="thin">
        <color rgb="FFFFFFFF"/>
      </left>
      <right style="thin">
        <color rgb="FFFFFFFF"/>
      </right>
      <top/>
      <bottom style="thin">
        <color rgb="FFFFFFFF"/>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s>
  <cellStyleXfs count="5">
    <xf numFmtId="0" fontId="0" fillId="0" borderId="0"/>
    <xf numFmtId="0" fontId="5" fillId="0" borderId="0"/>
    <xf numFmtId="0" fontId="8" fillId="0" borderId="0"/>
    <xf numFmtId="0" fontId="42" fillId="0" borderId="0"/>
    <xf numFmtId="0" fontId="45" fillId="0" borderId="0"/>
  </cellStyleXfs>
  <cellXfs count="539">
    <xf numFmtId="0" fontId="0" fillId="0" borderId="0" xfId="0"/>
    <xf numFmtId="0" fontId="0" fillId="5" borderId="0" xfId="0" applyFill="1"/>
    <xf numFmtId="0" fontId="0" fillId="0" borderId="1" xfId="0" applyBorder="1"/>
    <xf numFmtId="0" fontId="4" fillId="0" borderId="1" xfId="1" applyFont="1" applyFill="1" applyBorder="1" applyAlignment="1">
      <alignment horizontal="left" vertical="center" wrapText="1"/>
    </xf>
    <xf numFmtId="0" fontId="4" fillId="0" borderId="1" xfId="1" applyFont="1" applyFill="1" applyBorder="1" applyAlignment="1">
      <alignment horizontal="left" vertical="center"/>
    </xf>
    <xf numFmtId="0" fontId="0" fillId="0" borderId="1" xfId="0" applyFont="1" applyBorder="1" applyAlignment="1">
      <alignment horizontal="left" vertical="center"/>
    </xf>
    <xf numFmtId="49" fontId="4" fillId="0" borderId="1" xfId="1" applyNumberFormat="1" applyFont="1" applyFill="1" applyBorder="1" applyAlignment="1">
      <alignment horizontal="left" vertical="center"/>
    </xf>
    <xf numFmtId="0" fontId="0" fillId="0" borderId="1" xfId="0" applyFont="1" applyFill="1" applyBorder="1" applyAlignment="1">
      <alignment horizontal="left" vertical="center"/>
    </xf>
    <xf numFmtId="0" fontId="0" fillId="0" borderId="1" xfId="0" applyFont="1" applyBorder="1"/>
    <xf numFmtId="0" fontId="11" fillId="2" borderId="0" xfId="0" applyFont="1" applyFill="1" applyAlignment="1">
      <alignment horizontal="center"/>
    </xf>
    <xf numFmtId="0" fontId="11" fillId="2" borderId="1" xfId="0" applyFont="1" applyFill="1" applyBorder="1" applyAlignment="1">
      <alignment horizontal="center" vertical="center"/>
    </xf>
    <xf numFmtId="0" fontId="11" fillId="2" borderId="1" xfId="0" applyFont="1" applyFill="1" applyBorder="1" applyAlignment="1">
      <alignment horizontal="center"/>
    </xf>
    <xf numFmtId="0" fontId="11" fillId="5" borderId="0" xfId="0" applyFont="1" applyFill="1" applyAlignment="1">
      <alignment horizontal="center"/>
    </xf>
    <xf numFmtId="0" fontId="0" fillId="5" borderId="0" xfId="0" applyFont="1" applyFill="1"/>
    <xf numFmtId="0" fontId="0" fillId="5" borderId="0" xfId="0" applyFont="1" applyFill="1" applyAlignment="1">
      <alignment horizontal="left" vertical="center"/>
    </xf>
    <xf numFmtId="0" fontId="12" fillId="5" borderId="0" xfId="0" applyFont="1" applyFill="1"/>
    <xf numFmtId="0" fontId="13" fillId="5" borderId="0" xfId="0" applyFont="1" applyFill="1"/>
    <xf numFmtId="0" fontId="14" fillId="5" borderId="0" xfId="0" applyFont="1" applyFill="1"/>
    <xf numFmtId="0" fontId="5" fillId="5" borderId="0" xfId="1" applyFill="1" applyAlignment="1">
      <alignment horizontal="center" vertical="center"/>
    </xf>
    <xf numFmtId="0" fontId="15" fillId="5" borderId="0" xfId="1" applyFont="1" applyFill="1" applyBorder="1" applyAlignment="1">
      <alignment horizontal="center" vertical="center"/>
    </xf>
    <xf numFmtId="0" fontId="5" fillId="5" borderId="0" xfId="1" quotePrefix="1" applyFont="1" applyFill="1" applyBorder="1" applyAlignment="1">
      <alignment horizontal="center" vertical="center"/>
    </xf>
    <xf numFmtId="15" fontId="5" fillId="5" borderId="0" xfId="1" applyNumberFormat="1" applyFont="1" applyFill="1" applyBorder="1" applyAlignment="1">
      <alignment horizontal="center" vertical="center"/>
    </xf>
    <xf numFmtId="0" fontId="5" fillId="5" borderId="0" xfId="1" applyFont="1" applyFill="1" applyBorder="1" applyAlignment="1">
      <alignment horizontal="left" vertical="center" indent="1"/>
    </xf>
    <xf numFmtId="0" fontId="5" fillId="5" borderId="0" xfId="1" applyFill="1" applyBorder="1" applyAlignment="1">
      <alignment horizontal="center" vertical="center"/>
    </xf>
    <xf numFmtId="0" fontId="4" fillId="5" borderId="1" xfId="1" applyFont="1" applyFill="1" applyBorder="1" applyAlignment="1">
      <alignment horizontal="left" vertical="center" wrapText="1"/>
    </xf>
    <xf numFmtId="0" fontId="0" fillId="0" borderId="1" xfId="0" applyFill="1" applyBorder="1"/>
    <xf numFmtId="0" fontId="0" fillId="5" borderId="1" xfId="0" applyFill="1" applyBorder="1"/>
    <xf numFmtId="0" fontId="0" fillId="5" borderId="1" xfId="0" applyFill="1" applyBorder="1" applyAlignment="1">
      <alignment vertical="center"/>
    </xf>
    <xf numFmtId="0" fontId="0" fillId="0" borderId="1" xfId="0" applyBorder="1" applyAlignment="1">
      <alignment vertical="center"/>
    </xf>
    <xf numFmtId="0" fontId="0" fillId="0" borderId="1" xfId="0" applyFont="1" applyBorder="1" applyAlignment="1">
      <alignment wrapText="1"/>
    </xf>
    <xf numFmtId="0" fontId="4" fillId="0" borderId="1" xfId="1" quotePrefix="1" applyFont="1" applyFill="1" applyBorder="1" applyAlignment="1">
      <alignment horizontal="left" vertical="center" wrapText="1"/>
    </xf>
    <xf numFmtId="0" fontId="2" fillId="5" borderId="0" xfId="0" applyFont="1" applyFill="1" applyProtection="1">
      <protection locked="0"/>
    </xf>
    <xf numFmtId="0" fontId="4" fillId="0" borderId="1" xfId="0" applyFont="1" applyBorder="1" applyAlignment="1">
      <alignment horizontal="left" vertical="center"/>
    </xf>
    <xf numFmtId="0" fontId="0" fillId="5" borderId="0" xfId="0" applyFill="1" applyAlignment="1">
      <alignment horizontal="center" vertical="center"/>
    </xf>
    <xf numFmtId="0" fontId="0" fillId="5" borderId="0" xfId="0" applyFill="1" applyAlignment="1">
      <alignment vertical="center"/>
    </xf>
    <xf numFmtId="0" fontId="0" fillId="0" borderId="0"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5" borderId="0" xfId="0" applyFill="1" applyBorder="1" applyAlignment="1">
      <alignment vertical="center"/>
    </xf>
    <xf numFmtId="0" fontId="0" fillId="0" borderId="17" xfId="0" applyBorder="1" applyAlignment="1">
      <alignment vertical="center"/>
    </xf>
    <xf numFmtId="0" fontId="0" fillId="0" borderId="20" xfId="0" applyBorder="1" applyAlignment="1">
      <alignment vertical="center"/>
    </xf>
    <xf numFmtId="0" fontId="0" fillId="0" borderId="25" xfId="0" applyBorder="1" applyAlignment="1">
      <alignment vertical="center"/>
    </xf>
    <xf numFmtId="0" fontId="7" fillId="5" borderId="0" xfId="0" applyFont="1" applyFill="1" applyAlignment="1">
      <alignment vertical="center"/>
    </xf>
    <xf numFmtId="0" fontId="2" fillId="2" borderId="11" xfId="0" applyFont="1" applyFill="1" applyBorder="1" applyProtection="1"/>
    <xf numFmtId="0" fontId="2" fillId="5" borderId="0" xfId="0" applyFont="1" applyFill="1" applyProtection="1"/>
    <xf numFmtId="0" fontId="2" fillId="2" borderId="12" xfId="0" applyFont="1" applyFill="1" applyBorder="1" applyProtection="1"/>
    <xf numFmtId="0" fontId="2" fillId="7" borderId="1" xfId="0" applyFont="1" applyFill="1" applyBorder="1" applyAlignment="1" applyProtection="1">
      <alignment horizontal="center"/>
    </xf>
    <xf numFmtId="0" fontId="2" fillId="0" borderId="1" xfId="0" applyFont="1" applyBorder="1" applyAlignment="1" applyProtection="1">
      <alignment horizontal="center"/>
    </xf>
    <xf numFmtId="0" fontId="2" fillId="0" borderId="1" xfId="0" applyNumberFormat="1" applyFont="1" applyBorder="1" applyAlignment="1" applyProtection="1">
      <alignment horizontal="center"/>
    </xf>
    <xf numFmtId="0" fontId="2" fillId="2" borderId="6" xfId="0" applyFont="1" applyFill="1" applyBorder="1" applyProtection="1"/>
    <xf numFmtId="0" fontId="16" fillId="5" borderId="0" xfId="0" applyFont="1" applyFill="1" applyAlignment="1" applyProtection="1">
      <alignment horizontal="right"/>
    </xf>
    <xf numFmtId="0" fontId="2" fillId="5" borderId="2" xfId="0" applyFont="1" applyFill="1" applyBorder="1" applyProtection="1"/>
    <xf numFmtId="0" fontId="2" fillId="0" borderId="1" xfId="0" applyFont="1" applyFill="1" applyBorder="1" applyAlignment="1" applyProtection="1">
      <alignment horizontal="center"/>
    </xf>
    <xf numFmtId="0" fontId="2" fillId="6" borderId="1" xfId="0" applyFont="1" applyFill="1" applyBorder="1" applyAlignment="1" applyProtection="1">
      <alignment horizontal="center"/>
    </xf>
    <xf numFmtId="0" fontId="2" fillId="5" borderId="0" xfId="0" applyFont="1" applyFill="1" applyAlignment="1" applyProtection="1">
      <alignment horizontal="center"/>
    </xf>
    <xf numFmtId="0" fontId="4" fillId="5" borderId="1" xfId="0" applyFont="1" applyFill="1" applyBorder="1"/>
    <xf numFmtId="0" fontId="0" fillId="5" borderId="0" xfId="0" applyFill="1" applyBorder="1" applyAlignment="1" applyProtection="1">
      <alignment horizontal="left" vertical="center"/>
      <protection locked="0"/>
    </xf>
    <xf numFmtId="0" fontId="0" fillId="5" borderId="0" xfId="0" applyFill="1" applyAlignment="1" applyProtection="1">
      <alignment horizontal="center"/>
      <protection locked="0"/>
    </xf>
    <xf numFmtId="0" fontId="0" fillId="5" borderId="0" xfId="0" applyFill="1" applyBorder="1" applyAlignment="1" applyProtection="1">
      <alignment horizontal="left"/>
      <protection locked="0"/>
    </xf>
    <xf numFmtId="0" fontId="0" fillId="5" borderId="0" xfId="0" applyFill="1" applyProtection="1">
      <protection locked="0"/>
    </xf>
    <xf numFmtId="0" fontId="0" fillId="5" borderId="0" xfId="0" applyFill="1" applyAlignment="1" applyProtection="1">
      <alignment horizontal="center" vertical="center"/>
      <protection locked="0"/>
    </xf>
    <xf numFmtId="0" fontId="7" fillId="2" borderId="1" xfId="0" applyFont="1" applyFill="1" applyBorder="1" applyAlignment="1" applyProtection="1">
      <alignment horizontal="center"/>
      <protection locked="0"/>
    </xf>
    <xf numFmtId="0" fontId="7" fillId="2" borderId="1" xfId="0" applyNumberFormat="1" applyFont="1" applyFill="1" applyBorder="1" applyAlignment="1" applyProtection="1">
      <alignment horizontal="center"/>
      <protection locked="0"/>
    </xf>
    <xf numFmtId="0" fontId="7" fillId="2" borderId="1" xfId="0" applyFont="1" applyFill="1" applyBorder="1" applyAlignment="1" applyProtection="1">
      <alignment horizontal="center" wrapText="1"/>
      <protection locked="0"/>
    </xf>
    <xf numFmtId="0" fontId="7" fillId="2" borderId="1" xfId="0" applyFont="1" applyFill="1" applyBorder="1" applyAlignment="1" applyProtection="1">
      <alignment horizontal="center" vertical="center" wrapText="1"/>
      <protection locked="0"/>
    </xf>
    <xf numFmtId="0" fontId="19" fillId="5" borderId="0" xfId="0" applyFont="1" applyFill="1" applyAlignment="1" applyProtection="1">
      <alignment vertical="center" wrapText="1"/>
      <protection locked="0"/>
    </xf>
    <xf numFmtId="0" fontId="8" fillId="0" borderId="1" xfId="0" applyFont="1" applyBorder="1" applyAlignment="1" applyProtection="1">
      <alignment horizontal="center"/>
      <protection locked="0"/>
    </xf>
    <xf numFmtId="0" fontId="8" fillId="0" borderId="1" xfId="0" applyNumberFormat="1" applyFont="1" applyBorder="1" applyAlignment="1" applyProtection="1">
      <alignment horizontal="center"/>
      <protection locked="0"/>
    </xf>
    <xf numFmtId="49" fontId="8" fillId="0" borderId="1" xfId="0" applyNumberFormat="1" applyFont="1" applyBorder="1" applyAlignment="1" applyProtection="1">
      <alignment horizontal="center"/>
      <protection locked="0"/>
    </xf>
    <xf numFmtId="0" fontId="8" fillId="4" borderId="1" xfId="0" applyFont="1" applyFill="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3" borderId="1" xfId="0" applyFont="1" applyFill="1" applyBorder="1" applyAlignment="1" applyProtection="1">
      <alignment horizontal="center" vertical="center"/>
      <protection locked="0"/>
    </xf>
    <xf numFmtId="0" fontId="7" fillId="3" borderId="1" xfId="0" applyNumberFormat="1"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9" fillId="3" borderId="1" xfId="0" applyFont="1" applyFill="1" applyBorder="1" applyAlignment="1" applyProtection="1">
      <alignment horizontal="center" vertical="center"/>
      <protection locked="0"/>
    </xf>
    <xf numFmtId="0" fontId="8" fillId="0" borderId="1" xfId="0" applyFont="1" applyFill="1" applyBorder="1" applyAlignment="1" applyProtection="1">
      <alignment horizontal="center"/>
      <protection locked="0"/>
    </xf>
    <xf numFmtId="0" fontId="7" fillId="3" borderId="1" xfId="0" quotePrefix="1" applyFont="1" applyFill="1" applyBorder="1" applyAlignment="1" applyProtection="1">
      <alignment horizontal="center" vertical="center"/>
      <protection locked="0"/>
    </xf>
    <xf numFmtId="0" fontId="0" fillId="5" borderId="0" xfId="0" applyNumberFormat="1" applyFill="1" applyProtection="1">
      <protection locked="0"/>
    </xf>
    <xf numFmtId="0" fontId="9" fillId="3" borderId="1" xfId="0" applyFont="1" applyFill="1" applyBorder="1" applyAlignment="1" applyProtection="1">
      <alignment horizontal="center" wrapText="1"/>
      <protection locked="0"/>
    </xf>
    <xf numFmtId="0" fontId="8" fillId="4" borderId="1" xfId="0" applyFont="1" applyFill="1" applyBorder="1" applyAlignment="1" applyProtection="1">
      <alignment horizontal="center" wrapText="1"/>
      <protection locked="0"/>
    </xf>
    <xf numFmtId="0" fontId="9" fillId="4" borderId="1" xfId="0" applyFont="1" applyFill="1" applyBorder="1" applyAlignment="1" applyProtection="1">
      <alignment horizontal="center" wrapText="1"/>
      <protection locked="0"/>
    </xf>
    <xf numFmtId="0" fontId="18" fillId="3" borderId="1" xfId="0" applyFont="1" applyFill="1" applyBorder="1" applyAlignment="1" applyProtection="1">
      <alignment horizontal="center" wrapText="1"/>
    </xf>
    <xf numFmtId="0" fontId="7" fillId="5" borderId="0" xfId="0" applyFont="1" applyFill="1" applyAlignment="1" applyProtection="1">
      <alignment horizontal="center" vertical="center"/>
      <protection locked="0"/>
    </xf>
    <xf numFmtId="0" fontId="8" fillId="5" borderId="0" xfId="0" applyFont="1" applyFill="1" applyAlignment="1" applyProtection="1">
      <alignment horizontal="center" vertical="center"/>
      <protection locked="0"/>
    </xf>
    <xf numFmtId="0" fontId="1" fillId="5" borderId="0" xfId="0" applyFont="1" applyFill="1" applyAlignment="1" applyProtection="1">
      <alignment vertical="center"/>
      <protection locked="0"/>
    </xf>
    <xf numFmtId="0" fontId="7" fillId="2" borderId="1" xfId="0" applyFont="1" applyFill="1" applyBorder="1" applyAlignment="1" applyProtection="1">
      <alignment horizontal="center" vertical="center"/>
      <protection locked="0"/>
    </xf>
    <xf numFmtId="0" fontId="7" fillId="2" borderId="1" xfId="0" applyNumberFormat="1" applyFont="1" applyFill="1" applyBorder="1" applyAlignment="1" applyProtection="1">
      <alignment horizontal="center" vertical="center"/>
      <protection locked="0"/>
    </xf>
    <xf numFmtId="0" fontId="0" fillId="5" borderId="0" xfId="0" applyFill="1" applyAlignment="1" applyProtection="1">
      <alignment vertical="center"/>
      <protection locked="0"/>
    </xf>
    <xf numFmtId="0" fontId="8" fillId="0" borderId="1" xfId="0" applyFont="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8" fillId="0" borderId="1" xfId="0" applyFont="1" applyFill="1" applyBorder="1" applyAlignment="1" applyProtection="1">
      <alignment horizontal="center" vertical="center"/>
      <protection locked="0"/>
    </xf>
    <xf numFmtId="0" fontId="18" fillId="3" borderId="1" xfId="0" applyFont="1" applyFill="1" applyBorder="1" applyAlignment="1" applyProtection="1">
      <alignment horizontal="center" vertical="center"/>
    </xf>
    <xf numFmtId="0" fontId="8" fillId="3" borderId="1" xfId="0" applyFont="1" applyFill="1" applyBorder="1" applyAlignment="1" applyProtection="1">
      <alignment horizontal="center" wrapText="1"/>
      <protection locked="0"/>
    </xf>
    <xf numFmtId="0" fontId="22" fillId="3" borderId="1" xfId="0" applyFont="1" applyFill="1" applyBorder="1" applyAlignment="1" applyProtection="1">
      <alignment horizontal="center" vertical="center"/>
      <protection locked="0"/>
    </xf>
    <xf numFmtId="0" fontId="23" fillId="5" borderId="0" xfId="0" applyFont="1" applyFill="1" applyAlignment="1">
      <alignment horizontal="center" vertical="center"/>
    </xf>
    <xf numFmtId="0" fontId="2" fillId="5" borderId="0" xfId="0" applyFont="1" applyFill="1" applyBorder="1" applyProtection="1"/>
    <xf numFmtId="0" fontId="5" fillId="5" borderId="0" xfId="1" applyFill="1" applyAlignment="1">
      <alignment horizontal="left" vertical="center"/>
    </xf>
    <xf numFmtId="0" fontId="9" fillId="3" borderId="1" xfId="0" applyFont="1" applyFill="1" applyBorder="1" applyAlignment="1" applyProtection="1">
      <alignment horizontal="center" wrapText="1"/>
      <protection locked="0"/>
    </xf>
    <xf numFmtId="0" fontId="0" fillId="5" borderId="1" xfId="0" applyFont="1" applyFill="1" applyBorder="1"/>
    <xf numFmtId="0" fontId="15" fillId="5" borderId="0" xfId="1" quotePrefix="1" applyFont="1" applyFill="1" applyAlignment="1">
      <alignment horizontal="center" vertical="center"/>
    </xf>
    <xf numFmtId="0" fontId="18" fillId="3" borderId="1" xfId="0" applyFont="1" applyFill="1" applyBorder="1" applyAlignment="1" applyProtection="1">
      <alignment horizontal="center" vertical="center"/>
      <protection locked="0"/>
    </xf>
    <xf numFmtId="0" fontId="8" fillId="4" borderId="1" xfId="0" applyFont="1" applyFill="1" applyBorder="1" applyAlignment="1" applyProtection="1">
      <alignment horizontal="center" wrapText="1"/>
    </xf>
    <xf numFmtId="0" fontId="8" fillId="0" borderId="1" xfId="0" applyFont="1" applyBorder="1" applyAlignment="1" applyProtection="1">
      <alignment horizontal="center"/>
    </xf>
    <xf numFmtId="0" fontId="8" fillId="0" borderId="1" xfId="0" applyNumberFormat="1" applyFont="1" applyBorder="1" applyAlignment="1" applyProtection="1">
      <alignment horizontal="center"/>
    </xf>
    <xf numFmtId="49" fontId="8" fillId="0" borderId="1" xfId="0" applyNumberFormat="1" applyFont="1" applyBorder="1" applyAlignment="1" applyProtection="1">
      <alignment horizontal="center"/>
    </xf>
    <xf numFmtId="0" fontId="9" fillId="4" borderId="1" xfId="0" applyFont="1" applyFill="1" applyBorder="1" applyAlignment="1" applyProtection="1">
      <alignment horizontal="center" wrapText="1"/>
    </xf>
    <xf numFmtId="0" fontId="7" fillId="0" borderId="1" xfId="0" applyFont="1" applyBorder="1" applyAlignment="1" applyProtection="1">
      <alignment horizontal="center" vertical="center"/>
    </xf>
    <xf numFmtId="0" fontId="0" fillId="5" borderId="0" xfId="0" applyFill="1" applyProtection="1"/>
    <xf numFmtId="0" fontId="8" fillId="4" borderId="1" xfId="0" applyFont="1" applyFill="1" applyBorder="1" applyAlignment="1" applyProtection="1">
      <alignment horizontal="center" vertical="center"/>
    </xf>
    <xf numFmtId="0" fontId="8" fillId="0" borderId="1" xfId="0" applyFont="1" applyFill="1" applyBorder="1" applyAlignment="1" applyProtection="1">
      <alignment horizontal="center"/>
    </xf>
    <xf numFmtId="0" fontId="0" fillId="0" borderId="1" xfId="0" quotePrefix="1" applyFont="1" applyBorder="1"/>
    <xf numFmtId="0" fontId="2" fillId="5" borderId="0" xfId="0" applyFont="1" applyFill="1"/>
    <xf numFmtId="0" fontId="0" fillId="5" borderId="0" xfId="0" applyFill="1" applyBorder="1"/>
    <xf numFmtId="0" fontId="25" fillId="5" borderId="0" xfId="0" applyFont="1" applyFill="1" applyBorder="1"/>
    <xf numFmtId="0" fontId="25" fillId="5" borderId="0" xfId="0" applyFont="1" applyFill="1" applyBorder="1" applyAlignment="1">
      <alignment horizontal="left"/>
    </xf>
    <xf numFmtId="0" fontId="28" fillId="5" borderId="0" xfId="0" applyFont="1" applyFill="1" applyAlignment="1">
      <alignment horizontal="left" vertical="center" indent="15"/>
    </xf>
    <xf numFmtId="0" fontId="25" fillId="5" borderId="0" xfId="0" applyFont="1" applyFill="1" applyBorder="1" applyAlignment="1">
      <alignment vertical="top" wrapText="1"/>
    </xf>
    <xf numFmtId="0" fontId="25" fillId="5" borderId="0" xfId="0" applyFont="1" applyFill="1" applyBorder="1" applyAlignment="1">
      <alignment wrapText="1"/>
    </xf>
    <xf numFmtId="0" fontId="24" fillId="5" borderId="0" xfId="0" applyFont="1" applyFill="1" applyAlignment="1">
      <alignment horizontal="left" vertical="center"/>
    </xf>
    <xf numFmtId="0" fontId="24" fillId="5" borderId="0" xfId="0" applyFont="1" applyFill="1" applyAlignment="1">
      <alignment vertical="center"/>
    </xf>
    <xf numFmtId="0" fontId="24" fillId="5" borderId="0" xfId="0" applyFont="1" applyFill="1" applyBorder="1" applyAlignment="1">
      <alignment vertical="center"/>
    </xf>
    <xf numFmtId="0" fontId="24" fillId="5" borderId="0" xfId="0" applyFont="1" applyFill="1" applyBorder="1" applyAlignment="1">
      <alignment horizontal="center" vertical="center"/>
    </xf>
    <xf numFmtId="0" fontId="0" fillId="5" borderId="0" xfId="0" applyFill="1" applyAlignment="1">
      <alignment horizontal="right" vertical="center"/>
    </xf>
    <xf numFmtId="14" fontId="0" fillId="5" borderId="0" xfId="0" applyNumberFormat="1" applyFill="1" applyAlignment="1">
      <alignment vertical="center"/>
    </xf>
    <xf numFmtId="0" fontId="26" fillId="5" borderId="0" xfId="0" applyFont="1" applyFill="1" applyAlignment="1">
      <alignment vertical="center"/>
    </xf>
    <xf numFmtId="0" fontId="27" fillId="5" borderId="0" xfId="0" applyFont="1" applyFill="1" applyAlignment="1">
      <alignment vertical="center"/>
    </xf>
    <xf numFmtId="0" fontId="5" fillId="5" borderId="1" xfId="1" applyFont="1" applyFill="1" applyBorder="1" applyAlignment="1">
      <alignment horizontal="center" vertical="center"/>
    </xf>
    <xf numFmtId="0" fontId="0" fillId="5" borderId="0" xfId="0" applyFill="1" applyBorder="1" applyAlignment="1">
      <alignment horizontal="center" vertical="center"/>
    </xf>
    <xf numFmtId="0" fontId="24" fillId="5" borderId="0" xfId="0" applyFont="1" applyFill="1" applyBorder="1" applyAlignment="1">
      <alignment horizontal="left" wrapText="1"/>
    </xf>
    <xf numFmtId="0" fontId="0" fillId="5" borderId="0" xfId="0" applyFill="1" applyAlignment="1">
      <alignment horizontal="center" vertical="center"/>
    </xf>
    <xf numFmtId="0" fontId="30" fillId="5" borderId="0" xfId="0" applyFont="1" applyFill="1" applyAlignment="1">
      <alignment vertical="center"/>
    </xf>
    <xf numFmtId="0" fontId="31" fillId="5" borderId="0" xfId="0" applyFont="1" applyFill="1" applyAlignment="1">
      <alignment vertical="center"/>
    </xf>
    <xf numFmtId="0" fontId="32" fillId="5" borderId="0" xfId="0" applyFont="1" applyFill="1" applyAlignment="1">
      <alignment horizontal="left" vertical="center" indent="15"/>
    </xf>
    <xf numFmtId="164" fontId="32" fillId="5" borderId="0" xfId="0" applyNumberFormat="1" applyFont="1" applyFill="1" applyAlignment="1">
      <alignment horizontal="left" vertical="center"/>
    </xf>
    <xf numFmtId="0" fontId="31" fillId="5" borderId="0" xfId="0" applyFont="1" applyFill="1" applyBorder="1"/>
    <xf numFmtId="0" fontId="32" fillId="5" borderId="0" xfId="0" applyFont="1" applyFill="1" applyAlignment="1">
      <alignment horizontal="left" vertical="center"/>
    </xf>
    <xf numFmtId="0" fontId="35" fillId="0" borderId="0" xfId="0" applyFont="1" applyProtection="1"/>
    <xf numFmtId="0" fontId="25" fillId="0" borderId="0" xfId="0" applyFont="1" applyProtection="1"/>
    <xf numFmtId="165" fontId="0" fillId="5" borderId="0" xfId="0" applyNumberFormat="1" applyFill="1" applyAlignment="1">
      <alignment horizontal="left" vertical="center"/>
    </xf>
    <xf numFmtId="0" fontId="32" fillId="0" borderId="0" xfId="0" applyFont="1" applyProtection="1"/>
    <xf numFmtId="0" fontId="0" fillId="5" borderId="0" xfId="0" applyFill="1" applyAlignment="1">
      <alignment horizontal="center" vertical="center"/>
    </xf>
    <xf numFmtId="0" fontId="0" fillId="5" borderId="0" xfId="0" applyFill="1" applyAlignment="1">
      <alignment horizontal="center" vertical="center"/>
    </xf>
    <xf numFmtId="0" fontId="36" fillId="5" borderId="0" xfId="0" applyFont="1" applyFill="1" applyBorder="1" applyAlignment="1">
      <alignment horizontal="left"/>
    </xf>
    <xf numFmtId="0" fontId="37" fillId="5" borderId="0" xfId="0" applyFont="1" applyFill="1" applyBorder="1" applyAlignment="1">
      <alignment horizontal="left"/>
    </xf>
    <xf numFmtId="0" fontId="39" fillId="5" borderId="0" xfId="0" applyFont="1" applyFill="1"/>
    <xf numFmtId="0" fontId="24" fillId="5" borderId="0" xfId="0" applyFont="1" applyFill="1" applyBorder="1" applyAlignment="1">
      <alignment horizontal="left" wrapText="1"/>
    </xf>
    <xf numFmtId="0" fontId="0" fillId="5" borderId="0" xfId="0" applyFill="1" applyAlignment="1">
      <alignment horizontal="center" vertical="center"/>
    </xf>
    <xf numFmtId="0" fontId="0" fillId="5" borderId="0" xfId="0" applyFont="1" applyFill="1" applyBorder="1" applyAlignment="1">
      <alignment horizontal="center" vertical="center"/>
    </xf>
    <xf numFmtId="0" fontId="0" fillId="5" borderId="0" xfId="0" applyFont="1" applyFill="1" applyBorder="1" applyAlignment="1">
      <alignment vertical="center"/>
    </xf>
    <xf numFmtId="0" fontId="7" fillId="5" borderId="0" xfId="0" applyFont="1" applyFill="1" applyBorder="1" applyAlignment="1">
      <alignment vertical="center"/>
    </xf>
    <xf numFmtId="0" fontId="0" fillId="5" borderId="0" xfId="0" applyFont="1" applyFill="1" applyBorder="1"/>
    <xf numFmtId="0" fontId="38" fillId="5" borderId="0" xfId="0" applyFont="1" applyFill="1" applyBorder="1" applyAlignment="1">
      <alignment horizontal="center" vertical="center"/>
    </xf>
    <xf numFmtId="0" fontId="36" fillId="5" borderId="0" xfId="0" applyFont="1" applyFill="1" applyBorder="1" applyAlignment="1">
      <alignment horizontal="center" vertical="center"/>
    </xf>
    <xf numFmtId="0" fontId="0" fillId="5" borderId="0" xfId="0" applyFill="1" applyAlignment="1">
      <alignment horizontal="center" vertical="center"/>
    </xf>
    <xf numFmtId="0" fontId="32" fillId="5" borderId="0" xfId="0" applyFont="1" applyFill="1" applyProtection="1"/>
    <xf numFmtId="0" fontId="24" fillId="5" borderId="0" xfId="0" applyFont="1" applyFill="1" applyBorder="1" applyAlignment="1">
      <alignment horizontal="left" wrapText="1"/>
    </xf>
    <xf numFmtId="0" fontId="0" fillId="0" borderId="1" xfId="0" quotePrefix="1" applyBorder="1"/>
    <xf numFmtId="0" fontId="35" fillId="5" borderId="0" xfId="0" applyFont="1" applyFill="1" applyProtection="1"/>
    <xf numFmtId="0" fontId="25" fillId="5" borderId="0" xfId="0" applyFont="1" applyFill="1" applyProtection="1"/>
    <xf numFmtId="0" fontId="0" fillId="5" borderId="1" xfId="0" applyFill="1" applyBorder="1" applyAlignment="1">
      <alignment vertical="center" wrapText="1"/>
    </xf>
    <xf numFmtId="0" fontId="0" fillId="0" borderId="1" xfId="0" applyFont="1" applyFill="1" applyBorder="1"/>
    <xf numFmtId="0" fontId="15" fillId="2" borderId="1" xfId="1" applyFont="1" applyFill="1" applyBorder="1" applyAlignment="1">
      <alignment horizontal="center" vertical="center"/>
    </xf>
    <xf numFmtId="0" fontId="0" fillId="5" borderId="0" xfId="0" applyFont="1" applyFill="1"/>
    <xf numFmtId="0" fontId="5" fillId="5" borderId="1" xfId="1" quotePrefix="1" applyFont="1" applyFill="1" applyBorder="1" applyAlignment="1">
      <alignment horizontal="center" vertical="center"/>
    </xf>
    <xf numFmtId="0" fontId="5" fillId="5" borderId="1" xfId="1" quotePrefix="1" applyFont="1" applyFill="1" applyBorder="1" applyAlignment="1">
      <alignment horizontal="left" vertical="center" wrapText="1"/>
    </xf>
    <xf numFmtId="0" fontId="25" fillId="5" borderId="0" xfId="3" applyFont="1" applyFill="1" applyAlignment="1" applyProtection="1">
      <alignment vertical="center"/>
    </xf>
    <xf numFmtId="0" fontId="25" fillId="5" borderId="0" xfId="3" applyFont="1" applyFill="1" applyAlignment="1" applyProtection="1">
      <alignment horizontal="center" vertical="center"/>
    </xf>
    <xf numFmtId="0" fontId="25" fillId="5" borderId="0" xfId="3" applyFont="1" applyFill="1" applyBorder="1" applyAlignment="1" applyProtection="1">
      <alignment vertical="center"/>
    </xf>
    <xf numFmtId="0" fontId="25" fillId="5" borderId="0" xfId="3" applyFont="1" applyFill="1" applyBorder="1" applyAlignment="1" applyProtection="1">
      <alignment horizontal="center" vertical="center"/>
    </xf>
    <xf numFmtId="0" fontId="42" fillId="5" borderId="0" xfId="3" applyFill="1" applyAlignment="1" applyProtection="1">
      <alignment vertical="center"/>
    </xf>
    <xf numFmtId="0" fontId="42" fillId="2" borderId="0" xfId="3" applyFill="1" applyAlignment="1" applyProtection="1">
      <alignment vertical="center"/>
    </xf>
    <xf numFmtId="0" fontId="25" fillId="5" borderId="1" xfId="3" applyFont="1" applyFill="1" applyBorder="1" applyAlignment="1" applyProtection="1">
      <alignment vertical="center"/>
    </xf>
    <xf numFmtId="0" fontId="25" fillId="5" borderId="1" xfId="3" applyFont="1" applyFill="1" applyBorder="1" applyAlignment="1" applyProtection="1">
      <alignment horizontal="center" vertical="center"/>
    </xf>
    <xf numFmtId="0" fontId="44" fillId="5" borderId="0" xfId="3" applyFont="1" applyFill="1" applyAlignment="1" applyProtection="1">
      <alignment vertical="center"/>
    </xf>
    <xf numFmtId="0" fontId="44" fillId="5" borderId="1" xfId="3" applyFont="1" applyFill="1" applyBorder="1" applyAlignment="1" applyProtection="1">
      <alignment vertical="center"/>
    </xf>
    <xf numFmtId="0" fontId="44" fillId="5" borderId="1" xfId="3" applyFont="1" applyFill="1" applyBorder="1" applyAlignment="1" applyProtection="1">
      <alignment horizontal="center" vertical="center"/>
    </xf>
    <xf numFmtId="0" fontId="44" fillId="5" borderId="0" xfId="3" applyFont="1" applyFill="1" applyBorder="1" applyAlignment="1" applyProtection="1">
      <alignment vertical="center"/>
    </xf>
    <xf numFmtId="0" fontId="44" fillId="5" borderId="0" xfId="3" applyFont="1" applyFill="1" applyBorder="1" applyAlignment="1" applyProtection="1">
      <alignment horizontal="center" vertical="center"/>
    </xf>
    <xf numFmtId="0" fontId="2" fillId="2" borderId="0" xfId="3" applyFont="1" applyFill="1" applyAlignment="1" applyProtection="1">
      <alignment vertical="center"/>
    </xf>
    <xf numFmtId="0" fontId="2" fillId="5" borderId="0" xfId="3" applyFont="1" applyFill="1" applyAlignment="1" applyProtection="1">
      <alignment vertical="center"/>
    </xf>
    <xf numFmtId="2" fontId="25" fillId="13" borderId="1" xfId="3" applyNumberFormat="1" applyFont="1" applyFill="1" applyBorder="1" applyAlignment="1" applyProtection="1">
      <alignment horizontal="center" vertical="center"/>
    </xf>
    <xf numFmtId="2" fontId="25" fillId="5" borderId="0" xfId="3" applyNumberFormat="1" applyFont="1" applyFill="1" applyBorder="1" applyAlignment="1" applyProtection="1">
      <alignment horizontal="center" vertical="center"/>
    </xf>
    <xf numFmtId="0" fontId="44" fillId="0" borderId="1" xfId="3" applyFont="1" applyFill="1" applyBorder="1" applyAlignment="1" applyProtection="1">
      <alignment vertical="center"/>
    </xf>
    <xf numFmtId="2" fontId="44" fillId="5" borderId="0" xfId="3" applyNumberFormat="1" applyFont="1" applyFill="1" applyBorder="1" applyAlignment="1" applyProtection="1">
      <alignment horizontal="center" vertical="center"/>
    </xf>
    <xf numFmtId="0" fontId="25" fillId="0" borderId="1" xfId="3" applyFont="1" applyBorder="1" applyAlignment="1" applyProtection="1">
      <alignment vertical="center"/>
    </xf>
    <xf numFmtId="0" fontId="25" fillId="3" borderId="1" xfId="3" applyFont="1" applyFill="1" applyBorder="1" applyAlignment="1" applyProtection="1">
      <alignment horizontal="center" vertical="center"/>
      <protection locked="0"/>
    </xf>
    <xf numFmtId="0" fontId="25" fillId="0" borderId="1" xfId="3" applyFont="1" applyBorder="1" applyAlignment="1" applyProtection="1">
      <alignment horizontal="center" vertical="center"/>
    </xf>
    <xf numFmtId="0" fontId="5" fillId="0" borderId="1" xfId="4" applyFont="1" applyBorder="1" applyAlignment="1" applyProtection="1">
      <alignment vertical="center"/>
    </xf>
    <xf numFmtId="0" fontId="5" fillId="3" borderId="1" xfId="4" applyFont="1" applyFill="1" applyBorder="1" applyAlignment="1" applyProtection="1">
      <alignment horizontal="center" vertical="center"/>
      <protection locked="0"/>
    </xf>
    <xf numFmtId="0" fontId="5" fillId="0" borderId="1" xfId="4" applyFont="1" applyBorder="1" applyAlignment="1" applyProtection="1">
      <alignment horizontal="center" vertical="center"/>
    </xf>
    <xf numFmtId="2" fontId="25" fillId="0" borderId="1" xfId="3" applyNumberFormat="1" applyFont="1" applyBorder="1" applyAlignment="1" applyProtection="1">
      <alignment horizontal="center" vertical="center"/>
    </xf>
    <xf numFmtId="2" fontId="5" fillId="0" borderId="1" xfId="4" applyNumberFormat="1" applyFont="1" applyBorder="1" applyAlignment="1" applyProtection="1">
      <alignment horizontal="center" vertical="center"/>
    </xf>
    <xf numFmtId="0" fontId="5" fillId="5" borderId="1" xfId="4" applyFont="1" applyFill="1" applyBorder="1" applyAlignment="1" applyProtection="1">
      <alignment horizontal="center" vertical="center"/>
    </xf>
    <xf numFmtId="0" fontId="5" fillId="0" borderId="1" xfId="4" applyFont="1" applyFill="1" applyBorder="1" applyAlignment="1" applyProtection="1">
      <alignment horizontal="center" vertical="center"/>
    </xf>
    <xf numFmtId="0" fontId="44" fillId="0" borderId="1" xfId="3" applyFont="1" applyBorder="1" applyAlignment="1" applyProtection="1">
      <alignment vertical="center" wrapText="1"/>
    </xf>
    <xf numFmtId="0" fontId="44" fillId="0" borderId="1" xfId="3" applyFont="1" applyBorder="1" applyAlignment="1" applyProtection="1">
      <alignment horizontal="center" vertical="center"/>
    </xf>
    <xf numFmtId="0" fontId="44" fillId="0" borderId="1" xfId="4" applyFont="1" applyFill="1" applyBorder="1" applyAlignment="1" applyProtection="1">
      <alignment vertical="center" wrapText="1"/>
    </xf>
    <xf numFmtId="0" fontId="44" fillId="0" borderId="1" xfId="4" applyFont="1" applyBorder="1" applyAlignment="1" applyProtection="1">
      <alignment horizontal="center" vertical="center"/>
    </xf>
    <xf numFmtId="0" fontId="25" fillId="0" borderId="0" xfId="3" applyFont="1" applyFill="1" applyAlignment="1" applyProtection="1">
      <alignment vertical="center"/>
    </xf>
    <xf numFmtId="0" fontId="25" fillId="0" borderId="1" xfId="3" applyFont="1" applyFill="1" applyBorder="1" applyAlignment="1" applyProtection="1">
      <alignment vertical="center"/>
    </xf>
    <xf numFmtId="0" fontId="25" fillId="0" borderId="1" xfId="3" applyFont="1" applyFill="1" applyBorder="1" applyAlignment="1" applyProtection="1">
      <alignment horizontal="center" vertical="center"/>
    </xf>
    <xf numFmtId="0" fontId="5" fillId="0" borderId="1" xfId="4" applyFont="1" applyFill="1" applyBorder="1" applyAlignment="1" applyProtection="1">
      <alignment vertical="center"/>
    </xf>
    <xf numFmtId="0" fontId="42" fillId="2" borderId="0" xfId="3" applyFont="1" applyFill="1" applyAlignment="1" applyProtection="1">
      <alignment vertical="center"/>
    </xf>
    <xf numFmtId="0" fontId="42" fillId="5" borderId="0" xfId="3" applyFont="1" applyFill="1" applyAlignment="1" applyProtection="1">
      <alignment vertical="center"/>
    </xf>
    <xf numFmtId="0" fontId="25" fillId="0" borderId="1" xfId="3" applyFont="1" applyBorder="1" applyAlignment="1" applyProtection="1">
      <alignment vertical="center" wrapText="1"/>
    </xf>
    <xf numFmtId="0" fontId="5" fillId="0" borderId="1" xfId="4" applyFont="1" applyFill="1" applyBorder="1" applyAlignment="1" applyProtection="1">
      <alignment vertical="center" wrapText="1"/>
    </xf>
    <xf numFmtId="0" fontId="44" fillId="0" borderId="1" xfId="4" applyFont="1" applyFill="1" applyBorder="1" applyAlignment="1" applyProtection="1">
      <alignment vertical="center"/>
    </xf>
    <xf numFmtId="1" fontId="25" fillId="13" borderId="1" xfId="3" applyNumberFormat="1" applyFont="1" applyFill="1" applyBorder="1" applyAlignment="1" applyProtection="1">
      <alignment horizontal="center" vertical="center"/>
    </xf>
    <xf numFmtId="1" fontId="5" fillId="13" borderId="1" xfId="4" applyNumberFormat="1" applyFont="1" applyFill="1" applyBorder="1" applyAlignment="1" applyProtection="1">
      <alignment horizontal="center" vertical="center"/>
    </xf>
    <xf numFmtId="0" fontId="25" fillId="0" borderId="1" xfId="4" applyFont="1" applyBorder="1" applyAlignment="1" applyProtection="1">
      <alignment horizontal="center" vertical="center"/>
    </xf>
    <xf numFmtId="1" fontId="5" fillId="5" borderId="1" xfId="4" applyNumberFormat="1" applyFont="1" applyFill="1" applyBorder="1" applyAlignment="1" applyProtection="1">
      <alignment horizontal="center" vertical="center"/>
    </xf>
    <xf numFmtId="0" fontId="25" fillId="5" borderId="1" xfId="3" applyNumberFormat="1" applyFont="1" applyFill="1" applyBorder="1" applyAlignment="1" applyProtection="1">
      <alignment horizontal="center" vertical="center"/>
    </xf>
    <xf numFmtId="0" fontId="25" fillId="5" borderId="1" xfId="3" applyFont="1" applyFill="1" applyBorder="1" applyAlignment="1" applyProtection="1">
      <alignment vertical="center" wrapText="1"/>
    </xf>
    <xf numFmtId="1" fontId="25" fillId="5" borderId="1" xfId="3" applyNumberFormat="1" applyFont="1" applyFill="1" applyBorder="1" applyAlignment="1" applyProtection="1">
      <alignment horizontal="center" vertical="center"/>
    </xf>
    <xf numFmtId="2" fontId="5" fillId="5" borderId="1" xfId="4" applyNumberFormat="1" applyFont="1" applyFill="1" applyBorder="1" applyAlignment="1" applyProtection="1">
      <alignment horizontal="center" vertical="center"/>
    </xf>
    <xf numFmtId="2" fontId="25" fillId="5" borderId="1" xfId="3" applyNumberFormat="1" applyFont="1" applyFill="1" applyBorder="1" applyAlignment="1" applyProtection="1">
      <alignment horizontal="center" vertical="center"/>
    </xf>
    <xf numFmtId="2" fontId="5" fillId="5" borderId="1" xfId="3" applyNumberFormat="1" applyFont="1" applyFill="1" applyBorder="1" applyAlignment="1" applyProtection="1">
      <alignment horizontal="center" vertical="center"/>
    </xf>
    <xf numFmtId="0" fontId="44" fillId="5" borderId="1" xfId="4" applyFont="1" applyFill="1" applyBorder="1" applyAlignment="1" applyProtection="1">
      <alignment horizontal="center" vertical="center"/>
    </xf>
    <xf numFmtId="166" fontId="44" fillId="14" borderId="1" xfId="3" applyNumberFormat="1" applyFont="1" applyFill="1" applyBorder="1" applyAlignment="1" applyProtection="1">
      <alignment horizontal="center" vertical="center"/>
      <protection locked="0"/>
    </xf>
    <xf numFmtId="0" fontId="5" fillId="0" borderId="11" xfId="4" applyFont="1" applyFill="1" applyBorder="1" applyAlignment="1" applyProtection="1">
      <alignment vertical="center"/>
    </xf>
    <xf numFmtId="1" fontId="5" fillId="5" borderId="11" xfId="4" applyNumberFormat="1" applyFont="1" applyFill="1" applyBorder="1" applyAlignment="1" applyProtection="1">
      <alignment horizontal="center" vertical="center"/>
    </xf>
    <xf numFmtId="0" fontId="5" fillId="5" borderId="11" xfId="4" applyFont="1" applyFill="1" applyBorder="1" applyAlignment="1" applyProtection="1">
      <alignment horizontal="center" vertical="center"/>
    </xf>
    <xf numFmtId="0" fontId="42" fillId="5" borderId="0" xfId="3" applyFill="1" applyAlignment="1" applyProtection="1">
      <alignment horizontal="right" vertical="center"/>
    </xf>
    <xf numFmtId="0" fontId="2" fillId="5" borderId="0" xfId="3" applyFont="1" applyFill="1" applyAlignment="1" applyProtection="1">
      <alignment horizontal="right" vertical="center"/>
    </xf>
    <xf numFmtId="1" fontId="44" fillId="14" borderId="1" xfId="3" applyNumberFormat="1" applyFont="1" applyFill="1" applyBorder="1" applyAlignment="1" applyProtection="1">
      <alignment horizontal="center" vertical="center"/>
      <protection locked="0"/>
    </xf>
    <xf numFmtId="1" fontId="44" fillId="5" borderId="0" xfId="3" applyNumberFormat="1" applyFont="1" applyFill="1" applyBorder="1" applyAlignment="1" applyProtection="1">
      <alignment horizontal="center" vertical="center"/>
    </xf>
    <xf numFmtId="1" fontId="25" fillId="0" borderId="1" xfId="3" applyNumberFormat="1" applyFont="1" applyFill="1" applyBorder="1" applyAlignment="1" applyProtection="1">
      <alignment horizontal="center" vertical="center"/>
    </xf>
    <xf numFmtId="1" fontId="25" fillId="5" borderId="0" xfId="3" applyNumberFormat="1" applyFont="1" applyFill="1" applyBorder="1" applyAlignment="1" applyProtection="1">
      <alignment horizontal="center" vertical="center"/>
    </xf>
    <xf numFmtId="0" fontId="25" fillId="0" borderId="0" xfId="3" applyFont="1" applyFill="1" applyBorder="1" applyAlignment="1" applyProtection="1">
      <alignment vertical="center"/>
    </xf>
    <xf numFmtId="0" fontId="25" fillId="5" borderId="0" xfId="3" applyFont="1" applyFill="1" applyBorder="1" applyAlignment="1" applyProtection="1">
      <alignment vertical="center" wrapText="1"/>
    </xf>
    <xf numFmtId="0" fontId="10" fillId="0" borderId="3" xfId="1" applyFont="1" applyFill="1" applyBorder="1" applyAlignment="1">
      <alignment horizontal="center" vertical="center" wrapText="1"/>
    </xf>
    <xf numFmtId="0" fontId="0" fillId="5" borderId="0" xfId="0" applyFill="1" applyAlignment="1">
      <alignment horizontal="center"/>
    </xf>
    <xf numFmtId="0" fontId="0" fillId="2" borderId="0" xfId="0" applyFill="1"/>
    <xf numFmtId="0" fontId="0" fillId="2" borderId="0" xfId="0" applyFill="1" applyAlignment="1">
      <alignment horizontal="center"/>
    </xf>
    <xf numFmtId="0" fontId="8" fillId="4" borderId="1" xfId="0" applyFont="1" applyFill="1" applyBorder="1" applyAlignment="1" applyProtection="1">
      <alignment horizontal="center" wrapText="1"/>
    </xf>
    <xf numFmtId="0" fontId="18" fillId="3" borderId="1" xfId="0" quotePrefix="1" applyFont="1" applyFill="1" applyBorder="1" applyAlignment="1" applyProtection="1">
      <alignment horizontal="center" wrapText="1"/>
    </xf>
    <xf numFmtId="0" fontId="10" fillId="0" borderId="3" xfId="1" applyFont="1" applyFill="1" applyBorder="1" applyAlignment="1">
      <alignment horizontal="center" vertical="center" wrapText="1"/>
    </xf>
    <xf numFmtId="0" fontId="8" fillId="3" borderId="1" xfId="0" applyNumberFormat="1" applyFont="1" applyFill="1" applyBorder="1" applyAlignment="1" applyProtection="1">
      <alignment horizontal="center" wrapText="1"/>
      <protection locked="0"/>
    </xf>
    <xf numFmtId="0" fontId="8" fillId="15" borderId="1" xfId="0" applyFont="1" applyFill="1" applyBorder="1" applyAlignment="1" applyProtection="1">
      <alignment horizontal="center" wrapText="1"/>
    </xf>
    <xf numFmtId="0" fontId="8" fillId="15" borderId="3" xfId="0" applyFont="1" applyFill="1" applyBorder="1" applyAlignment="1" applyProtection="1">
      <alignment horizontal="center" wrapText="1"/>
    </xf>
    <xf numFmtId="0" fontId="8" fillId="15" borderId="0" xfId="0" applyFont="1" applyFill="1" applyProtection="1"/>
    <xf numFmtId="0" fontId="41" fillId="3" borderId="5" xfId="0" applyFont="1" applyFill="1" applyBorder="1" applyAlignment="1" applyProtection="1">
      <alignment horizontal="center" wrapText="1"/>
    </xf>
    <xf numFmtId="0" fontId="47" fillId="2" borderId="48" xfId="0" applyFont="1" applyFill="1" applyBorder="1"/>
    <xf numFmtId="0" fontId="0" fillId="2" borderId="29" xfId="0" applyFont="1" applyFill="1" applyBorder="1"/>
    <xf numFmtId="0" fontId="0" fillId="2" borderId="30" xfId="0" applyFont="1" applyFill="1" applyBorder="1"/>
    <xf numFmtId="0" fontId="47" fillId="2" borderId="17" xfId="0" applyFont="1" applyFill="1" applyBorder="1"/>
    <xf numFmtId="0" fontId="0" fillId="2" borderId="0" xfId="0" applyFont="1" applyFill="1" applyBorder="1"/>
    <xf numFmtId="0" fontId="0" fillId="2" borderId="18" xfId="0" applyFont="1" applyFill="1" applyBorder="1"/>
    <xf numFmtId="0" fontId="47" fillId="2" borderId="20" xfId="0" applyFont="1" applyFill="1" applyBorder="1"/>
    <xf numFmtId="0" fontId="0" fillId="2" borderId="31" xfId="0" applyFont="1" applyFill="1" applyBorder="1"/>
    <xf numFmtId="0" fontId="0" fillId="2" borderId="21" xfId="0" applyFont="1" applyFill="1" applyBorder="1"/>
    <xf numFmtId="0" fontId="2" fillId="16" borderId="49" xfId="0" applyFont="1" applyFill="1" applyBorder="1" applyAlignment="1">
      <alignment horizontal="center" vertical="center" wrapText="1"/>
    </xf>
    <xf numFmtId="0" fontId="2" fillId="17" borderId="49" xfId="0" applyFont="1" applyFill="1" applyBorder="1" applyAlignment="1">
      <alignment horizontal="center" vertical="center" wrapText="1"/>
    </xf>
    <xf numFmtId="0" fontId="2" fillId="18" borderId="49" xfId="0" applyFont="1" applyFill="1" applyBorder="1" applyAlignment="1">
      <alignment horizontal="center" vertical="center" wrapText="1"/>
    </xf>
    <xf numFmtId="0" fontId="2" fillId="19" borderId="49" xfId="0" applyFont="1" applyFill="1" applyBorder="1" applyAlignment="1">
      <alignment horizontal="center" vertical="center" wrapText="1"/>
    </xf>
    <xf numFmtId="0" fontId="49" fillId="5" borderId="0" xfId="0" applyFont="1" applyFill="1" applyAlignment="1">
      <alignment vertical="center"/>
    </xf>
    <xf numFmtId="0" fontId="4" fillId="5" borderId="0" xfId="0" applyFont="1" applyFill="1" applyAlignment="1">
      <alignment vertical="center"/>
    </xf>
    <xf numFmtId="0" fontId="0" fillId="5" borderId="0" xfId="0" applyFont="1" applyFill="1" applyAlignment="1">
      <alignment horizontal="center" vertical="center"/>
    </xf>
    <xf numFmtId="0" fontId="0" fillId="5" borderId="0" xfId="0" applyFont="1" applyFill="1" applyAlignment="1">
      <alignment vertical="center"/>
    </xf>
    <xf numFmtId="0" fontId="4" fillId="5" borderId="0" xfId="0" applyFont="1" applyFill="1" applyAlignment="1">
      <alignment horizontal="center" vertical="center"/>
    </xf>
    <xf numFmtId="0" fontId="4" fillId="5" borderId="0" xfId="0" applyFont="1" applyFill="1" applyBorder="1" applyAlignment="1">
      <alignment vertical="center"/>
    </xf>
    <xf numFmtId="0" fontId="10" fillId="0" borderId="3" xfId="1" applyFont="1" applyFill="1" applyBorder="1" applyAlignment="1">
      <alignment horizontal="center" vertical="center" wrapText="1"/>
    </xf>
    <xf numFmtId="0" fontId="10" fillId="0" borderId="3" xfId="1" applyFont="1" applyFill="1" applyBorder="1" applyAlignment="1">
      <alignment horizontal="center" vertical="center" wrapText="1"/>
    </xf>
    <xf numFmtId="0" fontId="2" fillId="5" borderId="0" xfId="0" quotePrefix="1" applyFont="1" applyFill="1" applyAlignment="1" applyProtection="1">
      <alignment horizontal="left"/>
    </xf>
    <xf numFmtId="0" fontId="23" fillId="5" borderId="0" xfId="0" applyFont="1" applyFill="1" applyBorder="1" applyAlignment="1">
      <alignment horizontal="center" vertical="center"/>
    </xf>
    <xf numFmtId="0" fontId="23" fillId="5" borderId="0" xfId="0" applyFont="1" applyFill="1" applyBorder="1" applyAlignment="1">
      <alignment vertical="center"/>
    </xf>
    <xf numFmtId="167" fontId="23" fillId="5" borderId="0" xfId="0" applyNumberFormat="1" applyFont="1" applyFill="1" applyBorder="1" applyAlignment="1">
      <alignment horizontal="center" vertical="center"/>
    </xf>
    <xf numFmtId="2" fontId="4" fillId="5" borderId="0" xfId="0" applyNumberFormat="1" applyFont="1" applyFill="1" applyBorder="1" applyAlignment="1">
      <alignment horizontal="center" vertical="center"/>
    </xf>
    <xf numFmtId="2" fontId="10" fillId="5" borderId="0" xfId="0" applyNumberFormat="1" applyFont="1" applyFill="1" applyBorder="1" applyAlignment="1">
      <alignment horizontal="right" vertical="center"/>
    </xf>
    <xf numFmtId="2" fontId="4" fillId="5" borderId="0" xfId="0" applyNumberFormat="1" applyFont="1" applyFill="1" applyAlignment="1">
      <alignment vertical="top" wrapText="1"/>
    </xf>
    <xf numFmtId="0" fontId="23" fillId="5" borderId="0" xfId="0" applyFont="1" applyFill="1" applyAlignment="1">
      <alignment vertical="center"/>
    </xf>
    <xf numFmtId="168" fontId="23" fillId="5" borderId="0" xfId="0" applyNumberFormat="1" applyFont="1" applyFill="1" applyAlignment="1">
      <alignment horizontal="center" vertical="center"/>
    </xf>
    <xf numFmtId="0" fontId="16" fillId="5" borderId="0" xfId="0" applyFont="1" applyFill="1" applyProtection="1"/>
    <xf numFmtId="0" fontId="17" fillId="5" borderId="0" xfId="0" applyFont="1" applyFill="1" applyBorder="1" applyAlignment="1" applyProtection="1">
      <alignment horizontal="right"/>
    </xf>
    <xf numFmtId="0" fontId="2" fillId="5" borderId="7" xfId="0" applyFont="1" applyFill="1" applyBorder="1" applyAlignment="1" applyProtection="1">
      <alignment horizontal="center"/>
    </xf>
    <xf numFmtId="0" fontId="2" fillId="5" borderId="9" xfId="0" applyFont="1" applyFill="1" applyBorder="1" applyAlignment="1" applyProtection="1">
      <alignment horizontal="center"/>
    </xf>
    <xf numFmtId="0" fontId="2" fillId="5" borderId="54" xfId="0" applyFont="1" applyFill="1" applyBorder="1" applyAlignment="1" applyProtection="1">
      <alignment horizontal="center"/>
    </xf>
    <xf numFmtId="0" fontId="2" fillId="5" borderId="2" xfId="0" applyFont="1" applyFill="1" applyBorder="1" applyAlignment="1" applyProtection="1">
      <alignment horizontal="center"/>
    </xf>
    <xf numFmtId="0" fontId="2" fillId="5" borderId="0" xfId="0" applyFont="1" applyFill="1" applyBorder="1" applyAlignment="1" applyProtection="1">
      <alignment horizontal="center"/>
    </xf>
    <xf numFmtId="0" fontId="2" fillId="5" borderId="53" xfId="0" applyFont="1" applyFill="1" applyBorder="1" applyAlignment="1" applyProtection="1">
      <alignment horizontal="center"/>
    </xf>
    <xf numFmtId="0" fontId="2" fillId="5" borderId="8" xfId="0" applyFont="1" applyFill="1" applyBorder="1" applyAlignment="1" applyProtection="1">
      <alignment horizontal="center"/>
    </xf>
    <xf numFmtId="0" fontId="2" fillId="5" borderId="10" xfId="0" applyFont="1" applyFill="1" applyBorder="1" applyAlignment="1" applyProtection="1">
      <alignment horizontal="center"/>
    </xf>
    <xf numFmtId="0" fontId="2" fillId="5" borderId="55" xfId="0" applyFont="1" applyFill="1" applyBorder="1" applyAlignment="1" applyProtection="1">
      <alignment horizontal="center"/>
    </xf>
    <xf numFmtId="0" fontId="2" fillId="5" borderId="3" xfId="0" applyFont="1" applyFill="1" applyBorder="1" applyAlignment="1" applyProtection="1">
      <alignment horizontal="center"/>
    </xf>
    <xf numFmtId="0" fontId="2" fillId="5" borderId="4" xfId="0" applyFont="1" applyFill="1" applyBorder="1" applyAlignment="1" applyProtection="1">
      <alignment horizontal="center"/>
    </xf>
    <xf numFmtId="0" fontId="2" fillId="5" borderId="5" xfId="0" applyFont="1" applyFill="1" applyBorder="1" applyAlignment="1" applyProtection="1">
      <alignment horizontal="center"/>
    </xf>
    <xf numFmtId="0" fontId="41" fillId="3" borderId="1" xfId="0" applyFont="1" applyFill="1" applyBorder="1" applyAlignment="1" applyProtection="1">
      <alignment horizontal="center" vertical="center"/>
    </xf>
    <xf numFmtId="0" fontId="22" fillId="4" borderId="1" xfId="0" applyFont="1" applyFill="1" applyBorder="1" applyAlignment="1" applyProtection="1">
      <alignment horizontal="center" vertical="center"/>
      <protection locked="0"/>
    </xf>
    <xf numFmtId="0" fontId="2" fillId="5" borderId="0" xfId="0" applyFont="1" applyFill="1" applyBorder="1" applyProtection="1">
      <protection locked="0"/>
    </xf>
    <xf numFmtId="0" fontId="0" fillId="5" borderId="0" xfId="0" applyFill="1" applyAlignment="1">
      <alignment horizontal="center" vertical="center"/>
    </xf>
    <xf numFmtId="2" fontId="4" fillId="5" borderId="0" xfId="0" applyNumberFormat="1" applyFont="1" applyFill="1" applyAlignment="1">
      <alignment horizontal="center" vertical="center"/>
    </xf>
    <xf numFmtId="0" fontId="22" fillId="3" borderId="1" xfId="0" applyFont="1" applyFill="1" applyBorder="1" applyAlignment="1" applyProtection="1">
      <alignment horizontal="center" wrapText="1"/>
      <protection locked="0"/>
    </xf>
    <xf numFmtId="49" fontId="2" fillId="5" borderId="0" xfId="0" applyNumberFormat="1" applyFont="1" applyFill="1" applyBorder="1" applyProtection="1">
      <protection locked="0"/>
    </xf>
    <xf numFmtId="0" fontId="1" fillId="5" borderId="0" xfId="0" applyFont="1" applyFill="1" applyBorder="1" applyAlignment="1">
      <alignment vertical="center"/>
    </xf>
    <xf numFmtId="0" fontId="49" fillId="5" borderId="0" xfId="0" applyFont="1" applyFill="1" applyAlignment="1">
      <alignment horizontal="center" vertical="center"/>
    </xf>
    <xf numFmtId="168" fontId="4" fillId="5" borderId="0" xfId="0" applyNumberFormat="1" applyFont="1" applyFill="1" applyAlignment="1">
      <alignment horizontal="center" vertical="center"/>
    </xf>
    <xf numFmtId="1" fontId="4" fillId="5" borderId="0" xfId="0" applyNumberFormat="1" applyFont="1" applyFill="1" applyAlignment="1">
      <alignment horizontal="center" vertical="center"/>
    </xf>
    <xf numFmtId="0" fontId="4" fillId="5" borderId="0" xfId="0" applyFont="1" applyFill="1" applyBorder="1" applyAlignment="1">
      <alignment horizontal="center" vertical="center"/>
    </xf>
    <xf numFmtId="168" fontId="0" fillId="5" borderId="0" xfId="0" applyNumberFormat="1" applyFont="1" applyFill="1" applyAlignment="1">
      <alignment horizontal="center" vertical="center"/>
    </xf>
    <xf numFmtId="0" fontId="2" fillId="5" borderId="0" xfId="0" applyFont="1" applyFill="1" applyAlignment="1">
      <alignment horizontal="center"/>
    </xf>
    <xf numFmtId="0" fontId="2" fillId="5" borderId="10" xfId="0" applyFont="1" applyFill="1" applyBorder="1" applyAlignment="1">
      <alignment horizontal="center"/>
    </xf>
    <xf numFmtId="2" fontId="4" fillId="5" borderId="0" xfId="0" applyNumberFormat="1" applyFont="1" applyFill="1" applyAlignment="1">
      <alignment horizontal="center" vertical="center"/>
    </xf>
    <xf numFmtId="2" fontId="23" fillId="5" borderId="0" xfId="0" applyNumberFormat="1" applyFont="1" applyFill="1" applyAlignment="1">
      <alignment horizontal="center" vertical="center"/>
    </xf>
    <xf numFmtId="0" fontId="25" fillId="0" borderId="1" xfId="3" applyFont="1" applyBorder="1" applyAlignment="1">
      <alignment vertical="center"/>
    </xf>
    <xf numFmtId="166" fontId="4" fillId="5" borderId="0" xfId="0" applyNumberFormat="1" applyFont="1" applyFill="1" applyAlignment="1">
      <alignment horizontal="center" vertical="center"/>
    </xf>
    <xf numFmtId="166" fontId="44" fillId="14" borderId="1" xfId="4" applyNumberFormat="1" applyFont="1" applyFill="1" applyBorder="1" applyAlignment="1" applyProtection="1">
      <alignment horizontal="center" vertical="center"/>
      <protection locked="0"/>
    </xf>
    <xf numFmtId="1" fontId="44" fillId="14" borderId="1" xfId="4" applyNumberFormat="1" applyFont="1" applyFill="1" applyBorder="1" applyAlignment="1" applyProtection="1">
      <alignment horizontal="center" vertical="center"/>
    </xf>
    <xf numFmtId="166" fontId="5" fillId="13" borderId="1" xfId="4" applyNumberFormat="1" applyFont="1" applyFill="1" applyBorder="1" applyAlignment="1" applyProtection="1">
      <alignment horizontal="center" vertical="center"/>
    </xf>
    <xf numFmtId="166" fontId="5" fillId="5" borderId="1" xfId="4" applyNumberFormat="1" applyFont="1" applyFill="1" applyBorder="1" applyAlignment="1" applyProtection="1">
      <alignment horizontal="center" vertical="center"/>
    </xf>
    <xf numFmtId="166" fontId="25" fillId="13" borderId="1" xfId="3" applyNumberFormat="1" applyFont="1" applyFill="1" applyBorder="1" applyAlignment="1" applyProtection="1">
      <alignment horizontal="center" vertical="center"/>
    </xf>
    <xf numFmtId="166" fontId="25" fillId="3" borderId="1" xfId="3" applyNumberFormat="1" applyFont="1" applyFill="1" applyBorder="1" applyAlignment="1" applyProtection="1">
      <alignment horizontal="center" vertical="center"/>
      <protection locked="0"/>
    </xf>
    <xf numFmtId="166" fontId="5" fillId="13" borderId="1" xfId="3" applyNumberFormat="1" applyFont="1" applyFill="1" applyBorder="1" applyAlignment="1" applyProtection="1">
      <alignment horizontal="center" vertical="center"/>
    </xf>
    <xf numFmtId="166" fontId="25" fillId="5" borderId="1" xfId="3" applyNumberFormat="1" applyFont="1" applyFill="1" applyBorder="1" applyAlignment="1" applyProtection="1">
      <alignment horizontal="center" vertical="center"/>
    </xf>
    <xf numFmtId="0" fontId="5" fillId="5" borderId="1" xfId="1" applyFill="1" applyBorder="1" applyAlignment="1">
      <alignment horizontal="left" vertical="center"/>
    </xf>
    <xf numFmtId="168" fontId="25" fillId="13" borderId="1" xfId="3" applyNumberFormat="1" applyFont="1" applyFill="1" applyBorder="1" applyAlignment="1" applyProtection="1">
      <alignment horizontal="center" vertical="center"/>
    </xf>
    <xf numFmtId="2" fontId="5" fillId="13" borderId="1" xfId="4" applyNumberFormat="1" applyFont="1" applyFill="1" applyBorder="1" applyAlignment="1" applyProtection="1">
      <alignment horizontal="center" vertical="center"/>
    </xf>
    <xf numFmtId="166" fontId="5" fillId="3" borderId="1" xfId="4" applyNumberFormat="1" applyFont="1" applyFill="1" applyBorder="1" applyAlignment="1" applyProtection="1">
      <alignment horizontal="center" vertical="center"/>
      <protection locked="0"/>
    </xf>
    <xf numFmtId="2" fontId="5" fillId="3" borderId="1" xfId="4" applyNumberFormat="1" applyFont="1" applyFill="1" applyBorder="1" applyAlignment="1" applyProtection="1">
      <alignment horizontal="center" vertical="center"/>
      <protection locked="0"/>
    </xf>
    <xf numFmtId="166" fontId="44" fillId="14" borderId="1" xfId="3" applyNumberFormat="1" applyFont="1" applyFill="1" applyBorder="1" applyAlignment="1" applyProtection="1">
      <alignment horizontal="center" vertical="center"/>
    </xf>
    <xf numFmtId="166" fontId="44" fillId="3" borderId="1" xfId="3" applyNumberFormat="1" applyFont="1" applyFill="1" applyBorder="1" applyAlignment="1" applyProtection="1">
      <alignment horizontal="center" vertical="center"/>
      <protection locked="0"/>
    </xf>
    <xf numFmtId="2" fontId="44" fillId="3" borderId="1" xfId="3" applyNumberFormat="1" applyFont="1" applyFill="1" applyBorder="1" applyAlignment="1" applyProtection="1">
      <alignment horizontal="center" vertical="center"/>
      <protection locked="0"/>
    </xf>
    <xf numFmtId="49" fontId="5" fillId="3" borderId="1" xfId="4" applyNumberFormat="1" applyFont="1" applyFill="1" applyBorder="1" applyAlignment="1" applyProtection="1">
      <alignment horizontal="center" vertical="center"/>
      <protection locked="0"/>
    </xf>
    <xf numFmtId="2" fontId="4" fillId="5" borderId="0" xfId="0" applyNumberFormat="1" applyFont="1" applyFill="1" applyAlignment="1">
      <alignment horizontal="center" vertical="center"/>
    </xf>
    <xf numFmtId="0" fontId="25" fillId="5" borderId="1" xfId="3" applyFont="1" applyFill="1" applyBorder="1" applyAlignment="1">
      <alignment vertical="center"/>
    </xf>
    <xf numFmtId="0" fontId="52" fillId="5" borderId="0" xfId="0" applyFont="1" applyFill="1" applyProtection="1"/>
    <xf numFmtId="0" fontId="0" fillId="2" borderId="0" xfId="0" applyFill="1" applyProtection="1">
      <protection hidden="1"/>
    </xf>
    <xf numFmtId="0" fontId="2" fillId="2" borderId="1" xfId="0" applyFont="1" applyFill="1" applyBorder="1" applyAlignment="1" applyProtection="1">
      <alignment horizontal="center"/>
      <protection hidden="1"/>
    </xf>
    <xf numFmtId="0" fontId="2" fillId="2" borderId="0" xfId="0" applyFont="1" applyFill="1" applyProtection="1">
      <protection hidden="1"/>
    </xf>
    <xf numFmtId="0" fontId="0" fillId="2" borderId="0" xfId="0" applyFill="1" applyAlignment="1" applyProtection="1">
      <alignment horizontal="center"/>
      <protection hidden="1"/>
    </xf>
    <xf numFmtId="0" fontId="2" fillId="5" borderId="1" xfId="0" applyFont="1" applyFill="1" applyBorder="1" applyAlignment="1" applyProtection="1">
      <alignment horizontal="center"/>
      <protection hidden="1"/>
    </xf>
    <xf numFmtId="0" fontId="0" fillId="0" borderId="1" xfId="0" applyFill="1" applyBorder="1" applyAlignment="1" applyProtection="1">
      <alignment horizontal="center"/>
      <protection hidden="1"/>
    </xf>
    <xf numFmtId="0" fontId="4" fillId="0" borderId="1" xfId="0" applyFont="1" applyFill="1" applyBorder="1" applyAlignment="1" applyProtection="1">
      <alignment horizontal="center"/>
      <protection hidden="1"/>
    </xf>
    <xf numFmtId="0" fontId="4" fillId="2" borderId="0" xfId="0" applyFont="1" applyFill="1" applyAlignment="1" applyProtection="1">
      <alignment horizontal="center"/>
      <protection hidden="1"/>
    </xf>
    <xf numFmtId="0" fontId="53" fillId="2" borderId="0" xfId="0" applyFont="1" applyFill="1" applyAlignment="1" applyProtection="1">
      <alignment horizontal="center"/>
      <protection hidden="1"/>
    </xf>
    <xf numFmtId="0" fontId="1" fillId="2" borderId="0" xfId="0" applyFont="1" applyFill="1" applyAlignment="1" applyProtection="1">
      <alignment horizontal="center"/>
      <protection hidden="1"/>
    </xf>
    <xf numFmtId="0" fontId="2" fillId="2" borderId="3" xfId="0" applyFont="1" applyFill="1" applyBorder="1" applyAlignment="1" applyProtection="1">
      <alignment horizontal="center"/>
      <protection hidden="1"/>
    </xf>
    <xf numFmtId="0" fontId="2" fillId="2" borderId="5" xfId="0" applyFont="1" applyFill="1" applyBorder="1" applyAlignment="1" applyProtection="1">
      <alignment horizontal="center"/>
      <protection hidden="1"/>
    </xf>
    <xf numFmtId="0" fontId="0" fillId="2" borderId="0" xfId="0" applyFill="1" applyAlignment="1" applyProtection="1">
      <protection hidden="1"/>
    </xf>
    <xf numFmtId="0" fontId="0" fillId="5" borderId="1" xfId="0" applyFill="1" applyBorder="1" applyAlignment="1" applyProtection="1">
      <alignment horizontal="center"/>
      <protection hidden="1"/>
    </xf>
    <xf numFmtId="0" fontId="0" fillId="5" borderId="0" xfId="0" applyFill="1" applyAlignment="1" applyProtection="1">
      <alignment horizontal="center"/>
      <protection hidden="1"/>
    </xf>
    <xf numFmtId="0" fontId="0" fillId="0" borderId="1" xfId="0" applyFont="1" applyBorder="1" applyAlignment="1" applyProtection="1">
      <alignment horizontal="center"/>
      <protection hidden="1"/>
    </xf>
    <xf numFmtId="0" fontId="1" fillId="5" borderId="1" xfId="0" applyFont="1" applyFill="1" applyBorder="1" applyAlignment="1" applyProtection="1">
      <alignment horizontal="center"/>
      <protection hidden="1"/>
    </xf>
    <xf numFmtId="0" fontId="1" fillId="0" borderId="1" xfId="0" quotePrefix="1" applyFont="1" applyFill="1" applyBorder="1" applyAlignment="1" applyProtection="1">
      <alignment horizontal="center"/>
      <protection hidden="1"/>
    </xf>
    <xf numFmtId="0" fontId="1" fillId="0" borderId="1" xfId="0" applyFont="1" applyFill="1" applyBorder="1" applyAlignment="1" applyProtection="1">
      <alignment horizontal="center"/>
      <protection hidden="1"/>
    </xf>
    <xf numFmtId="0" fontId="4" fillId="5" borderId="1"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46" fillId="5" borderId="1" xfId="0" applyFont="1" applyFill="1" applyBorder="1" applyAlignment="1" applyProtection="1">
      <alignment horizontal="center"/>
      <protection hidden="1"/>
    </xf>
    <xf numFmtId="0" fontId="46" fillId="2" borderId="0" xfId="0" applyFont="1" applyFill="1" applyProtection="1">
      <protection hidden="1"/>
    </xf>
    <xf numFmtId="0" fontId="46" fillId="5" borderId="0" xfId="0" applyFont="1" applyFill="1" applyAlignment="1" applyProtection="1">
      <alignment horizontal="center"/>
      <protection hidden="1"/>
    </xf>
    <xf numFmtId="0" fontId="46" fillId="0" borderId="1" xfId="0" applyFont="1" applyFill="1" applyBorder="1" applyAlignment="1" applyProtection="1">
      <alignment horizontal="center"/>
      <protection hidden="1"/>
    </xf>
    <xf numFmtId="0" fontId="0" fillId="2" borderId="5" xfId="0" applyFill="1" applyBorder="1" applyAlignment="1" applyProtection="1">
      <alignment horizontal="center"/>
      <protection hidden="1"/>
    </xf>
    <xf numFmtId="2" fontId="0" fillId="5" borderId="0" xfId="0" applyNumberFormat="1" applyFill="1" applyAlignment="1" applyProtection="1">
      <alignment horizontal="center" vertical="center"/>
      <protection locked="0"/>
    </xf>
    <xf numFmtId="168" fontId="5" fillId="0" borderId="1" xfId="4" applyNumberFormat="1" applyFont="1" applyFill="1" applyBorder="1" applyAlignment="1" applyProtection="1">
      <alignment horizontal="center" vertical="center"/>
    </xf>
    <xf numFmtId="0" fontId="0" fillId="0" borderId="1" xfId="0" applyFill="1" applyBorder="1" applyAlignment="1" applyProtection="1">
      <alignment horizontal="center"/>
      <protection locked="0" hidden="1"/>
    </xf>
    <xf numFmtId="0" fontId="0" fillId="0" borderId="1" xfId="0" quotePrefix="1" applyFill="1" applyBorder="1" applyAlignment="1" applyProtection="1">
      <alignment horizontal="center"/>
      <protection locked="0" hidden="1"/>
    </xf>
    <xf numFmtId="0" fontId="2" fillId="5" borderId="1" xfId="0" applyFont="1" applyFill="1" applyBorder="1" applyAlignment="1" applyProtection="1">
      <alignment horizontal="center"/>
      <protection locked="0" hidden="1"/>
    </xf>
    <xf numFmtId="166" fontId="5" fillId="0" borderId="1" xfId="4" applyNumberFormat="1" applyFont="1" applyFill="1" applyBorder="1" applyAlignment="1" applyProtection="1">
      <alignment horizontal="center" vertical="center"/>
      <protection hidden="1"/>
    </xf>
    <xf numFmtId="169" fontId="5" fillId="5" borderId="1" xfId="1" applyNumberFormat="1" applyFont="1" applyFill="1" applyBorder="1" applyAlignment="1">
      <alignment horizontal="center" vertical="center"/>
    </xf>
    <xf numFmtId="0" fontId="35" fillId="5" borderId="0" xfId="0" applyFont="1" applyFill="1" applyAlignment="1">
      <alignment horizontal="right" vertical="center"/>
    </xf>
    <xf numFmtId="2" fontId="23" fillId="5" borderId="0" xfId="0" applyNumberFormat="1" applyFont="1" applyFill="1" applyAlignment="1" applyProtection="1">
      <alignment horizontal="center" vertical="center"/>
      <protection hidden="1"/>
    </xf>
    <xf numFmtId="0" fontId="23" fillId="5" borderId="0" xfId="0" applyFont="1" applyFill="1" applyAlignment="1" applyProtection="1">
      <alignment horizontal="center" vertical="center"/>
      <protection hidden="1"/>
    </xf>
    <xf numFmtId="2" fontId="23" fillId="5" borderId="0" xfId="0" applyNumberFormat="1" applyFont="1" applyFill="1" applyBorder="1" applyAlignment="1" applyProtection="1">
      <alignment horizontal="center" vertical="center"/>
      <protection hidden="1"/>
    </xf>
    <xf numFmtId="0" fontId="23" fillId="5" borderId="0" xfId="0" applyFont="1" applyFill="1" applyBorder="1" applyAlignment="1" applyProtection="1">
      <alignment horizontal="center" vertical="center"/>
      <protection hidden="1"/>
    </xf>
    <xf numFmtId="0" fontId="0" fillId="0" borderId="18" xfId="0" applyBorder="1" applyAlignment="1" applyProtection="1">
      <alignment horizontal="center" vertical="center"/>
      <protection hidden="1"/>
    </xf>
    <xf numFmtId="0" fontId="0" fillId="0" borderId="18" xfId="0" applyBorder="1" applyAlignment="1" applyProtection="1">
      <alignment horizontal="center" vertical="center" wrapText="1"/>
      <protection hidden="1"/>
    </xf>
    <xf numFmtId="0" fontId="0" fillId="0" borderId="21" xfId="0"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19" xfId="0" applyBorder="1" applyAlignment="1" applyProtection="1">
      <alignment horizontal="center" vertical="center"/>
      <protection hidden="1"/>
    </xf>
    <xf numFmtId="0" fontId="0" fillId="0" borderId="22" xfId="0" applyBorder="1" applyAlignment="1" applyProtection="1">
      <alignment horizontal="center" vertical="center"/>
      <protection hidden="1"/>
    </xf>
    <xf numFmtId="2" fontId="4" fillId="5" borderId="0" xfId="0" applyNumberFormat="1" applyFont="1" applyFill="1" applyBorder="1" applyAlignment="1" applyProtection="1">
      <alignment horizontal="center" vertical="center"/>
      <protection hidden="1"/>
    </xf>
    <xf numFmtId="2" fontId="4" fillId="5" borderId="0" xfId="0" applyNumberFormat="1" applyFont="1" applyFill="1" applyAlignment="1" applyProtection="1">
      <alignment horizontal="center" vertical="center"/>
      <protection hidden="1"/>
    </xf>
    <xf numFmtId="0" fontId="22" fillId="3" borderId="1" xfId="0" applyFont="1" applyFill="1" applyBorder="1" applyAlignment="1" applyProtection="1">
      <alignment horizontal="center" wrapText="1"/>
      <protection locked="0"/>
    </xf>
    <xf numFmtId="0" fontId="22" fillId="3" borderId="1" xfId="0" applyFont="1" applyFill="1" applyBorder="1" applyAlignment="1" applyProtection="1">
      <alignment horizontal="center" wrapText="1"/>
      <protection locked="0"/>
    </xf>
    <xf numFmtId="169" fontId="0" fillId="5" borderId="0" xfId="0" applyNumberFormat="1" applyFill="1" applyAlignment="1">
      <alignment vertical="center"/>
    </xf>
    <xf numFmtId="0" fontId="22" fillId="3" borderId="1" xfId="0" applyFont="1" applyFill="1" applyBorder="1" applyAlignment="1" applyProtection="1">
      <alignment horizontal="center" wrapText="1"/>
      <protection locked="0"/>
    </xf>
    <xf numFmtId="0" fontId="21" fillId="3" borderId="1" xfId="0" applyFont="1" applyFill="1" applyBorder="1" applyAlignment="1" applyProtection="1">
      <alignment horizontal="center" vertical="center"/>
      <protection locked="0"/>
    </xf>
    <xf numFmtId="0" fontId="40" fillId="12" borderId="32" xfId="0" applyFont="1" applyFill="1" applyBorder="1" applyAlignment="1" applyProtection="1">
      <alignment horizontal="left" vertical="top"/>
    </xf>
    <xf numFmtId="0" fontId="36" fillId="0" borderId="32" xfId="0" applyFont="1" applyBorder="1" applyAlignment="1">
      <alignment horizontal="left" vertical="top"/>
    </xf>
    <xf numFmtId="0" fontId="36" fillId="0" borderId="32" xfId="0" applyFont="1" applyBorder="1" applyAlignment="1">
      <alignment horizontal="left" vertical="top" wrapText="1"/>
    </xf>
    <xf numFmtId="0" fontId="38" fillId="5" borderId="33" xfId="0" applyFont="1" applyFill="1" applyBorder="1" applyAlignment="1">
      <alignment horizontal="left" vertical="top"/>
    </xf>
    <xf numFmtId="0" fontId="38" fillId="5" borderId="34" xfId="0" applyFont="1" applyFill="1" applyBorder="1" applyAlignment="1">
      <alignment horizontal="left" vertical="top"/>
    </xf>
    <xf numFmtId="0" fontId="38" fillId="5" borderId="35" xfId="0" applyFont="1" applyFill="1" applyBorder="1" applyAlignment="1">
      <alignment horizontal="left" vertical="top"/>
    </xf>
    <xf numFmtId="0" fontId="38" fillId="5" borderId="36" xfId="0" applyFont="1" applyFill="1" applyBorder="1" applyAlignment="1">
      <alignment horizontal="left" vertical="top"/>
    </xf>
    <xf numFmtId="0" fontId="38" fillId="5" borderId="37" xfId="0" applyFont="1" applyFill="1" applyBorder="1" applyAlignment="1">
      <alignment horizontal="left" vertical="top"/>
    </xf>
    <xf numFmtId="0" fontId="38" fillId="5" borderId="38" xfId="0" applyFont="1" applyFill="1" applyBorder="1" applyAlignment="1">
      <alignment horizontal="left" vertical="top"/>
    </xf>
    <xf numFmtId="0" fontId="0" fillId="5" borderId="0" xfId="0" applyFill="1" applyAlignment="1">
      <alignment horizontal="center" vertical="center"/>
    </xf>
    <xf numFmtId="0" fontId="24" fillId="5" borderId="0" xfId="0" applyFont="1" applyFill="1" applyBorder="1" applyAlignment="1">
      <alignment horizontal="left" vertical="top" wrapText="1"/>
    </xf>
    <xf numFmtId="0" fontId="24" fillId="5" borderId="0" xfId="0" applyFont="1" applyFill="1" applyBorder="1" applyAlignment="1">
      <alignment horizontal="left" wrapText="1"/>
    </xf>
    <xf numFmtId="0" fontId="34" fillId="0" borderId="32" xfId="0" applyFont="1" applyBorder="1" applyAlignment="1" applyProtection="1">
      <alignment horizontal="left" vertical="top"/>
    </xf>
    <xf numFmtId="0" fontId="32" fillId="12" borderId="32" xfId="0" applyFont="1" applyFill="1" applyBorder="1" applyAlignment="1" applyProtection="1">
      <alignment horizontal="left" vertical="center"/>
    </xf>
    <xf numFmtId="0" fontId="32" fillId="12" borderId="32" xfId="0" applyFont="1" applyFill="1" applyBorder="1" applyAlignment="1" applyProtection="1">
      <alignment horizontal="left"/>
    </xf>
    <xf numFmtId="0" fontId="35" fillId="0" borderId="32" xfId="0" applyFont="1" applyBorder="1" applyAlignment="1" applyProtection="1">
      <alignment horizontal="left" vertical="top"/>
    </xf>
    <xf numFmtId="0" fontId="35" fillId="0" borderId="32" xfId="0" applyFont="1" applyBorder="1" applyAlignment="1" applyProtection="1">
      <alignment horizontal="left" vertical="top" wrapText="1"/>
    </xf>
    <xf numFmtId="0" fontId="38" fillId="5" borderId="32" xfId="0" applyFont="1" applyFill="1" applyBorder="1" applyAlignment="1">
      <alignment horizontal="left" vertical="top"/>
    </xf>
    <xf numFmtId="0" fontId="36" fillId="0" borderId="39" xfId="0" applyFont="1" applyBorder="1" applyAlignment="1">
      <alignment horizontal="left" vertical="top"/>
    </xf>
    <xf numFmtId="0" fontId="36" fillId="0" borderId="40" xfId="0" applyFont="1" applyBorder="1" applyAlignment="1">
      <alignment horizontal="left" vertical="top"/>
    </xf>
    <xf numFmtId="0" fontId="36" fillId="0" borderId="41" xfId="0" applyFont="1" applyBorder="1" applyAlignment="1">
      <alignment horizontal="left" vertical="top"/>
    </xf>
    <xf numFmtId="169" fontId="35" fillId="5" borderId="0" xfId="0" applyNumberFormat="1" applyFont="1" applyFill="1" applyAlignment="1">
      <alignment horizontal="left" vertical="center"/>
    </xf>
    <xf numFmtId="0" fontId="0" fillId="5" borderId="3" xfId="0" applyFill="1" applyBorder="1" applyAlignment="1" applyProtection="1">
      <alignment horizontal="center"/>
      <protection hidden="1"/>
    </xf>
    <xf numFmtId="0" fontId="0" fillId="5" borderId="5" xfId="0" applyFill="1" applyBorder="1" applyAlignment="1" applyProtection="1">
      <alignment horizontal="center"/>
      <protection hidden="1"/>
    </xf>
    <xf numFmtId="0" fontId="0" fillId="5" borderId="4" xfId="0" applyFill="1" applyBorder="1" applyAlignment="1" applyProtection="1">
      <alignment horizontal="center"/>
      <protection hidden="1"/>
    </xf>
    <xf numFmtId="0" fontId="1" fillId="5" borderId="3" xfId="0" quotePrefix="1"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3" xfId="0" applyFont="1" applyFill="1" applyBorder="1" applyAlignment="1" applyProtection="1">
      <alignment horizontal="center"/>
      <protection hidden="1"/>
    </xf>
    <xf numFmtId="0" fontId="0" fillId="5" borderId="3" xfId="0" quotePrefix="1" applyFill="1" applyBorder="1" applyAlignment="1" applyProtection="1">
      <alignment horizontal="center"/>
      <protection hidden="1"/>
    </xf>
    <xf numFmtId="0" fontId="0" fillId="0" borderId="3" xfId="0" applyFill="1" applyBorder="1" applyAlignment="1" applyProtection="1">
      <alignment horizontal="center"/>
      <protection hidden="1"/>
    </xf>
    <xf numFmtId="0" fontId="0" fillId="0" borderId="5" xfId="0" applyFill="1" applyBorder="1" applyAlignment="1" applyProtection="1">
      <alignment horizontal="center"/>
      <protection hidden="1"/>
    </xf>
    <xf numFmtId="0" fontId="0" fillId="0" borderId="3" xfId="0" quotePrefix="1" applyFill="1" applyBorder="1" applyAlignment="1" applyProtection="1">
      <alignment horizontal="center"/>
      <protection hidden="1"/>
    </xf>
    <xf numFmtId="0" fontId="0" fillId="0" borderId="4" xfId="0" applyFill="1" applyBorder="1" applyAlignment="1" applyProtection="1">
      <alignment horizontal="center"/>
      <protection hidden="1"/>
    </xf>
    <xf numFmtId="0" fontId="0" fillId="5" borderId="3" xfId="0" applyFill="1" applyBorder="1" applyAlignment="1" applyProtection="1">
      <alignment horizontal="center"/>
      <protection locked="0" hidden="1"/>
    </xf>
    <xf numFmtId="0" fontId="0" fillId="5" borderId="5" xfId="0" applyFill="1" applyBorder="1" applyAlignment="1" applyProtection="1">
      <alignment horizontal="center"/>
      <protection locked="0" hidden="1"/>
    </xf>
    <xf numFmtId="0" fontId="0" fillId="5" borderId="1" xfId="0" applyFill="1" applyBorder="1" applyAlignment="1" applyProtection="1">
      <alignment horizontal="center"/>
      <protection hidden="1"/>
    </xf>
    <xf numFmtId="0" fontId="7" fillId="2" borderId="1" xfId="0" applyFont="1" applyFill="1" applyBorder="1" applyAlignment="1" applyProtection="1">
      <alignment horizontal="center" vertical="center"/>
    </xf>
    <xf numFmtId="0" fontId="7" fillId="2" borderId="1" xfId="0" applyNumberFormat="1" applyFont="1" applyFill="1" applyBorder="1" applyAlignment="1" applyProtection="1">
      <alignment horizontal="center" vertical="center" wrapText="1"/>
    </xf>
    <xf numFmtId="0" fontId="7" fillId="2" borderId="1" xfId="0" applyNumberFormat="1" applyFont="1" applyFill="1" applyBorder="1" applyAlignment="1" applyProtection="1">
      <alignment horizontal="center" vertical="center"/>
    </xf>
    <xf numFmtId="0" fontId="0" fillId="2" borderId="26" xfId="0" applyFill="1" applyBorder="1" applyAlignment="1">
      <alignment horizontal="center" vertical="center"/>
    </xf>
    <xf numFmtId="0" fontId="0" fillId="2" borderId="27" xfId="0" applyFill="1" applyBorder="1" applyAlignment="1">
      <alignment horizontal="center" vertical="center"/>
    </xf>
    <xf numFmtId="0" fontId="0" fillId="2" borderId="28" xfId="0"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22" xfId="0" applyFont="1" applyFill="1" applyBorder="1" applyAlignment="1">
      <alignment horizontal="center" vertical="center"/>
    </xf>
    <xf numFmtId="0" fontId="2" fillId="2" borderId="4"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4"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2" fontId="4" fillId="5" borderId="0" xfId="0" applyNumberFormat="1" applyFont="1" applyFill="1" applyAlignment="1">
      <alignment horizontal="left" vertical="top" wrapText="1"/>
    </xf>
    <xf numFmtId="0" fontId="7" fillId="10" borderId="24" xfId="0" applyFont="1" applyFill="1" applyBorder="1" applyAlignment="1">
      <alignment horizontal="center" vertical="center"/>
    </xf>
    <xf numFmtId="0" fontId="7" fillId="10" borderId="14" xfId="0" applyFont="1" applyFill="1" applyBorder="1" applyAlignment="1">
      <alignment horizontal="center" vertical="center"/>
    </xf>
    <xf numFmtId="2" fontId="49" fillId="11" borderId="29" xfId="0" applyNumberFormat="1" applyFont="1" applyFill="1" applyBorder="1" applyAlignment="1">
      <alignment horizontal="center" vertical="center"/>
    </xf>
    <xf numFmtId="2" fontId="49" fillId="11" borderId="30" xfId="0" applyNumberFormat="1" applyFont="1" applyFill="1" applyBorder="1" applyAlignment="1">
      <alignment horizontal="center" vertical="center"/>
    </xf>
    <xf numFmtId="2" fontId="49" fillId="11" borderId="31" xfId="0" applyNumberFormat="1" applyFont="1" applyFill="1" applyBorder="1" applyAlignment="1">
      <alignment horizontal="center" vertical="center"/>
    </xf>
    <xf numFmtId="2" fontId="49" fillId="11" borderId="21" xfId="0" applyNumberFormat="1" applyFont="1" applyFill="1" applyBorder="1" applyAlignment="1">
      <alignment horizontal="center" vertical="center"/>
    </xf>
    <xf numFmtId="2" fontId="4" fillId="5" borderId="0" xfId="0" applyNumberFormat="1" applyFont="1" applyFill="1" applyAlignment="1" applyProtection="1">
      <alignment horizontal="center" vertical="center"/>
      <protection hidden="1"/>
    </xf>
    <xf numFmtId="0" fontId="4" fillId="2" borderId="17" xfId="0" applyFont="1" applyFill="1" applyBorder="1" applyAlignment="1">
      <alignment horizontal="center" vertical="center"/>
    </xf>
    <xf numFmtId="0" fontId="4" fillId="2" borderId="20" xfId="0" applyFont="1" applyFill="1" applyBorder="1" applyAlignment="1">
      <alignment horizontal="center" vertical="center"/>
    </xf>
    <xf numFmtId="0" fontId="9" fillId="4" borderId="3" xfId="0" applyFont="1" applyFill="1" applyBorder="1" applyAlignment="1" applyProtection="1">
      <alignment horizontal="center" wrapText="1"/>
    </xf>
    <xf numFmtId="0" fontId="9" fillId="4" borderId="4" xfId="0" applyFont="1" applyFill="1" applyBorder="1" applyAlignment="1" applyProtection="1">
      <alignment horizontal="center" wrapText="1"/>
    </xf>
    <xf numFmtId="0" fontId="9" fillId="4" borderId="5" xfId="0" applyFont="1" applyFill="1" applyBorder="1" applyAlignment="1" applyProtection="1">
      <alignment horizontal="center" wrapText="1"/>
    </xf>
    <xf numFmtId="0" fontId="8" fillId="15" borderId="3" xfId="0" applyFont="1" applyFill="1" applyBorder="1" applyAlignment="1" applyProtection="1">
      <alignment horizontal="center" wrapText="1"/>
    </xf>
    <xf numFmtId="0" fontId="8" fillId="15" borderId="5" xfId="0" applyFont="1" applyFill="1" applyBorder="1" applyAlignment="1" applyProtection="1">
      <alignment horizontal="center" wrapText="1"/>
    </xf>
    <xf numFmtId="0" fontId="8" fillId="3" borderId="3" xfId="0" quotePrefix="1" applyFont="1" applyFill="1" applyBorder="1" applyAlignment="1" applyProtection="1">
      <alignment horizontal="center" wrapText="1"/>
      <protection locked="0"/>
    </xf>
    <xf numFmtId="0" fontId="8" fillId="3" borderId="5" xfId="0" quotePrefix="1" applyFont="1" applyFill="1" applyBorder="1" applyAlignment="1" applyProtection="1">
      <alignment horizontal="center" wrapText="1"/>
      <protection locked="0"/>
    </xf>
    <xf numFmtId="0" fontId="8" fillId="3" borderId="3" xfId="0" applyFont="1" applyFill="1" applyBorder="1" applyAlignment="1" applyProtection="1">
      <alignment horizontal="center" wrapText="1"/>
      <protection locked="0"/>
    </xf>
    <xf numFmtId="0" fontId="8" fillId="3" borderId="5" xfId="0" applyFont="1" applyFill="1" applyBorder="1" applyAlignment="1" applyProtection="1">
      <alignment horizontal="center" wrapText="1"/>
      <protection locked="0"/>
    </xf>
    <xf numFmtId="0" fontId="8" fillId="4" borderId="1" xfId="0" applyFont="1" applyFill="1" applyBorder="1" applyAlignment="1" applyProtection="1">
      <alignment horizontal="center" wrapText="1"/>
    </xf>
    <xf numFmtId="0" fontId="18" fillId="3" borderId="3" xfId="0" quotePrefix="1" applyFont="1" applyFill="1" applyBorder="1" applyAlignment="1" applyProtection="1">
      <alignment horizontal="center" wrapText="1"/>
    </xf>
    <xf numFmtId="0" fontId="18" fillId="3" borderId="4" xfId="0" applyFont="1" applyFill="1" applyBorder="1" applyAlignment="1" applyProtection="1">
      <alignment horizontal="center" wrapText="1"/>
    </xf>
    <xf numFmtId="0" fontId="18" fillId="3" borderId="5" xfId="0" applyFont="1" applyFill="1" applyBorder="1" applyAlignment="1" applyProtection="1">
      <alignment horizontal="center" wrapText="1"/>
    </xf>
    <xf numFmtId="0" fontId="22" fillId="3" borderId="1" xfId="0" applyFont="1" applyFill="1" applyBorder="1" applyAlignment="1" applyProtection="1">
      <alignment horizontal="center" wrapText="1"/>
      <protection locked="0"/>
    </xf>
    <xf numFmtId="0" fontId="8" fillId="3" borderId="1" xfId="0" applyFont="1" applyFill="1" applyBorder="1" applyAlignment="1" applyProtection="1">
      <alignment horizontal="center" wrapText="1"/>
      <protection locked="0"/>
    </xf>
    <xf numFmtId="0" fontId="9" fillId="3" borderId="1" xfId="0" applyFont="1" applyFill="1" applyBorder="1" applyAlignment="1" applyProtection="1">
      <alignment horizontal="center" wrapText="1"/>
      <protection locked="0"/>
    </xf>
    <xf numFmtId="0" fontId="9" fillId="4" borderId="1" xfId="0" applyFont="1" applyFill="1" applyBorder="1" applyAlignment="1" applyProtection="1">
      <alignment horizontal="center" wrapText="1"/>
    </xf>
    <xf numFmtId="0" fontId="8" fillId="4" borderId="3" xfId="0" applyFont="1" applyFill="1" applyBorder="1" applyAlignment="1" applyProtection="1">
      <alignment horizontal="center" wrapText="1"/>
    </xf>
    <xf numFmtId="0" fontId="8" fillId="4" borderId="4" xfId="0" applyFont="1" applyFill="1" applyBorder="1" applyAlignment="1" applyProtection="1">
      <alignment horizontal="center" wrapText="1"/>
    </xf>
    <xf numFmtId="0" fontId="8" fillId="4" borderId="5" xfId="0" applyFont="1" applyFill="1" applyBorder="1" applyAlignment="1" applyProtection="1">
      <alignment horizontal="center" wrapText="1"/>
    </xf>
    <xf numFmtId="0" fontId="9" fillId="3" borderId="3" xfId="0" applyFont="1" applyFill="1" applyBorder="1" applyAlignment="1" applyProtection="1">
      <alignment horizontal="center" wrapText="1"/>
      <protection locked="0"/>
    </xf>
    <xf numFmtId="0" fontId="9" fillId="3" borderId="5" xfId="0" applyFont="1" applyFill="1" applyBorder="1" applyAlignment="1" applyProtection="1">
      <alignment horizontal="center" wrapText="1"/>
      <protection locked="0"/>
    </xf>
    <xf numFmtId="0" fontId="18" fillId="3" borderId="1" xfId="0" applyFont="1" applyFill="1" applyBorder="1" applyAlignment="1" applyProtection="1">
      <alignment horizontal="center" wrapText="1"/>
    </xf>
    <xf numFmtId="0" fontId="6" fillId="0" borderId="1" xfId="0" applyFont="1" applyBorder="1" applyAlignment="1" applyProtection="1">
      <alignment horizontal="center"/>
      <protection locked="0"/>
    </xf>
    <xf numFmtId="0" fontId="18" fillId="3" borderId="1" xfId="0" quotePrefix="1" applyFont="1" applyFill="1" applyBorder="1" applyAlignment="1" applyProtection="1">
      <alignment horizontal="center" wrapText="1"/>
    </xf>
    <xf numFmtId="49" fontId="8" fillId="3" borderId="1" xfId="0" quotePrefix="1" applyNumberFormat="1" applyFont="1" applyFill="1" applyBorder="1" applyAlignment="1" applyProtection="1">
      <alignment horizontal="center" wrapText="1"/>
      <protection locked="0"/>
    </xf>
    <xf numFmtId="49" fontId="8" fillId="3" borderId="1" xfId="0" applyNumberFormat="1" applyFont="1" applyFill="1" applyBorder="1" applyAlignment="1" applyProtection="1">
      <alignment horizontal="center" wrapText="1"/>
      <protection locked="0"/>
    </xf>
    <xf numFmtId="0" fontId="2" fillId="0" borderId="3" xfId="0" applyFont="1" applyFill="1" applyBorder="1" applyAlignment="1">
      <alignment horizontal="center" vertical="center" wrapText="1"/>
    </xf>
    <xf numFmtId="0" fontId="2" fillId="0" borderId="3"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3" xfId="0" applyFont="1" applyBorder="1" applyAlignment="1">
      <alignment horizontal="center" vertical="center"/>
    </xf>
    <xf numFmtId="0" fontId="10" fillId="0" borderId="3" xfId="1" applyFont="1" applyFill="1" applyBorder="1" applyAlignment="1">
      <alignment horizontal="center" vertical="center" wrapText="1"/>
    </xf>
    <xf numFmtId="0" fontId="2" fillId="0" borderId="11"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10" fillId="0" borderId="2" xfId="0" applyFont="1" applyFill="1" applyBorder="1" applyAlignment="1">
      <alignment horizontal="center" vertical="center" wrapText="1"/>
    </xf>
    <xf numFmtId="0" fontId="10" fillId="0" borderId="8"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5" borderId="7" xfId="0" applyFont="1" applyFill="1" applyBorder="1" applyAlignment="1">
      <alignment horizontal="center" vertical="center"/>
    </xf>
    <xf numFmtId="0" fontId="2" fillId="5" borderId="2" xfId="0" applyFont="1" applyFill="1" applyBorder="1" applyAlignment="1">
      <alignment horizontal="center" vertical="center"/>
    </xf>
    <xf numFmtId="0" fontId="2" fillId="0" borderId="7" xfId="0" applyFont="1" applyBorder="1" applyAlignment="1">
      <alignment horizontal="center" vertical="center"/>
    </xf>
    <xf numFmtId="0" fontId="2" fillId="0" borderId="2" xfId="0" applyFont="1" applyBorder="1" applyAlignment="1">
      <alignment horizontal="center" vertical="center"/>
    </xf>
    <xf numFmtId="0" fontId="2" fillId="0" borderId="8" xfId="0" applyFont="1" applyBorder="1" applyAlignment="1">
      <alignment horizontal="center" vertical="center"/>
    </xf>
    <xf numFmtId="0" fontId="0" fillId="0" borderId="11" xfId="0" applyFont="1" applyBorder="1" applyAlignment="1">
      <alignment horizontal="left" vertical="center"/>
    </xf>
    <xf numFmtId="0" fontId="0" fillId="0" borderId="6" xfId="0" applyFont="1" applyBorder="1" applyAlignment="1">
      <alignment horizontal="left" vertical="center"/>
    </xf>
    <xf numFmtId="0" fontId="0" fillId="0" borderId="11" xfId="0" applyFont="1" applyBorder="1" applyAlignment="1">
      <alignment horizontal="left" vertical="center" wrapText="1"/>
    </xf>
    <xf numFmtId="0" fontId="2" fillId="5" borderId="8" xfId="0" applyFont="1" applyFill="1" applyBorder="1" applyAlignment="1">
      <alignment horizontal="center" vertical="center"/>
    </xf>
    <xf numFmtId="0" fontId="2" fillId="0" borderId="6" xfId="0" applyFont="1" applyFill="1" applyBorder="1" applyAlignment="1">
      <alignment horizontal="center" vertical="center" wrapText="1"/>
    </xf>
    <xf numFmtId="0" fontId="8" fillId="4" borderId="1" xfId="0" applyFont="1" applyFill="1" applyBorder="1" applyAlignment="1" applyProtection="1">
      <alignment horizontal="center" wrapText="1"/>
      <protection locked="0"/>
    </xf>
    <xf numFmtId="0" fontId="3" fillId="0" borderId="1" xfId="0" applyFont="1" applyBorder="1" applyAlignment="1" applyProtection="1">
      <alignment horizontal="center"/>
      <protection locked="0"/>
    </xf>
    <xf numFmtId="0" fontId="8" fillId="3" borderId="1" xfId="0" applyFont="1" applyFill="1" applyBorder="1" applyAlignment="1" applyProtection="1">
      <alignment horizontal="center" wrapText="1"/>
    </xf>
    <xf numFmtId="0" fontId="8" fillId="8" borderId="1" xfId="0" applyFont="1" applyFill="1" applyBorder="1" applyAlignment="1" applyProtection="1">
      <alignment horizontal="center" wrapText="1"/>
      <protection locked="0"/>
    </xf>
    <xf numFmtId="0" fontId="21" fillId="3" borderId="1" xfId="0" applyFont="1" applyFill="1" applyBorder="1" applyAlignment="1" applyProtection="1">
      <alignment horizontal="center" wrapText="1"/>
      <protection locked="0"/>
    </xf>
    <xf numFmtId="0" fontId="8" fillId="4" borderId="3" xfId="0" applyFont="1" applyFill="1" applyBorder="1" applyAlignment="1" applyProtection="1">
      <alignment horizontal="center" wrapText="1"/>
      <protection locked="0"/>
    </xf>
    <xf numFmtId="0" fontId="8" fillId="4" borderId="4" xfId="0" applyFont="1" applyFill="1" applyBorder="1" applyAlignment="1" applyProtection="1">
      <alignment horizontal="center" wrapText="1"/>
      <protection locked="0"/>
    </xf>
    <xf numFmtId="0" fontId="8" fillId="4" borderId="5" xfId="0" applyFont="1" applyFill="1" applyBorder="1" applyAlignment="1" applyProtection="1">
      <alignment horizontal="center" wrapText="1"/>
      <protection locked="0"/>
    </xf>
    <xf numFmtId="0" fontId="18" fillId="3" borderId="4" xfId="0" quotePrefix="1" applyFont="1" applyFill="1" applyBorder="1" applyAlignment="1" applyProtection="1">
      <alignment horizontal="center" wrapText="1"/>
    </xf>
    <xf numFmtId="0" fontId="18" fillId="3" borderId="5" xfId="0" quotePrefix="1" applyFont="1" applyFill="1" applyBorder="1" applyAlignment="1" applyProtection="1">
      <alignment horizontal="center" wrapText="1"/>
    </xf>
    <xf numFmtId="0" fontId="2" fillId="0" borderId="11" xfId="0" applyFont="1" applyBorder="1" applyAlignment="1">
      <alignment horizontal="center" vertical="center"/>
    </xf>
    <xf numFmtId="0" fontId="2" fillId="0" borderId="6" xfId="0" applyFont="1" applyBorder="1" applyAlignment="1">
      <alignment horizontal="center" vertical="center"/>
    </xf>
    <xf numFmtId="0" fontId="2" fillId="0" borderId="12" xfId="0" applyFont="1" applyBorder="1" applyAlignment="1">
      <alignment horizontal="center" vertical="center"/>
    </xf>
    <xf numFmtId="0" fontId="10" fillId="5" borderId="11"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5" borderId="12" xfId="0" applyFont="1" applyFill="1" applyBorder="1" applyAlignment="1">
      <alignment horizontal="center" vertical="center" wrapText="1"/>
    </xf>
    <xf numFmtId="0" fontId="2" fillId="5" borderId="11"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12" xfId="0" applyFont="1" applyFill="1" applyBorder="1" applyAlignment="1">
      <alignment horizontal="center" vertical="center"/>
    </xf>
    <xf numFmtId="0" fontId="2" fillId="5" borderId="1" xfId="0" applyFont="1" applyFill="1" applyBorder="1" applyAlignment="1">
      <alignment horizontal="center" vertical="center" wrapText="1"/>
    </xf>
    <xf numFmtId="0" fontId="2" fillId="5" borderId="9" xfId="0" applyFont="1" applyFill="1" applyBorder="1" applyAlignment="1">
      <alignment horizontal="center" vertical="center"/>
    </xf>
    <xf numFmtId="0" fontId="2" fillId="5" borderId="0" xfId="0" applyFont="1" applyFill="1" applyAlignment="1">
      <alignment horizontal="center" vertical="center"/>
    </xf>
    <xf numFmtId="0" fontId="2" fillId="5" borderId="10" xfId="0" applyFont="1" applyFill="1" applyBorder="1" applyAlignment="1">
      <alignment horizontal="center" vertical="center"/>
    </xf>
    <xf numFmtId="0" fontId="2" fillId="5" borderId="3" xfId="0" applyFont="1" applyFill="1" applyBorder="1" applyAlignment="1">
      <alignment horizontal="center" vertical="center" wrapText="1"/>
    </xf>
    <xf numFmtId="0" fontId="44" fillId="2" borderId="1" xfId="3" applyFont="1" applyFill="1" applyBorder="1" applyAlignment="1" applyProtection="1">
      <alignment horizontal="center" vertical="center"/>
    </xf>
    <xf numFmtId="0" fontId="44" fillId="2" borderId="1" xfId="4" applyFont="1" applyFill="1" applyBorder="1" applyAlignment="1" applyProtection="1">
      <alignment horizontal="center" vertical="center"/>
    </xf>
    <xf numFmtId="0" fontId="25" fillId="14" borderId="0" xfId="3" applyFont="1" applyFill="1" applyAlignment="1" applyProtection="1">
      <alignment horizontal="center" vertical="center"/>
    </xf>
    <xf numFmtId="0" fontId="43" fillId="5" borderId="0" xfId="3" applyFont="1" applyFill="1" applyAlignment="1" applyProtection="1">
      <alignment horizontal="center" vertical="center"/>
    </xf>
    <xf numFmtId="0" fontId="44" fillId="5" borderId="0" xfId="3" applyFont="1" applyFill="1" applyBorder="1" applyAlignment="1" applyProtection="1">
      <alignment horizontal="center" vertical="center"/>
    </xf>
    <xf numFmtId="0" fontId="25" fillId="3" borderId="0" xfId="3" applyFont="1" applyFill="1" applyAlignment="1" applyProtection="1">
      <alignment horizontal="center" vertical="center"/>
    </xf>
    <xf numFmtId="0" fontId="25" fillId="13" borderId="0" xfId="3" applyFont="1" applyFill="1" applyAlignment="1" applyProtection="1">
      <alignment horizontal="center" vertical="center"/>
    </xf>
    <xf numFmtId="0" fontId="2" fillId="18" borderId="50" xfId="0" applyFont="1" applyFill="1" applyBorder="1" applyAlignment="1">
      <alignment horizontal="center" vertical="center" wrapText="1"/>
    </xf>
    <xf numFmtId="0" fontId="2" fillId="18" borderId="52" xfId="0" applyFont="1" applyFill="1" applyBorder="1" applyAlignment="1">
      <alignment horizontal="center" vertical="center" wrapText="1"/>
    </xf>
    <xf numFmtId="0" fontId="2" fillId="16" borderId="50" xfId="0" applyFont="1" applyFill="1" applyBorder="1" applyAlignment="1">
      <alignment horizontal="center" vertical="center" wrapText="1"/>
    </xf>
    <xf numFmtId="0" fontId="2" fillId="16" borderId="51" xfId="0" applyFont="1" applyFill="1" applyBorder="1" applyAlignment="1">
      <alignment horizontal="center" vertical="center" wrapText="1"/>
    </xf>
    <xf numFmtId="0" fontId="2" fillId="16" borderId="52" xfId="0" applyFont="1" applyFill="1" applyBorder="1" applyAlignment="1">
      <alignment horizontal="center" vertical="center" wrapText="1"/>
    </xf>
    <xf numFmtId="0" fontId="2" fillId="17" borderId="50" xfId="0" applyFont="1" applyFill="1" applyBorder="1" applyAlignment="1">
      <alignment horizontal="center" vertical="center" wrapText="1"/>
    </xf>
    <xf numFmtId="0" fontId="2" fillId="17" borderId="51" xfId="0" applyFont="1" applyFill="1" applyBorder="1" applyAlignment="1">
      <alignment horizontal="center" vertical="center" wrapText="1"/>
    </xf>
    <xf numFmtId="0" fontId="2" fillId="17" borderId="52" xfId="0" applyFont="1" applyFill="1" applyBorder="1" applyAlignment="1">
      <alignment horizontal="center" vertical="center" wrapText="1"/>
    </xf>
    <xf numFmtId="0" fontId="2" fillId="2" borderId="42" xfId="0" applyFont="1" applyFill="1" applyBorder="1" applyAlignment="1">
      <alignment horizontal="center"/>
    </xf>
    <xf numFmtId="0" fontId="2" fillId="2" borderId="43" xfId="0" applyFont="1" applyFill="1" applyBorder="1" applyAlignment="1">
      <alignment horizontal="center"/>
    </xf>
    <xf numFmtId="0" fontId="2" fillId="2" borderId="44" xfId="0" applyFont="1" applyFill="1" applyBorder="1" applyAlignment="1">
      <alignment horizontal="center"/>
    </xf>
    <xf numFmtId="0" fontId="2" fillId="2" borderId="45" xfId="0" applyFont="1" applyFill="1" applyBorder="1" applyAlignment="1">
      <alignment horizontal="center"/>
    </xf>
    <xf numFmtId="0" fontId="2" fillId="2" borderId="46" xfId="0" applyFont="1" applyFill="1" applyBorder="1" applyAlignment="1">
      <alignment horizontal="center"/>
    </xf>
    <xf numFmtId="0" fontId="2" fillId="2" borderId="47" xfId="0" applyFont="1" applyFill="1" applyBorder="1" applyAlignment="1">
      <alignment horizontal="center"/>
    </xf>
  </cellXfs>
  <cellStyles count="5">
    <cellStyle name="Normal" xfId="0" builtinId="0"/>
    <cellStyle name="Normal 2" xfId="1" xr:uid="{00000000-0005-0000-0000-000002000000}"/>
    <cellStyle name="Normal 3" xfId="2" xr:uid="{A0C75230-90F0-49AB-8513-7AE87C653598}"/>
    <cellStyle name="Normal 4" xfId="3" xr:uid="{D2934C52-3763-45FE-8FF1-ADFFA9288503}"/>
    <cellStyle name="Normal 5" xfId="4" xr:uid="{CD1CA04B-D5B4-4FD3-ADAD-1520DD68DC7A}"/>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6600"/>
        </patternFill>
      </fill>
    </dxf>
    <dxf>
      <fill>
        <patternFill>
          <bgColor rgb="FFFFC000"/>
        </patternFill>
      </fill>
    </dxf>
    <dxf>
      <font>
        <b/>
        <i val="0"/>
        <color rgb="FFFF00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6600"/>
      <color rgb="FF003883"/>
      <color rgb="FF58A5D7"/>
      <color rgb="FF007088"/>
      <color rgb="FF0000F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OTP_conf_summary!$H$21</c:f>
              <c:strCache>
                <c:ptCount val="1"/>
                <c:pt idx="0">
                  <c:v>VSUP</c:v>
                </c:pt>
              </c:strCache>
            </c:strRef>
          </c:tx>
          <c:spPr>
            <a:ln w="19050" cap="rnd">
              <a:solidFill>
                <a:schemeClr val="accent1"/>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OTP_conf_summary!$H$22:$H$361</c:f>
              <c:numCache>
                <c:formatCode>0.00</c:formatCode>
                <c:ptCount val="340"/>
                <c:pt idx="0">
                  <c:v>0</c:v>
                </c:pt>
                <c:pt idx="1">
                  <c:v>2.4500000000000002</c:v>
                </c:pt>
                <c:pt idx="2">
                  <c:v>4.9000000000000004</c:v>
                </c:pt>
                <c:pt idx="3">
                  <c:v>7.3500000000000005</c:v>
                </c:pt>
                <c:pt idx="4">
                  <c:v>9.8000000000000007</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12</c:v>
                </c:pt>
                <c:pt idx="253">
                  <c:v>12</c:v>
                </c:pt>
                <c:pt idx="254">
                  <c:v>12</c:v>
                </c:pt>
                <c:pt idx="255">
                  <c:v>12</c:v>
                </c:pt>
                <c:pt idx="256">
                  <c:v>12</c:v>
                </c:pt>
                <c:pt idx="257">
                  <c:v>12</c:v>
                </c:pt>
                <c:pt idx="258">
                  <c:v>12</c:v>
                </c:pt>
                <c:pt idx="259">
                  <c:v>12</c:v>
                </c:pt>
                <c:pt idx="260">
                  <c:v>12</c:v>
                </c:pt>
                <c:pt idx="261">
                  <c:v>12</c:v>
                </c:pt>
                <c:pt idx="262">
                  <c:v>12</c:v>
                </c:pt>
                <c:pt idx="263">
                  <c:v>12</c:v>
                </c:pt>
                <c:pt idx="264">
                  <c:v>12</c:v>
                </c:pt>
                <c:pt idx="265">
                  <c:v>12</c:v>
                </c:pt>
                <c:pt idx="266">
                  <c:v>12</c:v>
                </c:pt>
                <c:pt idx="267">
                  <c:v>12</c:v>
                </c:pt>
                <c:pt idx="268">
                  <c:v>12</c:v>
                </c:pt>
                <c:pt idx="269">
                  <c:v>12</c:v>
                </c:pt>
                <c:pt idx="270">
                  <c:v>12</c:v>
                </c:pt>
                <c:pt idx="271">
                  <c:v>12</c:v>
                </c:pt>
                <c:pt idx="272">
                  <c:v>12</c:v>
                </c:pt>
                <c:pt idx="273">
                  <c:v>12</c:v>
                </c:pt>
                <c:pt idx="274">
                  <c:v>12</c:v>
                </c:pt>
                <c:pt idx="275">
                  <c:v>12</c:v>
                </c:pt>
                <c:pt idx="276">
                  <c:v>12</c:v>
                </c:pt>
                <c:pt idx="277">
                  <c:v>12</c:v>
                </c:pt>
                <c:pt idx="278">
                  <c:v>12</c:v>
                </c:pt>
                <c:pt idx="279">
                  <c:v>12</c:v>
                </c:pt>
                <c:pt idx="280">
                  <c:v>12</c:v>
                </c:pt>
                <c:pt idx="281">
                  <c:v>12</c:v>
                </c:pt>
                <c:pt idx="282">
                  <c:v>12</c:v>
                </c:pt>
                <c:pt idx="283">
                  <c:v>12</c:v>
                </c:pt>
                <c:pt idx="284">
                  <c:v>12</c:v>
                </c:pt>
                <c:pt idx="285">
                  <c:v>12</c:v>
                </c:pt>
                <c:pt idx="286">
                  <c:v>12</c:v>
                </c:pt>
                <c:pt idx="287">
                  <c:v>12</c:v>
                </c:pt>
                <c:pt idx="288">
                  <c:v>12</c:v>
                </c:pt>
                <c:pt idx="289">
                  <c:v>12</c:v>
                </c:pt>
                <c:pt idx="290">
                  <c:v>12</c:v>
                </c:pt>
                <c:pt idx="291">
                  <c:v>12</c:v>
                </c:pt>
                <c:pt idx="292">
                  <c:v>12</c:v>
                </c:pt>
                <c:pt idx="293">
                  <c:v>12</c:v>
                </c:pt>
                <c:pt idx="294">
                  <c:v>12</c:v>
                </c:pt>
                <c:pt idx="295">
                  <c:v>12</c:v>
                </c:pt>
                <c:pt idx="296">
                  <c:v>12</c:v>
                </c:pt>
                <c:pt idx="297">
                  <c:v>12</c:v>
                </c:pt>
                <c:pt idx="298">
                  <c:v>12</c:v>
                </c:pt>
                <c:pt idx="299">
                  <c:v>12</c:v>
                </c:pt>
                <c:pt idx="300">
                  <c:v>12</c:v>
                </c:pt>
                <c:pt idx="301">
                  <c:v>12</c:v>
                </c:pt>
                <c:pt idx="302">
                  <c:v>12</c:v>
                </c:pt>
                <c:pt idx="303">
                  <c:v>12</c:v>
                </c:pt>
                <c:pt idx="304">
                  <c:v>12</c:v>
                </c:pt>
                <c:pt idx="305">
                  <c:v>12</c:v>
                </c:pt>
                <c:pt idx="306">
                  <c:v>12</c:v>
                </c:pt>
                <c:pt idx="307">
                  <c:v>12</c:v>
                </c:pt>
                <c:pt idx="308">
                  <c:v>12</c:v>
                </c:pt>
                <c:pt idx="309">
                  <c:v>12</c:v>
                </c:pt>
                <c:pt idx="310">
                  <c:v>12</c:v>
                </c:pt>
                <c:pt idx="311">
                  <c:v>12</c:v>
                </c:pt>
                <c:pt idx="312">
                  <c:v>12</c:v>
                </c:pt>
                <c:pt idx="313">
                  <c:v>12</c:v>
                </c:pt>
                <c:pt idx="314">
                  <c:v>12</c:v>
                </c:pt>
                <c:pt idx="315">
                  <c:v>12</c:v>
                </c:pt>
                <c:pt idx="316">
                  <c:v>12</c:v>
                </c:pt>
                <c:pt idx="317">
                  <c:v>12</c:v>
                </c:pt>
                <c:pt idx="318">
                  <c:v>12</c:v>
                </c:pt>
                <c:pt idx="319">
                  <c:v>12</c:v>
                </c:pt>
                <c:pt idx="320">
                  <c:v>12</c:v>
                </c:pt>
                <c:pt idx="321">
                  <c:v>12</c:v>
                </c:pt>
                <c:pt idx="322">
                  <c:v>12</c:v>
                </c:pt>
                <c:pt idx="323">
                  <c:v>12</c:v>
                </c:pt>
                <c:pt idx="324">
                  <c:v>12</c:v>
                </c:pt>
                <c:pt idx="325">
                  <c:v>12</c:v>
                </c:pt>
                <c:pt idx="326">
                  <c:v>12</c:v>
                </c:pt>
                <c:pt idx="327">
                  <c:v>12</c:v>
                </c:pt>
                <c:pt idx="328">
                  <c:v>12</c:v>
                </c:pt>
                <c:pt idx="329">
                  <c:v>12</c:v>
                </c:pt>
                <c:pt idx="330">
                  <c:v>12</c:v>
                </c:pt>
                <c:pt idx="331">
                  <c:v>12</c:v>
                </c:pt>
                <c:pt idx="332">
                  <c:v>12</c:v>
                </c:pt>
                <c:pt idx="333">
                  <c:v>12</c:v>
                </c:pt>
                <c:pt idx="334">
                  <c:v>12</c:v>
                </c:pt>
                <c:pt idx="335">
                  <c:v>12</c:v>
                </c:pt>
                <c:pt idx="336">
                  <c:v>12</c:v>
                </c:pt>
                <c:pt idx="337">
                  <c:v>12</c:v>
                </c:pt>
                <c:pt idx="338">
                  <c:v>12</c:v>
                </c:pt>
                <c:pt idx="339">
                  <c:v>12</c:v>
                </c:pt>
              </c:numCache>
            </c:numRef>
          </c:yVal>
          <c:smooth val="0"/>
          <c:extLst>
            <c:ext xmlns:c16="http://schemas.microsoft.com/office/drawing/2014/chart" uri="{C3380CC4-5D6E-409C-BE32-E72D297353CC}">
              <c16:uniqueId val="{00000000-4467-47D2-80E1-056DA352D68C}"/>
            </c:ext>
          </c:extLst>
        </c:ser>
        <c:ser>
          <c:idx val="8"/>
          <c:order val="1"/>
          <c:tx>
            <c:strRef>
              <c:f>OTP_conf_summary!$I$21</c:f>
              <c:strCache>
                <c:ptCount val="1"/>
                <c:pt idx="0">
                  <c:v>VBOS</c:v>
                </c:pt>
              </c:strCache>
            </c:strRef>
          </c:tx>
          <c:spPr>
            <a:ln w="19050" cap="rnd">
              <a:solidFill>
                <a:schemeClr val="accent3">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OTP_conf_summary!$I$22:$I$361</c:f>
              <c:numCache>
                <c:formatCode>0.00</c:formatCode>
                <c:ptCount val="340"/>
                <c:pt idx="0">
                  <c:v>0</c:v>
                </c:pt>
                <c:pt idx="1">
                  <c:v>0</c:v>
                </c:pt>
                <c:pt idx="2">
                  <c:v>0.24285714285714283</c:v>
                </c:pt>
                <c:pt idx="3">
                  <c:v>0.48571428571428565</c:v>
                </c:pt>
                <c:pt idx="4">
                  <c:v>0.72857142857142843</c:v>
                </c:pt>
                <c:pt idx="5">
                  <c:v>0.97142857142857131</c:v>
                </c:pt>
                <c:pt idx="6">
                  <c:v>1.2142857142857142</c:v>
                </c:pt>
                <c:pt idx="7">
                  <c:v>1.4571428571428571</c:v>
                </c:pt>
                <c:pt idx="8">
                  <c:v>1.7</c:v>
                </c:pt>
                <c:pt idx="9">
                  <c:v>1.9428571428571428</c:v>
                </c:pt>
                <c:pt idx="10">
                  <c:v>2.1857142857142855</c:v>
                </c:pt>
                <c:pt idx="11">
                  <c:v>2.4285714285714284</c:v>
                </c:pt>
                <c:pt idx="12">
                  <c:v>2.6714285714285713</c:v>
                </c:pt>
                <c:pt idx="13">
                  <c:v>2.9142857142857141</c:v>
                </c:pt>
                <c:pt idx="14">
                  <c:v>3.157142857142857</c:v>
                </c:pt>
                <c:pt idx="15">
                  <c:v>3.4</c:v>
                </c:pt>
                <c:pt idx="16">
                  <c:v>3.6428571428571428</c:v>
                </c:pt>
                <c:pt idx="17">
                  <c:v>3.8857142857142857</c:v>
                </c:pt>
                <c:pt idx="18">
                  <c:v>4.1285714285714281</c:v>
                </c:pt>
                <c:pt idx="19">
                  <c:v>4.371428571428571</c:v>
                </c:pt>
                <c:pt idx="20">
                  <c:v>4.6142857142857139</c:v>
                </c:pt>
                <c:pt idx="21">
                  <c:v>4.8571428571428568</c:v>
                </c:pt>
                <c:pt idx="22">
                  <c:v>5.0999999999999996</c:v>
                </c:pt>
                <c:pt idx="23">
                  <c:v>5.0999999999999996</c:v>
                </c:pt>
                <c:pt idx="24">
                  <c:v>5.0999999999999996</c:v>
                </c:pt>
                <c:pt idx="25">
                  <c:v>5.0999999999999996</c:v>
                </c:pt>
                <c:pt idx="26">
                  <c:v>5.0999999999999996</c:v>
                </c:pt>
                <c:pt idx="27">
                  <c:v>5.0999999999999996</c:v>
                </c:pt>
                <c:pt idx="28">
                  <c:v>5.0999999999999996</c:v>
                </c:pt>
                <c:pt idx="29">
                  <c:v>5.0999999999999996</c:v>
                </c:pt>
                <c:pt idx="30">
                  <c:v>5.0999999999999996</c:v>
                </c:pt>
                <c:pt idx="31">
                  <c:v>5.0999999999999996</c:v>
                </c:pt>
                <c:pt idx="32">
                  <c:v>5.0999999999999996</c:v>
                </c:pt>
                <c:pt idx="33">
                  <c:v>5.0999999999999996</c:v>
                </c:pt>
                <c:pt idx="34">
                  <c:v>5.0999999999999996</c:v>
                </c:pt>
                <c:pt idx="35">
                  <c:v>5.0999999999999996</c:v>
                </c:pt>
                <c:pt idx="36">
                  <c:v>5.0999999999999996</c:v>
                </c:pt>
                <c:pt idx="37">
                  <c:v>5.0999999999999996</c:v>
                </c:pt>
                <c:pt idx="38">
                  <c:v>5.0999999999999996</c:v>
                </c:pt>
                <c:pt idx="39">
                  <c:v>5.0999999999999996</c:v>
                </c:pt>
                <c:pt idx="40">
                  <c:v>5.0999999999999996</c:v>
                </c:pt>
                <c:pt idx="41">
                  <c:v>5.0999999999999996</c:v>
                </c:pt>
                <c:pt idx="42">
                  <c:v>5.0999999999999996</c:v>
                </c:pt>
                <c:pt idx="43">
                  <c:v>5.0999999999999996</c:v>
                </c:pt>
                <c:pt idx="44">
                  <c:v>5.0999999999999996</c:v>
                </c:pt>
                <c:pt idx="45">
                  <c:v>5.0999999999999996</c:v>
                </c:pt>
                <c:pt idx="46">
                  <c:v>5.0999999999999996</c:v>
                </c:pt>
                <c:pt idx="47">
                  <c:v>5.0999999999999996</c:v>
                </c:pt>
                <c:pt idx="48">
                  <c:v>5.0999999999999996</c:v>
                </c:pt>
                <c:pt idx="49">
                  <c:v>5.0999999999999996</c:v>
                </c:pt>
                <c:pt idx="50">
                  <c:v>5.0999999999999996</c:v>
                </c:pt>
                <c:pt idx="51">
                  <c:v>5.0999999999999996</c:v>
                </c:pt>
                <c:pt idx="52">
                  <c:v>5.0999999999999996</c:v>
                </c:pt>
                <c:pt idx="53">
                  <c:v>5.0999999999999996</c:v>
                </c:pt>
                <c:pt idx="54">
                  <c:v>5.0999999999999996</c:v>
                </c:pt>
                <c:pt idx="55">
                  <c:v>5.0999999999999996</c:v>
                </c:pt>
                <c:pt idx="56">
                  <c:v>5.0999999999999996</c:v>
                </c:pt>
                <c:pt idx="57">
                  <c:v>5.0999999999999996</c:v>
                </c:pt>
                <c:pt idx="58">
                  <c:v>5.0999999999999996</c:v>
                </c:pt>
                <c:pt idx="59">
                  <c:v>5.0999999999999996</c:v>
                </c:pt>
                <c:pt idx="60">
                  <c:v>5.0999999999999996</c:v>
                </c:pt>
                <c:pt idx="61">
                  <c:v>5.0999999999999996</c:v>
                </c:pt>
                <c:pt idx="62">
                  <c:v>5.0999999999999996</c:v>
                </c:pt>
                <c:pt idx="63">
                  <c:v>5.0999999999999996</c:v>
                </c:pt>
                <c:pt idx="64">
                  <c:v>5.0999999999999996</c:v>
                </c:pt>
                <c:pt idx="65">
                  <c:v>5.0999999999999996</c:v>
                </c:pt>
                <c:pt idx="66">
                  <c:v>5.0999999999999996</c:v>
                </c:pt>
                <c:pt idx="67">
                  <c:v>5.0999999999999996</c:v>
                </c:pt>
                <c:pt idx="68">
                  <c:v>5.0999999999999996</c:v>
                </c:pt>
                <c:pt idx="69">
                  <c:v>5.0999999999999996</c:v>
                </c:pt>
                <c:pt idx="70">
                  <c:v>5.0999999999999996</c:v>
                </c:pt>
                <c:pt idx="71">
                  <c:v>5.0999999999999996</c:v>
                </c:pt>
                <c:pt idx="72">
                  <c:v>5.0999999999999996</c:v>
                </c:pt>
                <c:pt idx="73">
                  <c:v>5.0999999999999996</c:v>
                </c:pt>
                <c:pt idx="74">
                  <c:v>5.0999999999999996</c:v>
                </c:pt>
                <c:pt idx="75">
                  <c:v>5.0999999999999996</c:v>
                </c:pt>
                <c:pt idx="76">
                  <c:v>5.0999999999999996</c:v>
                </c:pt>
                <c:pt idx="77">
                  <c:v>5.0999999999999996</c:v>
                </c:pt>
                <c:pt idx="78">
                  <c:v>5.0999999999999996</c:v>
                </c:pt>
                <c:pt idx="79">
                  <c:v>5.0999999999999996</c:v>
                </c:pt>
                <c:pt idx="80">
                  <c:v>5.0999999999999996</c:v>
                </c:pt>
                <c:pt idx="81">
                  <c:v>5.0999999999999996</c:v>
                </c:pt>
                <c:pt idx="82">
                  <c:v>5.0999999999999996</c:v>
                </c:pt>
                <c:pt idx="83">
                  <c:v>5.0999999999999996</c:v>
                </c:pt>
                <c:pt idx="84">
                  <c:v>5.0999999999999996</c:v>
                </c:pt>
                <c:pt idx="85">
                  <c:v>5.0999999999999996</c:v>
                </c:pt>
                <c:pt idx="86">
                  <c:v>5.0999999999999996</c:v>
                </c:pt>
                <c:pt idx="87">
                  <c:v>5.0999999999999996</c:v>
                </c:pt>
                <c:pt idx="88">
                  <c:v>5.0999999999999996</c:v>
                </c:pt>
                <c:pt idx="89">
                  <c:v>5.0999999999999996</c:v>
                </c:pt>
                <c:pt idx="90">
                  <c:v>5.0999999999999996</c:v>
                </c:pt>
                <c:pt idx="91">
                  <c:v>5.0999999999999996</c:v>
                </c:pt>
                <c:pt idx="92">
                  <c:v>5.0999999999999996</c:v>
                </c:pt>
                <c:pt idx="93">
                  <c:v>5.0999999999999996</c:v>
                </c:pt>
                <c:pt idx="94">
                  <c:v>5.0999999999999996</c:v>
                </c:pt>
                <c:pt idx="95">
                  <c:v>5.0999999999999996</c:v>
                </c:pt>
                <c:pt idx="96">
                  <c:v>5.0999999999999996</c:v>
                </c:pt>
                <c:pt idx="97">
                  <c:v>5.0999999999999996</c:v>
                </c:pt>
                <c:pt idx="98">
                  <c:v>5.0999999999999996</c:v>
                </c:pt>
                <c:pt idx="99">
                  <c:v>5.0999999999999996</c:v>
                </c:pt>
                <c:pt idx="100">
                  <c:v>5.0999999999999996</c:v>
                </c:pt>
                <c:pt idx="101">
                  <c:v>5.0999999999999996</c:v>
                </c:pt>
                <c:pt idx="102">
                  <c:v>5.0999999999999996</c:v>
                </c:pt>
                <c:pt idx="103">
                  <c:v>5.0999999999999996</c:v>
                </c:pt>
                <c:pt idx="104">
                  <c:v>5.0999999999999996</c:v>
                </c:pt>
                <c:pt idx="105">
                  <c:v>5.0999999999999996</c:v>
                </c:pt>
                <c:pt idx="106">
                  <c:v>5.0999999999999996</c:v>
                </c:pt>
                <c:pt idx="107">
                  <c:v>5.0999999999999996</c:v>
                </c:pt>
                <c:pt idx="108">
                  <c:v>5.0999999999999996</c:v>
                </c:pt>
                <c:pt idx="109">
                  <c:v>5.0999999999999996</c:v>
                </c:pt>
                <c:pt idx="110">
                  <c:v>5.0999999999999996</c:v>
                </c:pt>
                <c:pt idx="111">
                  <c:v>5.0999999999999996</c:v>
                </c:pt>
                <c:pt idx="112">
                  <c:v>5.0999999999999996</c:v>
                </c:pt>
                <c:pt idx="113">
                  <c:v>5.0999999999999996</c:v>
                </c:pt>
                <c:pt idx="114">
                  <c:v>5.0999999999999996</c:v>
                </c:pt>
                <c:pt idx="115">
                  <c:v>5.0999999999999996</c:v>
                </c:pt>
                <c:pt idx="116">
                  <c:v>5.0999999999999996</c:v>
                </c:pt>
                <c:pt idx="117">
                  <c:v>5.0999999999999996</c:v>
                </c:pt>
                <c:pt idx="118">
                  <c:v>5.0999999999999996</c:v>
                </c:pt>
                <c:pt idx="119">
                  <c:v>5.0999999999999996</c:v>
                </c:pt>
                <c:pt idx="120">
                  <c:v>5.0999999999999996</c:v>
                </c:pt>
                <c:pt idx="121">
                  <c:v>5.0999999999999996</c:v>
                </c:pt>
                <c:pt idx="122">
                  <c:v>5.0999999999999996</c:v>
                </c:pt>
                <c:pt idx="123">
                  <c:v>5.0999999999999996</c:v>
                </c:pt>
                <c:pt idx="124">
                  <c:v>5.0999999999999996</c:v>
                </c:pt>
                <c:pt idx="125">
                  <c:v>5.0999999999999996</c:v>
                </c:pt>
                <c:pt idx="126">
                  <c:v>5.0999999999999996</c:v>
                </c:pt>
                <c:pt idx="127">
                  <c:v>5.0999999999999996</c:v>
                </c:pt>
                <c:pt idx="128">
                  <c:v>5.0999999999999996</c:v>
                </c:pt>
                <c:pt idx="129">
                  <c:v>5.0999999999999996</c:v>
                </c:pt>
                <c:pt idx="130">
                  <c:v>5.0999999999999996</c:v>
                </c:pt>
                <c:pt idx="131">
                  <c:v>5.0999999999999996</c:v>
                </c:pt>
                <c:pt idx="132">
                  <c:v>5.0999999999999996</c:v>
                </c:pt>
                <c:pt idx="133">
                  <c:v>5.0999999999999996</c:v>
                </c:pt>
                <c:pt idx="134">
                  <c:v>5.0999999999999996</c:v>
                </c:pt>
                <c:pt idx="135">
                  <c:v>5.0999999999999996</c:v>
                </c:pt>
                <c:pt idx="136">
                  <c:v>5.0999999999999996</c:v>
                </c:pt>
                <c:pt idx="137">
                  <c:v>5.0999999999999996</c:v>
                </c:pt>
                <c:pt idx="138">
                  <c:v>5.0999999999999996</c:v>
                </c:pt>
                <c:pt idx="139">
                  <c:v>5.0999999999999996</c:v>
                </c:pt>
                <c:pt idx="140">
                  <c:v>5.0999999999999996</c:v>
                </c:pt>
                <c:pt idx="141">
                  <c:v>5.0999999999999996</c:v>
                </c:pt>
                <c:pt idx="142">
                  <c:v>5.0999999999999996</c:v>
                </c:pt>
                <c:pt idx="143">
                  <c:v>5.0999999999999996</c:v>
                </c:pt>
                <c:pt idx="144">
                  <c:v>5.0999999999999996</c:v>
                </c:pt>
                <c:pt idx="145">
                  <c:v>5.0999999999999996</c:v>
                </c:pt>
                <c:pt idx="146">
                  <c:v>5.0999999999999996</c:v>
                </c:pt>
                <c:pt idx="147">
                  <c:v>5.0999999999999996</c:v>
                </c:pt>
                <c:pt idx="148">
                  <c:v>5.0999999999999996</c:v>
                </c:pt>
                <c:pt idx="149">
                  <c:v>5.0999999999999996</c:v>
                </c:pt>
                <c:pt idx="150">
                  <c:v>5.0999999999999996</c:v>
                </c:pt>
                <c:pt idx="151">
                  <c:v>5.0999999999999996</c:v>
                </c:pt>
                <c:pt idx="152">
                  <c:v>5.0999999999999996</c:v>
                </c:pt>
                <c:pt idx="153">
                  <c:v>5.0999999999999996</c:v>
                </c:pt>
                <c:pt idx="154">
                  <c:v>5.0999999999999996</c:v>
                </c:pt>
                <c:pt idx="155">
                  <c:v>5.0999999999999996</c:v>
                </c:pt>
                <c:pt idx="156">
                  <c:v>5.0999999999999996</c:v>
                </c:pt>
                <c:pt idx="157">
                  <c:v>5.0999999999999996</c:v>
                </c:pt>
                <c:pt idx="158">
                  <c:v>5.0999999999999996</c:v>
                </c:pt>
                <c:pt idx="159">
                  <c:v>5.0999999999999996</c:v>
                </c:pt>
                <c:pt idx="160">
                  <c:v>5.0999999999999996</c:v>
                </c:pt>
                <c:pt idx="161">
                  <c:v>5.0999999999999996</c:v>
                </c:pt>
                <c:pt idx="162">
                  <c:v>5.0999999999999996</c:v>
                </c:pt>
                <c:pt idx="163">
                  <c:v>5.0999999999999996</c:v>
                </c:pt>
                <c:pt idx="164">
                  <c:v>5.0999999999999996</c:v>
                </c:pt>
                <c:pt idx="165">
                  <c:v>5.0999999999999996</c:v>
                </c:pt>
                <c:pt idx="166">
                  <c:v>5.0999999999999996</c:v>
                </c:pt>
                <c:pt idx="167">
                  <c:v>5.0999999999999996</c:v>
                </c:pt>
                <c:pt idx="168">
                  <c:v>5.0999999999999996</c:v>
                </c:pt>
                <c:pt idx="169">
                  <c:v>5.0999999999999996</c:v>
                </c:pt>
                <c:pt idx="170">
                  <c:v>5.0999999999999996</c:v>
                </c:pt>
                <c:pt idx="171">
                  <c:v>5.0999999999999996</c:v>
                </c:pt>
                <c:pt idx="172">
                  <c:v>5.0999999999999996</c:v>
                </c:pt>
                <c:pt idx="173">
                  <c:v>5.0999999999999996</c:v>
                </c:pt>
                <c:pt idx="174">
                  <c:v>5.0999999999999996</c:v>
                </c:pt>
                <c:pt idx="175">
                  <c:v>5.0999999999999996</c:v>
                </c:pt>
                <c:pt idx="176">
                  <c:v>5.0999999999999996</c:v>
                </c:pt>
                <c:pt idx="177">
                  <c:v>5.0999999999999996</c:v>
                </c:pt>
                <c:pt idx="178">
                  <c:v>5.0999999999999996</c:v>
                </c:pt>
                <c:pt idx="179">
                  <c:v>5.0999999999999996</c:v>
                </c:pt>
                <c:pt idx="180">
                  <c:v>5.0999999999999996</c:v>
                </c:pt>
                <c:pt idx="181">
                  <c:v>5.0999999999999996</c:v>
                </c:pt>
                <c:pt idx="182">
                  <c:v>5.0999999999999996</c:v>
                </c:pt>
                <c:pt idx="183">
                  <c:v>5.0999999999999996</c:v>
                </c:pt>
                <c:pt idx="184">
                  <c:v>5.0999999999999996</c:v>
                </c:pt>
                <c:pt idx="185">
                  <c:v>5.0999999999999996</c:v>
                </c:pt>
                <c:pt idx="186">
                  <c:v>5.0999999999999996</c:v>
                </c:pt>
                <c:pt idx="187">
                  <c:v>5.0999999999999996</c:v>
                </c:pt>
                <c:pt idx="188">
                  <c:v>5.0999999999999996</c:v>
                </c:pt>
                <c:pt idx="189">
                  <c:v>5.0999999999999996</c:v>
                </c:pt>
                <c:pt idx="190">
                  <c:v>5.0999999999999996</c:v>
                </c:pt>
                <c:pt idx="191">
                  <c:v>5.0999999999999996</c:v>
                </c:pt>
                <c:pt idx="192">
                  <c:v>5.0999999999999996</c:v>
                </c:pt>
                <c:pt idx="193">
                  <c:v>5.0999999999999996</c:v>
                </c:pt>
                <c:pt idx="194">
                  <c:v>5.0999999999999996</c:v>
                </c:pt>
                <c:pt idx="195">
                  <c:v>5.0999999999999996</c:v>
                </c:pt>
                <c:pt idx="196">
                  <c:v>5.0999999999999996</c:v>
                </c:pt>
                <c:pt idx="197">
                  <c:v>5.0999999999999996</c:v>
                </c:pt>
                <c:pt idx="198">
                  <c:v>5.0999999999999996</c:v>
                </c:pt>
                <c:pt idx="199">
                  <c:v>5.0999999999999996</c:v>
                </c:pt>
                <c:pt idx="200">
                  <c:v>5.0999999999999996</c:v>
                </c:pt>
                <c:pt idx="201">
                  <c:v>5.0999999999999996</c:v>
                </c:pt>
                <c:pt idx="202">
                  <c:v>5.0999999999999996</c:v>
                </c:pt>
                <c:pt idx="203">
                  <c:v>5.0999999999999996</c:v>
                </c:pt>
                <c:pt idx="204">
                  <c:v>5.0999999999999996</c:v>
                </c:pt>
                <c:pt idx="205">
                  <c:v>5.0999999999999996</c:v>
                </c:pt>
                <c:pt idx="206">
                  <c:v>5.0999999999999996</c:v>
                </c:pt>
                <c:pt idx="207">
                  <c:v>5.0999999999999996</c:v>
                </c:pt>
                <c:pt idx="208">
                  <c:v>5.0999999999999996</c:v>
                </c:pt>
                <c:pt idx="209">
                  <c:v>5.0999999999999996</c:v>
                </c:pt>
                <c:pt idx="210">
                  <c:v>5.0999999999999996</c:v>
                </c:pt>
                <c:pt idx="211">
                  <c:v>5.0999999999999996</c:v>
                </c:pt>
                <c:pt idx="212">
                  <c:v>5.0999999999999996</c:v>
                </c:pt>
                <c:pt idx="213">
                  <c:v>5.0999999999999996</c:v>
                </c:pt>
                <c:pt idx="214">
                  <c:v>5.0999999999999996</c:v>
                </c:pt>
                <c:pt idx="215">
                  <c:v>5.0999999999999996</c:v>
                </c:pt>
                <c:pt idx="216">
                  <c:v>5.0999999999999996</c:v>
                </c:pt>
                <c:pt idx="217">
                  <c:v>5.0999999999999996</c:v>
                </c:pt>
                <c:pt idx="218">
                  <c:v>5.0999999999999996</c:v>
                </c:pt>
                <c:pt idx="219">
                  <c:v>5.0999999999999996</c:v>
                </c:pt>
                <c:pt idx="220">
                  <c:v>5.0999999999999996</c:v>
                </c:pt>
                <c:pt idx="221">
                  <c:v>5.0999999999999996</c:v>
                </c:pt>
                <c:pt idx="222">
                  <c:v>5.0999999999999996</c:v>
                </c:pt>
                <c:pt idx="223">
                  <c:v>5.0999999999999996</c:v>
                </c:pt>
                <c:pt idx="224">
                  <c:v>5.0999999999999996</c:v>
                </c:pt>
                <c:pt idx="225">
                  <c:v>5.0999999999999996</c:v>
                </c:pt>
                <c:pt idx="226">
                  <c:v>5.0999999999999996</c:v>
                </c:pt>
                <c:pt idx="227">
                  <c:v>5.0999999999999996</c:v>
                </c:pt>
                <c:pt idx="228">
                  <c:v>5.0999999999999996</c:v>
                </c:pt>
                <c:pt idx="229">
                  <c:v>5.0999999999999996</c:v>
                </c:pt>
                <c:pt idx="230">
                  <c:v>5.0999999999999996</c:v>
                </c:pt>
                <c:pt idx="231">
                  <c:v>5.0999999999999996</c:v>
                </c:pt>
                <c:pt idx="232">
                  <c:v>5.0999999999999996</c:v>
                </c:pt>
                <c:pt idx="233">
                  <c:v>5.0999999999999996</c:v>
                </c:pt>
                <c:pt idx="234">
                  <c:v>5.0999999999999996</c:v>
                </c:pt>
                <c:pt idx="235">
                  <c:v>5.0999999999999996</c:v>
                </c:pt>
                <c:pt idx="236">
                  <c:v>5.0999999999999996</c:v>
                </c:pt>
                <c:pt idx="237">
                  <c:v>5.0999999999999996</c:v>
                </c:pt>
                <c:pt idx="238">
                  <c:v>5.0999999999999996</c:v>
                </c:pt>
                <c:pt idx="239">
                  <c:v>5.0999999999999996</c:v>
                </c:pt>
                <c:pt idx="240">
                  <c:v>5.0999999999999996</c:v>
                </c:pt>
                <c:pt idx="241">
                  <c:v>5.0999999999999996</c:v>
                </c:pt>
                <c:pt idx="242">
                  <c:v>5.0999999999999996</c:v>
                </c:pt>
                <c:pt idx="243">
                  <c:v>5.0999999999999996</c:v>
                </c:pt>
                <c:pt idx="244">
                  <c:v>5.0999999999999996</c:v>
                </c:pt>
                <c:pt idx="245">
                  <c:v>5.0999999999999996</c:v>
                </c:pt>
                <c:pt idx="246">
                  <c:v>5.0999999999999996</c:v>
                </c:pt>
                <c:pt idx="247">
                  <c:v>5.0999999999999996</c:v>
                </c:pt>
                <c:pt idx="248">
                  <c:v>5.0999999999999996</c:v>
                </c:pt>
                <c:pt idx="249">
                  <c:v>5.0999999999999996</c:v>
                </c:pt>
                <c:pt idx="250">
                  <c:v>5.0999999999999996</c:v>
                </c:pt>
                <c:pt idx="251">
                  <c:v>5.0999999999999996</c:v>
                </c:pt>
                <c:pt idx="252">
                  <c:v>5.0999999999999996</c:v>
                </c:pt>
                <c:pt idx="253">
                  <c:v>5.0999999999999996</c:v>
                </c:pt>
                <c:pt idx="254">
                  <c:v>5.0999999999999996</c:v>
                </c:pt>
                <c:pt idx="255">
                  <c:v>5.0999999999999996</c:v>
                </c:pt>
                <c:pt idx="256">
                  <c:v>5.0999999999999996</c:v>
                </c:pt>
                <c:pt idx="257">
                  <c:v>5.0999999999999996</c:v>
                </c:pt>
                <c:pt idx="258">
                  <c:v>5.0999999999999996</c:v>
                </c:pt>
                <c:pt idx="259">
                  <c:v>5.0999999999999996</c:v>
                </c:pt>
                <c:pt idx="260">
                  <c:v>5.0999999999999996</c:v>
                </c:pt>
                <c:pt idx="261">
                  <c:v>5.0999999999999996</c:v>
                </c:pt>
                <c:pt idx="262">
                  <c:v>5.0999999999999996</c:v>
                </c:pt>
                <c:pt idx="263">
                  <c:v>5.0999999999999996</c:v>
                </c:pt>
                <c:pt idx="264">
                  <c:v>5.0999999999999996</c:v>
                </c:pt>
                <c:pt idx="265">
                  <c:v>5.0999999999999996</c:v>
                </c:pt>
                <c:pt idx="266">
                  <c:v>5.0999999999999996</c:v>
                </c:pt>
                <c:pt idx="267">
                  <c:v>5.0999999999999996</c:v>
                </c:pt>
                <c:pt idx="268">
                  <c:v>5.0999999999999996</c:v>
                </c:pt>
                <c:pt idx="269">
                  <c:v>5.0999999999999996</c:v>
                </c:pt>
                <c:pt idx="270">
                  <c:v>5.0999999999999996</c:v>
                </c:pt>
                <c:pt idx="271">
                  <c:v>5.0999999999999996</c:v>
                </c:pt>
                <c:pt idx="272">
                  <c:v>5.0999999999999996</c:v>
                </c:pt>
                <c:pt idx="273">
                  <c:v>5.0999999999999996</c:v>
                </c:pt>
                <c:pt idx="274">
                  <c:v>5.0999999999999996</c:v>
                </c:pt>
                <c:pt idx="275">
                  <c:v>5.0999999999999996</c:v>
                </c:pt>
                <c:pt idx="276">
                  <c:v>5.0999999999999996</c:v>
                </c:pt>
                <c:pt idx="277">
                  <c:v>5.0999999999999996</c:v>
                </c:pt>
                <c:pt idx="278">
                  <c:v>5.0999999999999996</c:v>
                </c:pt>
                <c:pt idx="279">
                  <c:v>5.0999999999999996</c:v>
                </c:pt>
                <c:pt idx="280">
                  <c:v>5.0999999999999996</c:v>
                </c:pt>
                <c:pt idx="281">
                  <c:v>5.0999999999999996</c:v>
                </c:pt>
                <c:pt idx="282">
                  <c:v>5.0999999999999996</c:v>
                </c:pt>
                <c:pt idx="283">
                  <c:v>5.0999999999999996</c:v>
                </c:pt>
                <c:pt idx="284">
                  <c:v>5.0999999999999996</c:v>
                </c:pt>
                <c:pt idx="285">
                  <c:v>5.0999999999999996</c:v>
                </c:pt>
                <c:pt idx="286">
                  <c:v>5.0999999999999996</c:v>
                </c:pt>
                <c:pt idx="287">
                  <c:v>5.0999999999999996</c:v>
                </c:pt>
                <c:pt idx="288">
                  <c:v>5.0999999999999996</c:v>
                </c:pt>
                <c:pt idx="289">
                  <c:v>5.0999999999999996</c:v>
                </c:pt>
                <c:pt idx="290">
                  <c:v>5.0999999999999996</c:v>
                </c:pt>
                <c:pt idx="291">
                  <c:v>5.0999999999999996</c:v>
                </c:pt>
                <c:pt idx="292">
                  <c:v>5.0999999999999996</c:v>
                </c:pt>
                <c:pt idx="293">
                  <c:v>5.0999999999999996</c:v>
                </c:pt>
                <c:pt idx="294">
                  <c:v>5.0999999999999996</c:v>
                </c:pt>
                <c:pt idx="295">
                  <c:v>5.0999999999999996</c:v>
                </c:pt>
                <c:pt idx="296">
                  <c:v>5.0999999999999996</c:v>
                </c:pt>
                <c:pt idx="297">
                  <c:v>5.0999999999999996</c:v>
                </c:pt>
                <c:pt idx="298">
                  <c:v>5.0999999999999996</c:v>
                </c:pt>
                <c:pt idx="299">
                  <c:v>5.0999999999999996</c:v>
                </c:pt>
                <c:pt idx="300">
                  <c:v>5.0999999999999996</c:v>
                </c:pt>
                <c:pt idx="301">
                  <c:v>5.0999999999999996</c:v>
                </c:pt>
                <c:pt idx="302">
                  <c:v>5.0999999999999996</c:v>
                </c:pt>
                <c:pt idx="303">
                  <c:v>5.0999999999999996</c:v>
                </c:pt>
                <c:pt idx="304">
                  <c:v>5.0999999999999996</c:v>
                </c:pt>
                <c:pt idx="305">
                  <c:v>5.0999999999999996</c:v>
                </c:pt>
                <c:pt idx="306">
                  <c:v>5.0999999999999996</c:v>
                </c:pt>
                <c:pt idx="307">
                  <c:v>5.0999999999999996</c:v>
                </c:pt>
                <c:pt idx="308">
                  <c:v>5.0999999999999996</c:v>
                </c:pt>
                <c:pt idx="309">
                  <c:v>5.0999999999999996</c:v>
                </c:pt>
                <c:pt idx="310">
                  <c:v>5.0999999999999996</c:v>
                </c:pt>
                <c:pt idx="311">
                  <c:v>5.0999999999999996</c:v>
                </c:pt>
                <c:pt idx="312">
                  <c:v>5.0999999999999996</c:v>
                </c:pt>
                <c:pt idx="313">
                  <c:v>5.0999999999999996</c:v>
                </c:pt>
                <c:pt idx="314">
                  <c:v>5.0999999999999996</c:v>
                </c:pt>
                <c:pt idx="315">
                  <c:v>5.0999999999999996</c:v>
                </c:pt>
                <c:pt idx="316">
                  <c:v>5.0999999999999996</c:v>
                </c:pt>
                <c:pt idx="317">
                  <c:v>5.0999999999999996</c:v>
                </c:pt>
                <c:pt idx="318">
                  <c:v>5.0999999999999996</c:v>
                </c:pt>
                <c:pt idx="319">
                  <c:v>5.0999999999999996</c:v>
                </c:pt>
                <c:pt idx="320">
                  <c:v>5.0999999999999996</c:v>
                </c:pt>
                <c:pt idx="321">
                  <c:v>5.0999999999999996</c:v>
                </c:pt>
                <c:pt idx="322">
                  <c:v>5.0999999999999996</c:v>
                </c:pt>
                <c:pt idx="323">
                  <c:v>5.0999999999999996</c:v>
                </c:pt>
                <c:pt idx="324">
                  <c:v>5.0999999999999996</c:v>
                </c:pt>
                <c:pt idx="325">
                  <c:v>5.0999999999999996</c:v>
                </c:pt>
                <c:pt idx="326">
                  <c:v>5.0999999999999996</c:v>
                </c:pt>
                <c:pt idx="327">
                  <c:v>5.0999999999999996</c:v>
                </c:pt>
                <c:pt idx="328">
                  <c:v>5.0999999999999996</c:v>
                </c:pt>
                <c:pt idx="329">
                  <c:v>5.0999999999999996</c:v>
                </c:pt>
                <c:pt idx="330">
                  <c:v>5.0999999999999996</c:v>
                </c:pt>
                <c:pt idx="331">
                  <c:v>5.0999999999999996</c:v>
                </c:pt>
                <c:pt idx="332">
                  <c:v>5.0999999999999996</c:v>
                </c:pt>
                <c:pt idx="333">
                  <c:v>5.0999999999999996</c:v>
                </c:pt>
                <c:pt idx="334">
                  <c:v>5.0999999999999996</c:v>
                </c:pt>
                <c:pt idx="335">
                  <c:v>5.0999999999999996</c:v>
                </c:pt>
                <c:pt idx="336">
                  <c:v>5.0999999999999996</c:v>
                </c:pt>
                <c:pt idx="337">
                  <c:v>5.0999999999999996</c:v>
                </c:pt>
                <c:pt idx="338">
                  <c:v>5.0999999999999996</c:v>
                </c:pt>
                <c:pt idx="339">
                  <c:v>5.0999999999999996</c:v>
                </c:pt>
              </c:numCache>
            </c:numRef>
          </c:yVal>
          <c:smooth val="0"/>
          <c:extLst>
            <c:ext xmlns:c16="http://schemas.microsoft.com/office/drawing/2014/chart" uri="{C3380CC4-5D6E-409C-BE32-E72D297353CC}">
              <c16:uniqueId val="{00000001-4467-47D2-80E1-056DA352D68C}"/>
            </c:ext>
          </c:extLst>
        </c:ser>
        <c:ser>
          <c:idx val="1"/>
          <c:order val="2"/>
          <c:tx>
            <c:strRef>
              <c:f>OTP_conf_summary!$J$21</c:f>
              <c:strCache>
                <c:ptCount val="1"/>
                <c:pt idx="0">
                  <c:v>VPRE</c:v>
                </c:pt>
              </c:strCache>
            </c:strRef>
          </c:tx>
          <c:spPr>
            <a:ln w="19050" cap="rnd">
              <a:solidFill>
                <a:schemeClr val="accent2"/>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OTP_conf_summary!$J$22:$J$361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c:v>
                </c:pt>
                <c:pt idx="94">
                  <c:v>1</c:v>
                </c:pt>
                <c:pt idx="95">
                  <c:v>1.5</c:v>
                </c:pt>
                <c:pt idx="96">
                  <c:v>2</c:v>
                </c:pt>
                <c:pt idx="97">
                  <c:v>2.5</c:v>
                </c:pt>
                <c:pt idx="98">
                  <c:v>3</c:v>
                </c:pt>
                <c:pt idx="99">
                  <c:v>3.5</c:v>
                </c:pt>
                <c:pt idx="100">
                  <c:v>4</c:v>
                </c:pt>
                <c:pt idx="101">
                  <c:v>4.5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5</c:v>
                </c:pt>
                <c:pt idx="166">
                  <c:v>5</c:v>
                </c:pt>
                <c:pt idx="167">
                  <c:v>5</c:v>
                </c:pt>
                <c:pt idx="168">
                  <c:v>5</c:v>
                </c:pt>
                <c:pt idx="169">
                  <c:v>5</c:v>
                </c:pt>
                <c:pt idx="170">
                  <c:v>5</c:v>
                </c:pt>
                <c:pt idx="171">
                  <c:v>5</c:v>
                </c:pt>
                <c:pt idx="172">
                  <c:v>5</c:v>
                </c:pt>
                <c:pt idx="173">
                  <c:v>5</c:v>
                </c:pt>
                <c:pt idx="174">
                  <c:v>5</c:v>
                </c:pt>
                <c:pt idx="175">
                  <c:v>5</c:v>
                </c:pt>
                <c:pt idx="176">
                  <c:v>5</c:v>
                </c:pt>
                <c:pt idx="177">
                  <c:v>5</c:v>
                </c:pt>
                <c:pt idx="178">
                  <c:v>5</c:v>
                </c:pt>
                <c:pt idx="179">
                  <c:v>5</c:v>
                </c:pt>
                <c:pt idx="180">
                  <c:v>5</c:v>
                </c:pt>
                <c:pt idx="181">
                  <c:v>5</c:v>
                </c:pt>
                <c:pt idx="182">
                  <c:v>5</c:v>
                </c:pt>
                <c:pt idx="183">
                  <c:v>5</c:v>
                </c:pt>
                <c:pt idx="184">
                  <c:v>5</c:v>
                </c:pt>
                <c:pt idx="185">
                  <c:v>5</c:v>
                </c:pt>
                <c:pt idx="186">
                  <c:v>5</c:v>
                </c:pt>
                <c:pt idx="187">
                  <c:v>5</c:v>
                </c:pt>
                <c:pt idx="188">
                  <c:v>5</c:v>
                </c:pt>
                <c:pt idx="189">
                  <c:v>5</c:v>
                </c:pt>
                <c:pt idx="190">
                  <c:v>5</c:v>
                </c:pt>
                <c:pt idx="191">
                  <c:v>5</c:v>
                </c:pt>
                <c:pt idx="192">
                  <c:v>5</c:v>
                </c:pt>
                <c:pt idx="193">
                  <c:v>5</c:v>
                </c:pt>
                <c:pt idx="194">
                  <c:v>5</c:v>
                </c:pt>
                <c:pt idx="195">
                  <c:v>5</c:v>
                </c:pt>
                <c:pt idx="196">
                  <c:v>5</c:v>
                </c:pt>
                <c:pt idx="197">
                  <c:v>5</c:v>
                </c:pt>
                <c:pt idx="198">
                  <c:v>5</c:v>
                </c:pt>
                <c:pt idx="199">
                  <c:v>5</c:v>
                </c:pt>
                <c:pt idx="200">
                  <c:v>5</c:v>
                </c:pt>
                <c:pt idx="201">
                  <c:v>5</c:v>
                </c:pt>
                <c:pt idx="202">
                  <c:v>5</c:v>
                </c:pt>
                <c:pt idx="203">
                  <c:v>5</c:v>
                </c:pt>
                <c:pt idx="204">
                  <c:v>5</c:v>
                </c:pt>
                <c:pt idx="205">
                  <c:v>5</c:v>
                </c:pt>
                <c:pt idx="206">
                  <c:v>5</c:v>
                </c:pt>
                <c:pt idx="207">
                  <c:v>5</c:v>
                </c:pt>
                <c:pt idx="208">
                  <c:v>5</c:v>
                </c:pt>
                <c:pt idx="209">
                  <c:v>5</c:v>
                </c:pt>
                <c:pt idx="210">
                  <c:v>5</c:v>
                </c:pt>
                <c:pt idx="211">
                  <c:v>5</c:v>
                </c:pt>
                <c:pt idx="212">
                  <c:v>5</c:v>
                </c:pt>
                <c:pt idx="213">
                  <c:v>5</c:v>
                </c:pt>
                <c:pt idx="214">
                  <c:v>5</c:v>
                </c:pt>
                <c:pt idx="215">
                  <c:v>5</c:v>
                </c:pt>
                <c:pt idx="216">
                  <c:v>5</c:v>
                </c:pt>
                <c:pt idx="217">
                  <c:v>5</c:v>
                </c:pt>
                <c:pt idx="218">
                  <c:v>5</c:v>
                </c:pt>
                <c:pt idx="219">
                  <c:v>5</c:v>
                </c:pt>
                <c:pt idx="220">
                  <c:v>5</c:v>
                </c:pt>
                <c:pt idx="221">
                  <c:v>5</c:v>
                </c:pt>
                <c:pt idx="222">
                  <c:v>5</c:v>
                </c:pt>
                <c:pt idx="223">
                  <c:v>5</c:v>
                </c:pt>
                <c:pt idx="224">
                  <c:v>5</c:v>
                </c:pt>
                <c:pt idx="225">
                  <c:v>5</c:v>
                </c:pt>
                <c:pt idx="226">
                  <c:v>5</c:v>
                </c:pt>
                <c:pt idx="227">
                  <c:v>5</c:v>
                </c:pt>
                <c:pt idx="228">
                  <c:v>5</c:v>
                </c:pt>
                <c:pt idx="229">
                  <c:v>5</c:v>
                </c:pt>
                <c:pt idx="230">
                  <c:v>5</c:v>
                </c:pt>
                <c:pt idx="231">
                  <c:v>5</c:v>
                </c:pt>
                <c:pt idx="232">
                  <c:v>5</c:v>
                </c:pt>
                <c:pt idx="233">
                  <c:v>5</c:v>
                </c:pt>
                <c:pt idx="234">
                  <c:v>5</c:v>
                </c:pt>
                <c:pt idx="235">
                  <c:v>5</c:v>
                </c:pt>
                <c:pt idx="236">
                  <c:v>5</c:v>
                </c:pt>
                <c:pt idx="237">
                  <c:v>5</c:v>
                </c:pt>
                <c:pt idx="238">
                  <c:v>5</c:v>
                </c:pt>
                <c:pt idx="239">
                  <c:v>5</c:v>
                </c:pt>
                <c:pt idx="240">
                  <c:v>5</c:v>
                </c:pt>
                <c:pt idx="241">
                  <c:v>5</c:v>
                </c:pt>
                <c:pt idx="242">
                  <c:v>5</c:v>
                </c:pt>
                <c:pt idx="243">
                  <c:v>5</c:v>
                </c:pt>
                <c:pt idx="244">
                  <c:v>5</c:v>
                </c:pt>
                <c:pt idx="245">
                  <c:v>5</c:v>
                </c:pt>
                <c:pt idx="246">
                  <c:v>5</c:v>
                </c:pt>
                <c:pt idx="247">
                  <c:v>5</c:v>
                </c:pt>
                <c:pt idx="248">
                  <c:v>5</c:v>
                </c:pt>
                <c:pt idx="249">
                  <c:v>5</c:v>
                </c:pt>
                <c:pt idx="250">
                  <c:v>5</c:v>
                </c:pt>
                <c:pt idx="251">
                  <c:v>5</c:v>
                </c:pt>
                <c:pt idx="252">
                  <c:v>5</c:v>
                </c:pt>
                <c:pt idx="253">
                  <c:v>5</c:v>
                </c:pt>
                <c:pt idx="254">
                  <c:v>5</c:v>
                </c:pt>
                <c:pt idx="255">
                  <c:v>5</c:v>
                </c:pt>
                <c:pt idx="256">
                  <c:v>5</c:v>
                </c:pt>
                <c:pt idx="257">
                  <c:v>5</c:v>
                </c:pt>
                <c:pt idx="258">
                  <c:v>5</c:v>
                </c:pt>
                <c:pt idx="259">
                  <c:v>5</c:v>
                </c:pt>
                <c:pt idx="260">
                  <c:v>5</c:v>
                </c:pt>
                <c:pt idx="261">
                  <c:v>5</c:v>
                </c:pt>
                <c:pt idx="262">
                  <c:v>5</c:v>
                </c:pt>
                <c:pt idx="263">
                  <c:v>5</c:v>
                </c:pt>
                <c:pt idx="264">
                  <c:v>5</c:v>
                </c:pt>
                <c:pt idx="265">
                  <c:v>5</c:v>
                </c:pt>
                <c:pt idx="266">
                  <c:v>5</c:v>
                </c:pt>
                <c:pt idx="267">
                  <c:v>5</c:v>
                </c:pt>
                <c:pt idx="268">
                  <c:v>5</c:v>
                </c:pt>
                <c:pt idx="269">
                  <c:v>5</c:v>
                </c:pt>
                <c:pt idx="270">
                  <c:v>5</c:v>
                </c:pt>
                <c:pt idx="271">
                  <c:v>5</c:v>
                </c:pt>
                <c:pt idx="272">
                  <c:v>5</c:v>
                </c:pt>
                <c:pt idx="273">
                  <c:v>5</c:v>
                </c:pt>
                <c:pt idx="274">
                  <c:v>5</c:v>
                </c:pt>
                <c:pt idx="275">
                  <c:v>5</c:v>
                </c:pt>
                <c:pt idx="276">
                  <c:v>5</c:v>
                </c:pt>
                <c:pt idx="277">
                  <c:v>5</c:v>
                </c:pt>
                <c:pt idx="278">
                  <c:v>5</c:v>
                </c:pt>
                <c:pt idx="279">
                  <c:v>5</c:v>
                </c:pt>
                <c:pt idx="280">
                  <c:v>5</c:v>
                </c:pt>
                <c:pt idx="281">
                  <c:v>5</c:v>
                </c:pt>
                <c:pt idx="282">
                  <c:v>5</c:v>
                </c:pt>
                <c:pt idx="283">
                  <c:v>5</c:v>
                </c:pt>
                <c:pt idx="284">
                  <c:v>5</c:v>
                </c:pt>
                <c:pt idx="285">
                  <c:v>5</c:v>
                </c:pt>
                <c:pt idx="286">
                  <c:v>5</c:v>
                </c:pt>
                <c:pt idx="287">
                  <c:v>5</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numCache>
            </c:numRef>
          </c:yVal>
          <c:smooth val="0"/>
          <c:extLst>
            <c:ext xmlns:c16="http://schemas.microsoft.com/office/drawing/2014/chart" uri="{C3380CC4-5D6E-409C-BE32-E72D297353CC}">
              <c16:uniqueId val="{00000002-4467-47D2-80E1-056DA352D68C}"/>
            </c:ext>
          </c:extLst>
        </c:ser>
        <c:ser>
          <c:idx val="2"/>
          <c:order val="3"/>
          <c:tx>
            <c:strRef>
              <c:f>OTP_conf_summary!$K$21</c:f>
              <c:strCache>
                <c:ptCount val="1"/>
                <c:pt idx="0">
                  <c:v>VBOOST</c:v>
                </c:pt>
              </c:strCache>
            </c:strRef>
          </c:tx>
          <c:spPr>
            <a:ln w="19050" cap="rnd">
              <a:solidFill>
                <a:schemeClr val="accent3"/>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OTP_conf_summary!$K$22:$K$361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0.5</c:v>
                </c:pt>
                <c:pt idx="95">
                  <c:v>1</c:v>
                </c:pt>
                <c:pt idx="96">
                  <c:v>1.5</c:v>
                </c:pt>
                <c:pt idx="97">
                  <c:v>2</c:v>
                </c:pt>
                <c:pt idx="98">
                  <c:v>2.5</c:v>
                </c:pt>
                <c:pt idx="99">
                  <c:v>3</c:v>
                </c:pt>
                <c:pt idx="100">
                  <c:v>3.5</c:v>
                </c:pt>
                <c:pt idx="101">
                  <c:v>4</c:v>
                </c:pt>
                <c:pt idx="102">
                  <c:v>4.5</c:v>
                </c:pt>
                <c:pt idx="103">
                  <c:v>4.5</c:v>
                </c:pt>
                <c:pt idx="104">
                  <c:v>4.5</c:v>
                </c:pt>
                <c:pt idx="105">
                  <c:v>4.5</c:v>
                </c:pt>
                <c:pt idx="106">
                  <c:v>4.5</c:v>
                </c:pt>
                <c:pt idx="107">
                  <c:v>4.5</c:v>
                </c:pt>
                <c:pt idx="108">
                  <c:v>4.5</c:v>
                </c:pt>
                <c:pt idx="109">
                  <c:v>4.5</c:v>
                </c:pt>
                <c:pt idx="110">
                  <c:v>4.5</c:v>
                </c:pt>
                <c:pt idx="111">
                  <c:v>4.5</c:v>
                </c:pt>
                <c:pt idx="112">
                  <c:v>4.9000000000000012</c:v>
                </c:pt>
                <c:pt idx="113">
                  <c:v>4.9000000000000012</c:v>
                </c:pt>
                <c:pt idx="114">
                  <c:v>4.9000000000000012</c:v>
                </c:pt>
                <c:pt idx="115">
                  <c:v>4.9000000000000012</c:v>
                </c:pt>
                <c:pt idx="116">
                  <c:v>4.9000000000000012</c:v>
                </c:pt>
                <c:pt idx="117">
                  <c:v>4.9000000000000012</c:v>
                </c:pt>
                <c:pt idx="118">
                  <c:v>4.9000000000000012</c:v>
                </c:pt>
                <c:pt idx="119">
                  <c:v>4.9000000000000012</c:v>
                </c:pt>
                <c:pt idx="120">
                  <c:v>4.9000000000000012</c:v>
                </c:pt>
                <c:pt idx="121">
                  <c:v>4.9000000000000012</c:v>
                </c:pt>
                <c:pt idx="122">
                  <c:v>4.9000000000000012</c:v>
                </c:pt>
                <c:pt idx="123">
                  <c:v>4.9000000000000012</c:v>
                </c:pt>
                <c:pt idx="124">
                  <c:v>4.9000000000000012</c:v>
                </c:pt>
                <c:pt idx="125">
                  <c:v>4.9000000000000012</c:v>
                </c:pt>
                <c:pt idx="126">
                  <c:v>4.9000000000000012</c:v>
                </c:pt>
                <c:pt idx="127">
                  <c:v>4.9000000000000012</c:v>
                </c:pt>
                <c:pt idx="128">
                  <c:v>4.9000000000000012</c:v>
                </c:pt>
                <c:pt idx="129">
                  <c:v>4.9000000000000012</c:v>
                </c:pt>
                <c:pt idx="130">
                  <c:v>4.9000000000000012</c:v>
                </c:pt>
                <c:pt idx="131">
                  <c:v>4.9000000000000012</c:v>
                </c:pt>
                <c:pt idx="132">
                  <c:v>4.9000000000000012</c:v>
                </c:pt>
                <c:pt idx="133">
                  <c:v>4.9000000000000012</c:v>
                </c:pt>
                <c:pt idx="134">
                  <c:v>4.9000000000000012</c:v>
                </c:pt>
                <c:pt idx="135">
                  <c:v>4.9000000000000012</c:v>
                </c:pt>
                <c:pt idx="136">
                  <c:v>4.9000000000000012</c:v>
                </c:pt>
                <c:pt idx="137">
                  <c:v>4.9000000000000012</c:v>
                </c:pt>
                <c:pt idx="138">
                  <c:v>4.9000000000000012</c:v>
                </c:pt>
                <c:pt idx="139">
                  <c:v>4.9000000000000012</c:v>
                </c:pt>
                <c:pt idx="140">
                  <c:v>4.9000000000000012</c:v>
                </c:pt>
                <c:pt idx="141">
                  <c:v>4.9000000000000012</c:v>
                </c:pt>
                <c:pt idx="142">
                  <c:v>4.9000000000000012</c:v>
                </c:pt>
                <c:pt idx="143">
                  <c:v>4.9000000000000012</c:v>
                </c:pt>
                <c:pt idx="144">
                  <c:v>4.9000000000000012</c:v>
                </c:pt>
                <c:pt idx="145">
                  <c:v>4.9000000000000012</c:v>
                </c:pt>
                <c:pt idx="146">
                  <c:v>4.9000000000000012</c:v>
                </c:pt>
                <c:pt idx="147">
                  <c:v>4.9000000000000012</c:v>
                </c:pt>
                <c:pt idx="148">
                  <c:v>4.9000000000000012</c:v>
                </c:pt>
                <c:pt idx="149">
                  <c:v>4.9000000000000012</c:v>
                </c:pt>
                <c:pt idx="150">
                  <c:v>4.9000000000000012</c:v>
                </c:pt>
                <c:pt idx="151">
                  <c:v>4.9000000000000012</c:v>
                </c:pt>
                <c:pt idx="152">
                  <c:v>4.9000000000000012</c:v>
                </c:pt>
                <c:pt idx="153">
                  <c:v>4.9000000000000012</c:v>
                </c:pt>
                <c:pt idx="154">
                  <c:v>4.9000000000000012</c:v>
                </c:pt>
                <c:pt idx="155">
                  <c:v>4.9000000000000012</c:v>
                </c:pt>
                <c:pt idx="156">
                  <c:v>4.9000000000000012</c:v>
                </c:pt>
                <c:pt idx="157">
                  <c:v>4.9000000000000012</c:v>
                </c:pt>
                <c:pt idx="158">
                  <c:v>4.9000000000000012</c:v>
                </c:pt>
                <c:pt idx="159">
                  <c:v>4.9000000000000012</c:v>
                </c:pt>
                <c:pt idx="160">
                  <c:v>4.9000000000000012</c:v>
                </c:pt>
                <c:pt idx="161">
                  <c:v>4.9000000000000012</c:v>
                </c:pt>
                <c:pt idx="162">
                  <c:v>4.9000000000000012</c:v>
                </c:pt>
                <c:pt idx="163">
                  <c:v>4.9000000000000012</c:v>
                </c:pt>
                <c:pt idx="164">
                  <c:v>4.9000000000000012</c:v>
                </c:pt>
                <c:pt idx="165">
                  <c:v>4.9000000000000012</c:v>
                </c:pt>
                <c:pt idx="166">
                  <c:v>4.9000000000000012</c:v>
                </c:pt>
                <c:pt idx="167">
                  <c:v>4.9000000000000012</c:v>
                </c:pt>
                <c:pt idx="168">
                  <c:v>4.9000000000000012</c:v>
                </c:pt>
                <c:pt idx="169">
                  <c:v>4.9000000000000012</c:v>
                </c:pt>
                <c:pt idx="170">
                  <c:v>4.9000000000000012</c:v>
                </c:pt>
                <c:pt idx="171">
                  <c:v>4.9000000000000012</c:v>
                </c:pt>
                <c:pt idx="172">
                  <c:v>4.9000000000000012</c:v>
                </c:pt>
                <c:pt idx="173">
                  <c:v>4.9000000000000012</c:v>
                </c:pt>
                <c:pt idx="174">
                  <c:v>4.9000000000000012</c:v>
                </c:pt>
                <c:pt idx="175">
                  <c:v>4.9000000000000012</c:v>
                </c:pt>
                <c:pt idx="176">
                  <c:v>4.9000000000000012</c:v>
                </c:pt>
                <c:pt idx="177">
                  <c:v>4.9000000000000012</c:v>
                </c:pt>
                <c:pt idx="178">
                  <c:v>4.9000000000000012</c:v>
                </c:pt>
                <c:pt idx="179">
                  <c:v>4.9000000000000012</c:v>
                </c:pt>
                <c:pt idx="180">
                  <c:v>4.9000000000000012</c:v>
                </c:pt>
                <c:pt idx="181">
                  <c:v>4.9000000000000012</c:v>
                </c:pt>
                <c:pt idx="182">
                  <c:v>4.9000000000000012</c:v>
                </c:pt>
                <c:pt idx="183">
                  <c:v>4.9000000000000012</c:v>
                </c:pt>
                <c:pt idx="184">
                  <c:v>4.9000000000000012</c:v>
                </c:pt>
                <c:pt idx="185">
                  <c:v>4.9000000000000012</c:v>
                </c:pt>
                <c:pt idx="186">
                  <c:v>4.9000000000000012</c:v>
                </c:pt>
                <c:pt idx="187">
                  <c:v>4.9000000000000012</c:v>
                </c:pt>
                <c:pt idx="188">
                  <c:v>4.9000000000000012</c:v>
                </c:pt>
                <c:pt idx="189">
                  <c:v>4.9000000000000012</c:v>
                </c:pt>
                <c:pt idx="190">
                  <c:v>4.9000000000000012</c:v>
                </c:pt>
                <c:pt idx="191">
                  <c:v>4.9000000000000012</c:v>
                </c:pt>
                <c:pt idx="192">
                  <c:v>4.9000000000000012</c:v>
                </c:pt>
                <c:pt idx="193">
                  <c:v>4.9000000000000012</c:v>
                </c:pt>
                <c:pt idx="194">
                  <c:v>4.9000000000000012</c:v>
                </c:pt>
                <c:pt idx="195">
                  <c:v>4.9000000000000012</c:v>
                </c:pt>
                <c:pt idx="196">
                  <c:v>4.9000000000000012</c:v>
                </c:pt>
                <c:pt idx="197">
                  <c:v>4.9000000000000012</c:v>
                </c:pt>
                <c:pt idx="198">
                  <c:v>4.9000000000000012</c:v>
                </c:pt>
                <c:pt idx="199">
                  <c:v>4.9000000000000012</c:v>
                </c:pt>
                <c:pt idx="200">
                  <c:v>4.9000000000000012</c:v>
                </c:pt>
                <c:pt idx="201">
                  <c:v>4.9000000000000012</c:v>
                </c:pt>
                <c:pt idx="202">
                  <c:v>4.9000000000000012</c:v>
                </c:pt>
                <c:pt idx="203">
                  <c:v>4.9000000000000012</c:v>
                </c:pt>
                <c:pt idx="204">
                  <c:v>4.9000000000000012</c:v>
                </c:pt>
                <c:pt idx="205">
                  <c:v>4.9000000000000012</c:v>
                </c:pt>
                <c:pt idx="206">
                  <c:v>4.9000000000000012</c:v>
                </c:pt>
                <c:pt idx="207">
                  <c:v>4.9000000000000012</c:v>
                </c:pt>
                <c:pt idx="208">
                  <c:v>4.9000000000000012</c:v>
                </c:pt>
                <c:pt idx="209">
                  <c:v>4.9000000000000012</c:v>
                </c:pt>
                <c:pt idx="210">
                  <c:v>4.9000000000000012</c:v>
                </c:pt>
                <c:pt idx="211">
                  <c:v>4.9000000000000012</c:v>
                </c:pt>
                <c:pt idx="212">
                  <c:v>4.9000000000000012</c:v>
                </c:pt>
                <c:pt idx="213">
                  <c:v>4.9000000000000012</c:v>
                </c:pt>
                <c:pt idx="214">
                  <c:v>4.9000000000000012</c:v>
                </c:pt>
                <c:pt idx="215">
                  <c:v>4.9000000000000012</c:v>
                </c:pt>
                <c:pt idx="216">
                  <c:v>4.9000000000000012</c:v>
                </c:pt>
                <c:pt idx="217">
                  <c:v>4.9000000000000012</c:v>
                </c:pt>
                <c:pt idx="218">
                  <c:v>4.9000000000000012</c:v>
                </c:pt>
                <c:pt idx="219">
                  <c:v>4.9000000000000012</c:v>
                </c:pt>
                <c:pt idx="220">
                  <c:v>4.9000000000000012</c:v>
                </c:pt>
                <c:pt idx="221">
                  <c:v>4.9000000000000012</c:v>
                </c:pt>
                <c:pt idx="222">
                  <c:v>4.9000000000000012</c:v>
                </c:pt>
                <c:pt idx="223">
                  <c:v>4.9000000000000012</c:v>
                </c:pt>
                <c:pt idx="224">
                  <c:v>4.9000000000000012</c:v>
                </c:pt>
                <c:pt idx="225">
                  <c:v>4.9000000000000012</c:v>
                </c:pt>
                <c:pt idx="226">
                  <c:v>4.9000000000000012</c:v>
                </c:pt>
                <c:pt idx="227">
                  <c:v>4.9000000000000012</c:v>
                </c:pt>
                <c:pt idx="228">
                  <c:v>4.9000000000000012</c:v>
                </c:pt>
                <c:pt idx="229">
                  <c:v>4.9000000000000012</c:v>
                </c:pt>
                <c:pt idx="230">
                  <c:v>4.9000000000000012</c:v>
                </c:pt>
                <c:pt idx="231">
                  <c:v>4.9000000000000012</c:v>
                </c:pt>
                <c:pt idx="232">
                  <c:v>4.9000000000000012</c:v>
                </c:pt>
                <c:pt idx="233">
                  <c:v>4.9000000000000012</c:v>
                </c:pt>
                <c:pt idx="234">
                  <c:v>4.9000000000000012</c:v>
                </c:pt>
                <c:pt idx="235">
                  <c:v>4.9000000000000012</c:v>
                </c:pt>
                <c:pt idx="236">
                  <c:v>4.9000000000000012</c:v>
                </c:pt>
                <c:pt idx="237">
                  <c:v>4.9000000000000012</c:v>
                </c:pt>
                <c:pt idx="238">
                  <c:v>4.9000000000000012</c:v>
                </c:pt>
                <c:pt idx="239">
                  <c:v>4.9000000000000012</c:v>
                </c:pt>
                <c:pt idx="240">
                  <c:v>4.9000000000000012</c:v>
                </c:pt>
                <c:pt idx="241">
                  <c:v>4.9000000000000012</c:v>
                </c:pt>
                <c:pt idx="242">
                  <c:v>4.9000000000000012</c:v>
                </c:pt>
                <c:pt idx="243">
                  <c:v>4.9000000000000012</c:v>
                </c:pt>
                <c:pt idx="244">
                  <c:v>4.9000000000000012</c:v>
                </c:pt>
                <c:pt idx="245">
                  <c:v>4.9000000000000012</c:v>
                </c:pt>
                <c:pt idx="246">
                  <c:v>4.9000000000000012</c:v>
                </c:pt>
                <c:pt idx="247">
                  <c:v>4.9000000000000012</c:v>
                </c:pt>
                <c:pt idx="248">
                  <c:v>4.9000000000000012</c:v>
                </c:pt>
                <c:pt idx="249">
                  <c:v>4.9000000000000012</c:v>
                </c:pt>
                <c:pt idx="250">
                  <c:v>4.9000000000000012</c:v>
                </c:pt>
                <c:pt idx="251">
                  <c:v>4.9000000000000012</c:v>
                </c:pt>
                <c:pt idx="252">
                  <c:v>4.9000000000000012</c:v>
                </c:pt>
                <c:pt idx="253">
                  <c:v>4.9000000000000012</c:v>
                </c:pt>
                <c:pt idx="254">
                  <c:v>4.9000000000000012</c:v>
                </c:pt>
                <c:pt idx="255">
                  <c:v>4.9000000000000012</c:v>
                </c:pt>
                <c:pt idx="256">
                  <c:v>4.9000000000000012</c:v>
                </c:pt>
                <c:pt idx="257">
                  <c:v>4.9000000000000012</c:v>
                </c:pt>
                <c:pt idx="258">
                  <c:v>4.9000000000000012</c:v>
                </c:pt>
                <c:pt idx="259">
                  <c:v>4.9000000000000012</c:v>
                </c:pt>
                <c:pt idx="260">
                  <c:v>4.9000000000000012</c:v>
                </c:pt>
                <c:pt idx="261">
                  <c:v>4.9000000000000012</c:v>
                </c:pt>
                <c:pt idx="262">
                  <c:v>4.9000000000000012</c:v>
                </c:pt>
                <c:pt idx="263">
                  <c:v>4.9000000000000012</c:v>
                </c:pt>
                <c:pt idx="264">
                  <c:v>4.9000000000000012</c:v>
                </c:pt>
                <c:pt idx="265">
                  <c:v>4.9000000000000012</c:v>
                </c:pt>
                <c:pt idx="266">
                  <c:v>4.9000000000000012</c:v>
                </c:pt>
                <c:pt idx="267">
                  <c:v>4.9000000000000012</c:v>
                </c:pt>
                <c:pt idx="268">
                  <c:v>4.9000000000000012</c:v>
                </c:pt>
                <c:pt idx="269">
                  <c:v>4.9000000000000012</c:v>
                </c:pt>
                <c:pt idx="270">
                  <c:v>4.9000000000000012</c:v>
                </c:pt>
                <c:pt idx="271">
                  <c:v>4.9000000000000012</c:v>
                </c:pt>
                <c:pt idx="272">
                  <c:v>4.9000000000000012</c:v>
                </c:pt>
                <c:pt idx="273">
                  <c:v>4.9000000000000012</c:v>
                </c:pt>
                <c:pt idx="274">
                  <c:v>4.9000000000000012</c:v>
                </c:pt>
                <c:pt idx="275">
                  <c:v>4.9000000000000012</c:v>
                </c:pt>
                <c:pt idx="276">
                  <c:v>4.9000000000000012</c:v>
                </c:pt>
                <c:pt idx="277">
                  <c:v>4.9000000000000012</c:v>
                </c:pt>
                <c:pt idx="278">
                  <c:v>4.9000000000000012</c:v>
                </c:pt>
                <c:pt idx="279">
                  <c:v>4.9000000000000012</c:v>
                </c:pt>
                <c:pt idx="280">
                  <c:v>4.9000000000000012</c:v>
                </c:pt>
                <c:pt idx="281">
                  <c:v>4.9000000000000012</c:v>
                </c:pt>
                <c:pt idx="282">
                  <c:v>4.9000000000000012</c:v>
                </c:pt>
                <c:pt idx="283">
                  <c:v>4.9000000000000012</c:v>
                </c:pt>
                <c:pt idx="284">
                  <c:v>4.9000000000000012</c:v>
                </c:pt>
                <c:pt idx="285">
                  <c:v>4.9000000000000012</c:v>
                </c:pt>
                <c:pt idx="286">
                  <c:v>4.9000000000000012</c:v>
                </c:pt>
                <c:pt idx="287">
                  <c:v>4.9000000000000012</c:v>
                </c:pt>
                <c:pt idx="288">
                  <c:v>4.9000000000000012</c:v>
                </c:pt>
                <c:pt idx="289">
                  <c:v>4.9000000000000012</c:v>
                </c:pt>
                <c:pt idx="290">
                  <c:v>4.9000000000000012</c:v>
                </c:pt>
                <c:pt idx="291">
                  <c:v>4.9000000000000012</c:v>
                </c:pt>
                <c:pt idx="292">
                  <c:v>4.9000000000000012</c:v>
                </c:pt>
                <c:pt idx="293">
                  <c:v>4.9000000000000012</c:v>
                </c:pt>
                <c:pt idx="294">
                  <c:v>4.9000000000000012</c:v>
                </c:pt>
                <c:pt idx="295">
                  <c:v>4.9000000000000012</c:v>
                </c:pt>
                <c:pt idx="296">
                  <c:v>4.9000000000000012</c:v>
                </c:pt>
                <c:pt idx="297">
                  <c:v>4.9000000000000012</c:v>
                </c:pt>
                <c:pt idx="298">
                  <c:v>4.9000000000000012</c:v>
                </c:pt>
                <c:pt idx="299">
                  <c:v>4.9000000000000012</c:v>
                </c:pt>
                <c:pt idx="300">
                  <c:v>4.9000000000000012</c:v>
                </c:pt>
                <c:pt idx="301">
                  <c:v>4.9000000000000012</c:v>
                </c:pt>
                <c:pt idx="302">
                  <c:v>4.9000000000000012</c:v>
                </c:pt>
                <c:pt idx="303">
                  <c:v>4.9000000000000012</c:v>
                </c:pt>
                <c:pt idx="304">
                  <c:v>4.9000000000000012</c:v>
                </c:pt>
                <c:pt idx="305">
                  <c:v>4.9000000000000012</c:v>
                </c:pt>
                <c:pt idx="306">
                  <c:v>4.9000000000000012</c:v>
                </c:pt>
                <c:pt idx="307">
                  <c:v>4.9000000000000012</c:v>
                </c:pt>
                <c:pt idx="308">
                  <c:v>4.9000000000000012</c:v>
                </c:pt>
                <c:pt idx="309">
                  <c:v>4.9000000000000012</c:v>
                </c:pt>
                <c:pt idx="310">
                  <c:v>4.9000000000000012</c:v>
                </c:pt>
                <c:pt idx="311">
                  <c:v>4.9000000000000012</c:v>
                </c:pt>
                <c:pt idx="312">
                  <c:v>4.9000000000000012</c:v>
                </c:pt>
                <c:pt idx="313">
                  <c:v>4.9000000000000012</c:v>
                </c:pt>
                <c:pt idx="314">
                  <c:v>4.9000000000000012</c:v>
                </c:pt>
                <c:pt idx="315">
                  <c:v>4.9000000000000012</c:v>
                </c:pt>
                <c:pt idx="316">
                  <c:v>4.9000000000000012</c:v>
                </c:pt>
                <c:pt idx="317">
                  <c:v>4.9000000000000012</c:v>
                </c:pt>
                <c:pt idx="318">
                  <c:v>4.9000000000000012</c:v>
                </c:pt>
                <c:pt idx="319">
                  <c:v>4.9000000000000012</c:v>
                </c:pt>
                <c:pt idx="320">
                  <c:v>4.9000000000000012</c:v>
                </c:pt>
                <c:pt idx="321">
                  <c:v>4.9000000000000012</c:v>
                </c:pt>
                <c:pt idx="322">
                  <c:v>4.9000000000000012</c:v>
                </c:pt>
                <c:pt idx="323">
                  <c:v>4.9000000000000012</c:v>
                </c:pt>
                <c:pt idx="324">
                  <c:v>4.9000000000000012</c:v>
                </c:pt>
                <c:pt idx="325">
                  <c:v>4.9000000000000012</c:v>
                </c:pt>
                <c:pt idx="326">
                  <c:v>4.9000000000000012</c:v>
                </c:pt>
                <c:pt idx="327">
                  <c:v>4.9000000000000012</c:v>
                </c:pt>
                <c:pt idx="328">
                  <c:v>4.9000000000000012</c:v>
                </c:pt>
                <c:pt idx="329">
                  <c:v>4.9000000000000012</c:v>
                </c:pt>
                <c:pt idx="330">
                  <c:v>4.9000000000000012</c:v>
                </c:pt>
                <c:pt idx="331">
                  <c:v>4.9000000000000012</c:v>
                </c:pt>
                <c:pt idx="332">
                  <c:v>4.9000000000000012</c:v>
                </c:pt>
                <c:pt idx="333">
                  <c:v>4.9000000000000012</c:v>
                </c:pt>
                <c:pt idx="334">
                  <c:v>4.9000000000000012</c:v>
                </c:pt>
                <c:pt idx="335">
                  <c:v>4.9000000000000012</c:v>
                </c:pt>
                <c:pt idx="336">
                  <c:v>4.9000000000000012</c:v>
                </c:pt>
                <c:pt idx="337">
                  <c:v>4.9000000000000012</c:v>
                </c:pt>
                <c:pt idx="338">
                  <c:v>4.9000000000000012</c:v>
                </c:pt>
                <c:pt idx="339">
                  <c:v>4.9000000000000012</c:v>
                </c:pt>
              </c:numCache>
            </c:numRef>
          </c:yVal>
          <c:smooth val="0"/>
          <c:extLst>
            <c:ext xmlns:c16="http://schemas.microsoft.com/office/drawing/2014/chart" uri="{C3380CC4-5D6E-409C-BE32-E72D297353CC}">
              <c16:uniqueId val="{00000003-4467-47D2-80E1-056DA352D68C}"/>
            </c:ext>
          </c:extLst>
        </c:ser>
        <c:ser>
          <c:idx val="3"/>
          <c:order val="4"/>
          <c:tx>
            <c:strRef>
              <c:f>OTP_conf_summary!$L$21</c:f>
              <c:strCache>
                <c:ptCount val="1"/>
                <c:pt idx="0">
                  <c:v>BUCK1</c:v>
                </c:pt>
              </c:strCache>
            </c:strRef>
          </c:tx>
          <c:spPr>
            <a:ln w="19050" cap="rnd">
              <a:solidFill>
                <a:schemeClr val="accent4"/>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OTP_conf_summary!$L$22:$L$361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0.19999999999999998</c:v>
                </c:pt>
                <c:pt idx="134">
                  <c:v>0.39999999999999997</c:v>
                </c:pt>
                <c:pt idx="135">
                  <c:v>0.6</c:v>
                </c:pt>
                <c:pt idx="136">
                  <c:v>0.79999999999999993</c:v>
                </c:pt>
                <c:pt idx="137">
                  <c:v>0.99999999999999989</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1.2</c:v>
                </c:pt>
                <c:pt idx="253">
                  <c:v>1.2</c:v>
                </c:pt>
                <c:pt idx="254">
                  <c:v>1.2</c:v>
                </c:pt>
                <c:pt idx="255">
                  <c:v>1.2</c:v>
                </c:pt>
                <c:pt idx="256">
                  <c:v>1.2</c:v>
                </c:pt>
                <c:pt idx="257">
                  <c:v>1.2</c:v>
                </c:pt>
                <c:pt idx="258">
                  <c:v>1.2</c:v>
                </c:pt>
                <c:pt idx="259">
                  <c:v>1.2</c:v>
                </c:pt>
                <c:pt idx="260">
                  <c:v>1.2</c:v>
                </c:pt>
                <c:pt idx="261">
                  <c:v>1.2</c:v>
                </c:pt>
                <c:pt idx="262">
                  <c:v>1.2</c:v>
                </c:pt>
                <c:pt idx="263">
                  <c:v>1.2</c:v>
                </c:pt>
                <c:pt idx="264">
                  <c:v>1.2</c:v>
                </c:pt>
                <c:pt idx="265">
                  <c:v>1.2</c:v>
                </c:pt>
                <c:pt idx="266">
                  <c:v>1.2</c:v>
                </c:pt>
                <c:pt idx="267">
                  <c:v>1.2</c:v>
                </c:pt>
                <c:pt idx="268">
                  <c:v>1.2</c:v>
                </c:pt>
                <c:pt idx="269">
                  <c:v>1.2</c:v>
                </c:pt>
                <c:pt idx="270">
                  <c:v>1.2</c:v>
                </c:pt>
                <c:pt idx="271">
                  <c:v>1.2</c:v>
                </c:pt>
                <c:pt idx="272">
                  <c:v>1.2</c:v>
                </c:pt>
                <c:pt idx="273">
                  <c:v>1.2</c:v>
                </c:pt>
                <c:pt idx="274">
                  <c:v>1.2</c:v>
                </c:pt>
                <c:pt idx="275">
                  <c:v>1.2</c:v>
                </c:pt>
                <c:pt idx="276">
                  <c:v>1.2</c:v>
                </c:pt>
                <c:pt idx="277">
                  <c:v>1.2</c:v>
                </c:pt>
                <c:pt idx="278">
                  <c:v>1.2</c:v>
                </c:pt>
                <c:pt idx="279">
                  <c:v>1.2</c:v>
                </c:pt>
                <c:pt idx="280">
                  <c:v>1.2</c:v>
                </c:pt>
                <c:pt idx="281">
                  <c:v>1.2</c:v>
                </c:pt>
                <c:pt idx="282">
                  <c:v>1.2</c:v>
                </c:pt>
                <c:pt idx="283">
                  <c:v>1.2</c:v>
                </c:pt>
                <c:pt idx="284">
                  <c:v>1.2</c:v>
                </c:pt>
                <c:pt idx="285">
                  <c:v>1.2</c:v>
                </c:pt>
                <c:pt idx="286">
                  <c:v>1.2</c:v>
                </c:pt>
                <c:pt idx="287">
                  <c:v>1.2</c:v>
                </c:pt>
                <c:pt idx="288">
                  <c:v>1.2</c:v>
                </c:pt>
                <c:pt idx="289">
                  <c:v>1.2</c:v>
                </c:pt>
                <c:pt idx="290">
                  <c:v>1.2</c:v>
                </c:pt>
                <c:pt idx="291">
                  <c:v>1.2</c:v>
                </c:pt>
                <c:pt idx="292">
                  <c:v>1.2</c:v>
                </c:pt>
                <c:pt idx="293">
                  <c:v>1.2</c:v>
                </c:pt>
                <c:pt idx="294">
                  <c:v>1.2</c:v>
                </c:pt>
                <c:pt idx="295">
                  <c:v>1.2</c:v>
                </c:pt>
                <c:pt idx="296">
                  <c:v>1.2</c:v>
                </c:pt>
                <c:pt idx="297">
                  <c:v>1.2</c:v>
                </c:pt>
                <c:pt idx="298">
                  <c:v>1.2</c:v>
                </c:pt>
                <c:pt idx="299">
                  <c:v>1.2</c:v>
                </c:pt>
                <c:pt idx="300">
                  <c:v>1.2</c:v>
                </c:pt>
                <c:pt idx="301">
                  <c:v>1.2</c:v>
                </c:pt>
                <c:pt idx="302">
                  <c:v>1.2</c:v>
                </c:pt>
                <c:pt idx="303">
                  <c:v>1.2</c:v>
                </c:pt>
                <c:pt idx="304">
                  <c:v>1.2</c:v>
                </c:pt>
                <c:pt idx="305">
                  <c:v>1.2</c:v>
                </c:pt>
                <c:pt idx="306">
                  <c:v>1.2</c:v>
                </c:pt>
                <c:pt idx="307">
                  <c:v>1.2</c:v>
                </c:pt>
                <c:pt idx="308">
                  <c:v>1.2</c:v>
                </c:pt>
                <c:pt idx="309">
                  <c:v>1.2</c:v>
                </c:pt>
                <c:pt idx="310">
                  <c:v>1.2</c:v>
                </c:pt>
                <c:pt idx="311">
                  <c:v>1.2</c:v>
                </c:pt>
                <c:pt idx="312">
                  <c:v>1.2</c:v>
                </c:pt>
                <c:pt idx="313">
                  <c:v>1.2</c:v>
                </c:pt>
                <c:pt idx="314">
                  <c:v>1.2</c:v>
                </c:pt>
                <c:pt idx="315">
                  <c:v>1.2</c:v>
                </c:pt>
                <c:pt idx="316">
                  <c:v>1.2</c:v>
                </c:pt>
                <c:pt idx="317">
                  <c:v>1.2</c:v>
                </c:pt>
                <c:pt idx="318">
                  <c:v>1.2</c:v>
                </c:pt>
                <c:pt idx="319">
                  <c:v>1.2</c:v>
                </c:pt>
                <c:pt idx="320">
                  <c:v>1.2</c:v>
                </c:pt>
                <c:pt idx="321">
                  <c:v>1.2</c:v>
                </c:pt>
                <c:pt idx="322">
                  <c:v>1.2</c:v>
                </c:pt>
                <c:pt idx="323">
                  <c:v>1.2</c:v>
                </c:pt>
                <c:pt idx="324">
                  <c:v>1.2</c:v>
                </c:pt>
                <c:pt idx="325">
                  <c:v>1.2</c:v>
                </c:pt>
                <c:pt idx="326">
                  <c:v>1.2</c:v>
                </c:pt>
                <c:pt idx="327">
                  <c:v>1.2</c:v>
                </c:pt>
                <c:pt idx="328">
                  <c:v>1.2</c:v>
                </c:pt>
                <c:pt idx="329">
                  <c:v>1.2</c:v>
                </c:pt>
                <c:pt idx="330">
                  <c:v>1.2</c:v>
                </c:pt>
                <c:pt idx="331">
                  <c:v>1.2</c:v>
                </c:pt>
                <c:pt idx="332">
                  <c:v>1.2</c:v>
                </c:pt>
                <c:pt idx="333">
                  <c:v>1.2</c:v>
                </c:pt>
                <c:pt idx="334">
                  <c:v>1.2</c:v>
                </c:pt>
                <c:pt idx="335">
                  <c:v>1.2</c:v>
                </c:pt>
                <c:pt idx="336">
                  <c:v>1.2</c:v>
                </c:pt>
                <c:pt idx="337">
                  <c:v>1.2</c:v>
                </c:pt>
                <c:pt idx="338">
                  <c:v>1.2</c:v>
                </c:pt>
                <c:pt idx="339">
                  <c:v>1.2</c:v>
                </c:pt>
              </c:numCache>
            </c:numRef>
          </c:yVal>
          <c:smooth val="0"/>
          <c:extLst>
            <c:ext xmlns:c16="http://schemas.microsoft.com/office/drawing/2014/chart" uri="{C3380CC4-5D6E-409C-BE32-E72D297353CC}">
              <c16:uniqueId val="{00000004-4467-47D2-80E1-056DA352D68C}"/>
            </c:ext>
          </c:extLst>
        </c:ser>
        <c:ser>
          <c:idx val="11"/>
          <c:order val="5"/>
          <c:tx>
            <c:strRef>
              <c:f>OTP_conf_summary!$M$21</c:f>
              <c:strCache>
                <c:ptCount val="1"/>
                <c:pt idx="0">
                  <c:v>BUCK2</c:v>
                </c:pt>
              </c:strCache>
            </c:strRef>
          </c:tx>
          <c:spPr>
            <a:ln w="19050" cap="rnd">
              <a:solidFill>
                <a:schemeClr val="accent6">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OTP_conf_summary!$M$22:$M$361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numCache>
            </c:numRef>
          </c:yVal>
          <c:smooth val="0"/>
          <c:extLst>
            <c:ext xmlns:c16="http://schemas.microsoft.com/office/drawing/2014/chart" uri="{C3380CC4-5D6E-409C-BE32-E72D297353CC}">
              <c16:uniqueId val="{00000005-4467-47D2-80E1-056DA352D68C}"/>
            </c:ext>
          </c:extLst>
        </c:ser>
        <c:ser>
          <c:idx val="4"/>
          <c:order val="6"/>
          <c:tx>
            <c:strRef>
              <c:f>OTP_conf_summary!$N$21</c:f>
              <c:strCache>
                <c:ptCount val="1"/>
                <c:pt idx="0">
                  <c:v>BUCK3</c:v>
                </c:pt>
              </c:strCache>
            </c:strRef>
          </c:tx>
          <c:spPr>
            <a:ln w="19050" cap="rnd">
              <a:solidFill>
                <a:schemeClr val="accent5"/>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OTP_conf_summary!$N$22:$N$361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0.25384615384615383</c:v>
                </c:pt>
                <c:pt idx="134">
                  <c:v>0.50769230769230766</c:v>
                </c:pt>
                <c:pt idx="135">
                  <c:v>0.7615384615384615</c:v>
                </c:pt>
                <c:pt idx="136">
                  <c:v>1.0153846153846153</c:v>
                </c:pt>
                <c:pt idx="137">
                  <c:v>1.2692307692307692</c:v>
                </c:pt>
                <c:pt idx="138">
                  <c:v>1.523076923076923</c:v>
                </c:pt>
                <c:pt idx="139">
                  <c:v>1.7769230769230768</c:v>
                </c:pt>
                <c:pt idx="140">
                  <c:v>2.0307692307692307</c:v>
                </c:pt>
                <c:pt idx="141">
                  <c:v>2.2846153846153845</c:v>
                </c:pt>
                <c:pt idx="142">
                  <c:v>2.5384615384615383</c:v>
                </c:pt>
                <c:pt idx="143">
                  <c:v>2.7923076923076922</c:v>
                </c:pt>
                <c:pt idx="144">
                  <c:v>3.046153846153846</c:v>
                </c:pt>
                <c:pt idx="145">
                  <c:v>3.3</c:v>
                </c:pt>
                <c:pt idx="146">
                  <c:v>3.3</c:v>
                </c:pt>
                <c:pt idx="147">
                  <c:v>3.3</c:v>
                </c:pt>
                <c:pt idx="148">
                  <c:v>3.3</c:v>
                </c:pt>
                <c:pt idx="149">
                  <c:v>3.3</c:v>
                </c:pt>
                <c:pt idx="150">
                  <c:v>3.3</c:v>
                </c:pt>
                <c:pt idx="151">
                  <c:v>3.3</c:v>
                </c:pt>
                <c:pt idx="152">
                  <c:v>3.3</c:v>
                </c:pt>
                <c:pt idx="153">
                  <c:v>3.3</c:v>
                </c:pt>
                <c:pt idx="154">
                  <c:v>3.3</c:v>
                </c:pt>
                <c:pt idx="155">
                  <c:v>3.3</c:v>
                </c:pt>
                <c:pt idx="156">
                  <c:v>3.3</c:v>
                </c:pt>
                <c:pt idx="157">
                  <c:v>3.3</c:v>
                </c:pt>
                <c:pt idx="158">
                  <c:v>3.3</c:v>
                </c:pt>
                <c:pt idx="159">
                  <c:v>3.3</c:v>
                </c:pt>
                <c:pt idx="160">
                  <c:v>3.3</c:v>
                </c:pt>
                <c:pt idx="161">
                  <c:v>3.3</c:v>
                </c:pt>
                <c:pt idx="162">
                  <c:v>3.3</c:v>
                </c:pt>
                <c:pt idx="163">
                  <c:v>3.3</c:v>
                </c:pt>
                <c:pt idx="164">
                  <c:v>3.3</c:v>
                </c:pt>
                <c:pt idx="165">
                  <c:v>3.3</c:v>
                </c:pt>
                <c:pt idx="166">
                  <c:v>3.3</c:v>
                </c:pt>
                <c:pt idx="167">
                  <c:v>3.3</c:v>
                </c:pt>
                <c:pt idx="168">
                  <c:v>3.3</c:v>
                </c:pt>
                <c:pt idx="169">
                  <c:v>3.3</c:v>
                </c:pt>
                <c:pt idx="170">
                  <c:v>3.3</c:v>
                </c:pt>
                <c:pt idx="171">
                  <c:v>3.3</c:v>
                </c:pt>
                <c:pt idx="172">
                  <c:v>3.3</c:v>
                </c:pt>
                <c:pt idx="173">
                  <c:v>3.3</c:v>
                </c:pt>
                <c:pt idx="174">
                  <c:v>3.3</c:v>
                </c:pt>
                <c:pt idx="175">
                  <c:v>3.3</c:v>
                </c:pt>
                <c:pt idx="176">
                  <c:v>3.3</c:v>
                </c:pt>
                <c:pt idx="177">
                  <c:v>3.3</c:v>
                </c:pt>
                <c:pt idx="178">
                  <c:v>3.3</c:v>
                </c:pt>
                <c:pt idx="179">
                  <c:v>3.3</c:v>
                </c:pt>
                <c:pt idx="180">
                  <c:v>3.3</c:v>
                </c:pt>
                <c:pt idx="181">
                  <c:v>3.3</c:v>
                </c:pt>
                <c:pt idx="182">
                  <c:v>3.3</c:v>
                </c:pt>
                <c:pt idx="183">
                  <c:v>3.3</c:v>
                </c:pt>
                <c:pt idx="184">
                  <c:v>3.3</c:v>
                </c:pt>
                <c:pt idx="185">
                  <c:v>3.3</c:v>
                </c:pt>
                <c:pt idx="186">
                  <c:v>3.3</c:v>
                </c:pt>
                <c:pt idx="187">
                  <c:v>3.3</c:v>
                </c:pt>
                <c:pt idx="188">
                  <c:v>3.3</c:v>
                </c:pt>
                <c:pt idx="189">
                  <c:v>3.3</c:v>
                </c:pt>
                <c:pt idx="190">
                  <c:v>3.3</c:v>
                </c:pt>
                <c:pt idx="191">
                  <c:v>3.3</c:v>
                </c:pt>
                <c:pt idx="192">
                  <c:v>3.3</c:v>
                </c:pt>
                <c:pt idx="193">
                  <c:v>3.3</c:v>
                </c:pt>
                <c:pt idx="194">
                  <c:v>3.3</c:v>
                </c:pt>
                <c:pt idx="195">
                  <c:v>3.3</c:v>
                </c:pt>
                <c:pt idx="196">
                  <c:v>3.3</c:v>
                </c:pt>
                <c:pt idx="197">
                  <c:v>3.3</c:v>
                </c:pt>
                <c:pt idx="198">
                  <c:v>3.3</c:v>
                </c:pt>
                <c:pt idx="199">
                  <c:v>3.3</c:v>
                </c:pt>
                <c:pt idx="200">
                  <c:v>3.3</c:v>
                </c:pt>
                <c:pt idx="201">
                  <c:v>3.3</c:v>
                </c:pt>
                <c:pt idx="202">
                  <c:v>3.3</c:v>
                </c:pt>
                <c:pt idx="203">
                  <c:v>3.3</c:v>
                </c:pt>
                <c:pt idx="204">
                  <c:v>3.3</c:v>
                </c:pt>
                <c:pt idx="205">
                  <c:v>3.3</c:v>
                </c:pt>
                <c:pt idx="206">
                  <c:v>3.3</c:v>
                </c:pt>
                <c:pt idx="207">
                  <c:v>3.3</c:v>
                </c:pt>
                <c:pt idx="208">
                  <c:v>3.3</c:v>
                </c:pt>
                <c:pt idx="209">
                  <c:v>3.3</c:v>
                </c:pt>
                <c:pt idx="210">
                  <c:v>3.3</c:v>
                </c:pt>
                <c:pt idx="211">
                  <c:v>3.3</c:v>
                </c:pt>
                <c:pt idx="212">
                  <c:v>3.3</c:v>
                </c:pt>
                <c:pt idx="213">
                  <c:v>3.3</c:v>
                </c:pt>
                <c:pt idx="214">
                  <c:v>3.3</c:v>
                </c:pt>
                <c:pt idx="215">
                  <c:v>3.3</c:v>
                </c:pt>
                <c:pt idx="216">
                  <c:v>3.3</c:v>
                </c:pt>
                <c:pt idx="217">
                  <c:v>3.3</c:v>
                </c:pt>
                <c:pt idx="218">
                  <c:v>3.3</c:v>
                </c:pt>
                <c:pt idx="219">
                  <c:v>3.3</c:v>
                </c:pt>
                <c:pt idx="220">
                  <c:v>3.3</c:v>
                </c:pt>
                <c:pt idx="221">
                  <c:v>3.3</c:v>
                </c:pt>
                <c:pt idx="222">
                  <c:v>3.3</c:v>
                </c:pt>
                <c:pt idx="223">
                  <c:v>3.3</c:v>
                </c:pt>
                <c:pt idx="224">
                  <c:v>3.3</c:v>
                </c:pt>
                <c:pt idx="225">
                  <c:v>3.3</c:v>
                </c:pt>
                <c:pt idx="226">
                  <c:v>3.3</c:v>
                </c:pt>
                <c:pt idx="227">
                  <c:v>3.3</c:v>
                </c:pt>
                <c:pt idx="228">
                  <c:v>3.3</c:v>
                </c:pt>
                <c:pt idx="229">
                  <c:v>3.3</c:v>
                </c:pt>
                <c:pt idx="230">
                  <c:v>3.3</c:v>
                </c:pt>
                <c:pt idx="231">
                  <c:v>3.3</c:v>
                </c:pt>
                <c:pt idx="232">
                  <c:v>3.3</c:v>
                </c:pt>
                <c:pt idx="233">
                  <c:v>3.3</c:v>
                </c:pt>
                <c:pt idx="234">
                  <c:v>3.3</c:v>
                </c:pt>
                <c:pt idx="235">
                  <c:v>3.3</c:v>
                </c:pt>
                <c:pt idx="236">
                  <c:v>3.3</c:v>
                </c:pt>
                <c:pt idx="237">
                  <c:v>3.3</c:v>
                </c:pt>
                <c:pt idx="238">
                  <c:v>3.3</c:v>
                </c:pt>
                <c:pt idx="239">
                  <c:v>3.3</c:v>
                </c:pt>
                <c:pt idx="240">
                  <c:v>3.3</c:v>
                </c:pt>
                <c:pt idx="241">
                  <c:v>3.3</c:v>
                </c:pt>
                <c:pt idx="242">
                  <c:v>3.3</c:v>
                </c:pt>
                <c:pt idx="243">
                  <c:v>3.3</c:v>
                </c:pt>
                <c:pt idx="244">
                  <c:v>3.3</c:v>
                </c:pt>
                <c:pt idx="245">
                  <c:v>3.3</c:v>
                </c:pt>
                <c:pt idx="246">
                  <c:v>3.3</c:v>
                </c:pt>
                <c:pt idx="247">
                  <c:v>3.3</c:v>
                </c:pt>
                <c:pt idx="248">
                  <c:v>3.3</c:v>
                </c:pt>
                <c:pt idx="249">
                  <c:v>3.3</c:v>
                </c:pt>
                <c:pt idx="250">
                  <c:v>3.3</c:v>
                </c:pt>
                <c:pt idx="251">
                  <c:v>3.3</c:v>
                </c:pt>
                <c:pt idx="252">
                  <c:v>3.3</c:v>
                </c:pt>
                <c:pt idx="253">
                  <c:v>3.3</c:v>
                </c:pt>
                <c:pt idx="254">
                  <c:v>3.3</c:v>
                </c:pt>
                <c:pt idx="255">
                  <c:v>3.3</c:v>
                </c:pt>
                <c:pt idx="256">
                  <c:v>3.3</c:v>
                </c:pt>
                <c:pt idx="257">
                  <c:v>3.3</c:v>
                </c:pt>
                <c:pt idx="258">
                  <c:v>3.3</c:v>
                </c:pt>
                <c:pt idx="259">
                  <c:v>3.3</c:v>
                </c:pt>
                <c:pt idx="260">
                  <c:v>3.3</c:v>
                </c:pt>
                <c:pt idx="261">
                  <c:v>3.3</c:v>
                </c:pt>
                <c:pt idx="262">
                  <c:v>3.3</c:v>
                </c:pt>
                <c:pt idx="263">
                  <c:v>3.3</c:v>
                </c:pt>
                <c:pt idx="264">
                  <c:v>3.3</c:v>
                </c:pt>
                <c:pt idx="265">
                  <c:v>3.3</c:v>
                </c:pt>
                <c:pt idx="266">
                  <c:v>3.3</c:v>
                </c:pt>
                <c:pt idx="267">
                  <c:v>3.3</c:v>
                </c:pt>
                <c:pt idx="268">
                  <c:v>3.3</c:v>
                </c:pt>
                <c:pt idx="269">
                  <c:v>3.3</c:v>
                </c:pt>
                <c:pt idx="270">
                  <c:v>3.3</c:v>
                </c:pt>
                <c:pt idx="271">
                  <c:v>3.3</c:v>
                </c:pt>
                <c:pt idx="272">
                  <c:v>3.3</c:v>
                </c:pt>
                <c:pt idx="273">
                  <c:v>3.3</c:v>
                </c:pt>
                <c:pt idx="274">
                  <c:v>3.3</c:v>
                </c:pt>
                <c:pt idx="275">
                  <c:v>3.3</c:v>
                </c:pt>
                <c:pt idx="276">
                  <c:v>3.3</c:v>
                </c:pt>
                <c:pt idx="277">
                  <c:v>3.3</c:v>
                </c:pt>
                <c:pt idx="278">
                  <c:v>3.3</c:v>
                </c:pt>
                <c:pt idx="279">
                  <c:v>3.3</c:v>
                </c:pt>
                <c:pt idx="280">
                  <c:v>3.3</c:v>
                </c:pt>
                <c:pt idx="281">
                  <c:v>3.3</c:v>
                </c:pt>
                <c:pt idx="282">
                  <c:v>3.3</c:v>
                </c:pt>
                <c:pt idx="283">
                  <c:v>3.3</c:v>
                </c:pt>
                <c:pt idx="284">
                  <c:v>3.3</c:v>
                </c:pt>
                <c:pt idx="285">
                  <c:v>3.3</c:v>
                </c:pt>
                <c:pt idx="286">
                  <c:v>3.3</c:v>
                </c:pt>
                <c:pt idx="287">
                  <c:v>3.3</c:v>
                </c:pt>
                <c:pt idx="288">
                  <c:v>3.3</c:v>
                </c:pt>
                <c:pt idx="289">
                  <c:v>3.3</c:v>
                </c:pt>
                <c:pt idx="290">
                  <c:v>3.3</c:v>
                </c:pt>
                <c:pt idx="291">
                  <c:v>3.3</c:v>
                </c:pt>
                <c:pt idx="292">
                  <c:v>3.3</c:v>
                </c:pt>
                <c:pt idx="293">
                  <c:v>3.3</c:v>
                </c:pt>
                <c:pt idx="294">
                  <c:v>3.3</c:v>
                </c:pt>
                <c:pt idx="295">
                  <c:v>3.3</c:v>
                </c:pt>
                <c:pt idx="296">
                  <c:v>3.3</c:v>
                </c:pt>
                <c:pt idx="297">
                  <c:v>3.3</c:v>
                </c:pt>
                <c:pt idx="298">
                  <c:v>3.3</c:v>
                </c:pt>
                <c:pt idx="299">
                  <c:v>3.3</c:v>
                </c:pt>
                <c:pt idx="300">
                  <c:v>3.3</c:v>
                </c:pt>
                <c:pt idx="301">
                  <c:v>3.3</c:v>
                </c:pt>
                <c:pt idx="302">
                  <c:v>3.3</c:v>
                </c:pt>
                <c:pt idx="303">
                  <c:v>3.3</c:v>
                </c:pt>
                <c:pt idx="304">
                  <c:v>3.3</c:v>
                </c:pt>
                <c:pt idx="305">
                  <c:v>3.3</c:v>
                </c:pt>
                <c:pt idx="306">
                  <c:v>3.3</c:v>
                </c:pt>
                <c:pt idx="307">
                  <c:v>3.3</c:v>
                </c:pt>
                <c:pt idx="308">
                  <c:v>3.3</c:v>
                </c:pt>
                <c:pt idx="309">
                  <c:v>3.3</c:v>
                </c:pt>
                <c:pt idx="310">
                  <c:v>3.3</c:v>
                </c:pt>
                <c:pt idx="311">
                  <c:v>3.3</c:v>
                </c:pt>
                <c:pt idx="312">
                  <c:v>3.3</c:v>
                </c:pt>
                <c:pt idx="313">
                  <c:v>3.3</c:v>
                </c:pt>
                <c:pt idx="314">
                  <c:v>3.3</c:v>
                </c:pt>
                <c:pt idx="315">
                  <c:v>3.3</c:v>
                </c:pt>
                <c:pt idx="316">
                  <c:v>3.3</c:v>
                </c:pt>
                <c:pt idx="317">
                  <c:v>3.3</c:v>
                </c:pt>
                <c:pt idx="318">
                  <c:v>3.3</c:v>
                </c:pt>
                <c:pt idx="319">
                  <c:v>3.3</c:v>
                </c:pt>
                <c:pt idx="320">
                  <c:v>3.3</c:v>
                </c:pt>
                <c:pt idx="321">
                  <c:v>3.3</c:v>
                </c:pt>
                <c:pt idx="322">
                  <c:v>3.3</c:v>
                </c:pt>
                <c:pt idx="323">
                  <c:v>3.3</c:v>
                </c:pt>
                <c:pt idx="324">
                  <c:v>3.3</c:v>
                </c:pt>
                <c:pt idx="325">
                  <c:v>3.3</c:v>
                </c:pt>
                <c:pt idx="326">
                  <c:v>3.3</c:v>
                </c:pt>
                <c:pt idx="327">
                  <c:v>3.3</c:v>
                </c:pt>
                <c:pt idx="328">
                  <c:v>3.3</c:v>
                </c:pt>
                <c:pt idx="329">
                  <c:v>3.3</c:v>
                </c:pt>
                <c:pt idx="330">
                  <c:v>3.3</c:v>
                </c:pt>
                <c:pt idx="331">
                  <c:v>3.3</c:v>
                </c:pt>
                <c:pt idx="332">
                  <c:v>3.3</c:v>
                </c:pt>
                <c:pt idx="333">
                  <c:v>3.3</c:v>
                </c:pt>
                <c:pt idx="334">
                  <c:v>3.3</c:v>
                </c:pt>
                <c:pt idx="335">
                  <c:v>3.3</c:v>
                </c:pt>
                <c:pt idx="336">
                  <c:v>3.3</c:v>
                </c:pt>
                <c:pt idx="337">
                  <c:v>3.3</c:v>
                </c:pt>
                <c:pt idx="338">
                  <c:v>3.3</c:v>
                </c:pt>
                <c:pt idx="339">
                  <c:v>3.3</c:v>
                </c:pt>
              </c:numCache>
            </c:numRef>
          </c:yVal>
          <c:smooth val="0"/>
          <c:extLst>
            <c:ext xmlns:c16="http://schemas.microsoft.com/office/drawing/2014/chart" uri="{C3380CC4-5D6E-409C-BE32-E72D297353CC}">
              <c16:uniqueId val="{00000006-4467-47D2-80E1-056DA352D68C}"/>
            </c:ext>
          </c:extLst>
        </c:ser>
        <c:ser>
          <c:idx val="5"/>
          <c:order val="7"/>
          <c:tx>
            <c:strRef>
              <c:f>OTP_conf_summary!$O$21</c:f>
              <c:strCache>
                <c:ptCount val="1"/>
                <c:pt idx="0">
                  <c:v>LDO1</c:v>
                </c:pt>
              </c:strCache>
            </c:strRef>
          </c:tx>
          <c:spPr>
            <a:ln w="19050" cap="rnd">
              <a:solidFill>
                <a:schemeClr val="accent6"/>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OTP_conf_summary!$O$22:$O$361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numCache>
            </c:numRef>
          </c:yVal>
          <c:smooth val="0"/>
          <c:extLst>
            <c:ext xmlns:c16="http://schemas.microsoft.com/office/drawing/2014/chart" uri="{C3380CC4-5D6E-409C-BE32-E72D297353CC}">
              <c16:uniqueId val="{00000007-4467-47D2-80E1-056DA352D68C}"/>
            </c:ext>
          </c:extLst>
        </c:ser>
        <c:ser>
          <c:idx val="6"/>
          <c:order val="8"/>
          <c:tx>
            <c:strRef>
              <c:f>OTP_conf_summary!$P$21</c:f>
              <c:strCache>
                <c:ptCount val="1"/>
                <c:pt idx="0">
                  <c:v>LDO2</c:v>
                </c:pt>
              </c:strCache>
            </c:strRef>
          </c:tx>
          <c:spPr>
            <a:ln w="19050" cap="rnd">
              <a:solidFill>
                <a:schemeClr val="accent1">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OTP_conf_summary!$P$22:$P$361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numCache>
            </c:numRef>
          </c:yVal>
          <c:smooth val="0"/>
          <c:extLst>
            <c:ext xmlns:c16="http://schemas.microsoft.com/office/drawing/2014/chart" uri="{C3380CC4-5D6E-409C-BE32-E72D297353CC}">
              <c16:uniqueId val="{00000008-4467-47D2-80E1-056DA352D68C}"/>
            </c:ext>
          </c:extLst>
        </c:ser>
        <c:ser>
          <c:idx val="9"/>
          <c:order val="9"/>
          <c:tx>
            <c:strRef>
              <c:f>OTP_conf_summary!$Q$21</c:f>
              <c:strCache>
                <c:ptCount val="1"/>
                <c:pt idx="0">
                  <c:v>LBIST</c:v>
                </c:pt>
              </c:strCache>
            </c:strRef>
          </c:tx>
          <c:spPr>
            <a:ln w="19050" cap="rnd">
              <a:solidFill>
                <a:schemeClr val="accent4">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OTP_conf_summary!$Q$22:$Q$361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numCache>
            </c:numRef>
          </c:yVal>
          <c:smooth val="0"/>
          <c:extLst>
            <c:ext xmlns:c16="http://schemas.microsoft.com/office/drawing/2014/chart" uri="{C3380CC4-5D6E-409C-BE32-E72D297353CC}">
              <c16:uniqueId val="{00000009-4467-47D2-80E1-056DA352D68C}"/>
            </c:ext>
          </c:extLst>
        </c:ser>
        <c:ser>
          <c:idx val="10"/>
          <c:order val="10"/>
          <c:tx>
            <c:strRef>
              <c:f>OTP_conf_summary!$S$21</c:f>
              <c:strCache>
                <c:ptCount val="1"/>
                <c:pt idx="0">
                  <c:v>ABIST</c:v>
                </c:pt>
              </c:strCache>
            </c:strRef>
          </c:tx>
          <c:spPr>
            <a:ln w="19050" cap="rnd">
              <a:solidFill>
                <a:schemeClr val="accent5">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OTP_conf_summary!$S$22:$S$361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1.6</c:v>
                </c:pt>
                <c:pt idx="94">
                  <c:v>1.6</c:v>
                </c:pt>
                <c:pt idx="95">
                  <c:v>1.6</c:v>
                </c:pt>
                <c:pt idx="96">
                  <c:v>1.6</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numCache>
            </c:numRef>
          </c:yVal>
          <c:smooth val="0"/>
          <c:extLst>
            <c:ext xmlns:c16="http://schemas.microsoft.com/office/drawing/2014/chart" uri="{C3380CC4-5D6E-409C-BE32-E72D297353CC}">
              <c16:uniqueId val="{0000000A-4467-47D2-80E1-056DA352D68C}"/>
            </c:ext>
          </c:extLst>
        </c:ser>
        <c:ser>
          <c:idx val="7"/>
          <c:order val="11"/>
          <c:tx>
            <c:strRef>
              <c:f>OTP_conf_summary!$R$21</c:f>
              <c:strCache>
                <c:ptCount val="1"/>
                <c:pt idx="0">
                  <c:v>RSTB</c:v>
                </c:pt>
              </c:strCache>
            </c:strRef>
          </c:tx>
          <c:spPr>
            <a:ln w="19050" cap="rnd">
              <a:solidFill>
                <a:schemeClr val="accent2">
                  <a:lumMod val="60000"/>
                </a:schemeClr>
              </a:solidFill>
              <a:round/>
            </a:ln>
            <a:effectLst/>
          </c:spPr>
          <c:marker>
            <c:symbol val="none"/>
          </c:marker>
          <c:xVal>
            <c:numRef>
              <c:f>OTP_conf_summary!$G$22:$G$361</c:f>
              <c:numCache>
                <c:formatCode>0.00</c:formatCode>
                <c:ptCount val="34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numCache>
            </c:numRef>
          </c:xVal>
          <c:yVal>
            <c:numRef>
              <c:f>OTP_conf_summary!$R$22:$R$361</c:f>
              <c:numCache>
                <c:formatCode>0.00</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4.8</c:v>
                </c:pt>
                <c:pt idx="98">
                  <c:v>4.8</c:v>
                </c:pt>
                <c:pt idx="99">
                  <c:v>4.8</c:v>
                </c:pt>
                <c:pt idx="100">
                  <c:v>4.8</c:v>
                </c:pt>
                <c:pt idx="101">
                  <c:v>4.8</c:v>
                </c:pt>
                <c:pt idx="102">
                  <c:v>4.8</c:v>
                </c:pt>
                <c:pt idx="103">
                  <c:v>4.8</c:v>
                </c:pt>
                <c:pt idx="104">
                  <c:v>4.8</c:v>
                </c:pt>
                <c:pt idx="105">
                  <c:v>4.8</c:v>
                </c:pt>
                <c:pt idx="106">
                  <c:v>4.8</c:v>
                </c:pt>
                <c:pt idx="107">
                  <c:v>4.8</c:v>
                </c:pt>
                <c:pt idx="108">
                  <c:v>4.8</c:v>
                </c:pt>
                <c:pt idx="109">
                  <c:v>4.8</c:v>
                </c:pt>
                <c:pt idx="110">
                  <c:v>4.8</c:v>
                </c:pt>
                <c:pt idx="111">
                  <c:v>4.8</c:v>
                </c:pt>
                <c:pt idx="112">
                  <c:v>4.8</c:v>
                </c:pt>
                <c:pt idx="113">
                  <c:v>4.8</c:v>
                </c:pt>
                <c:pt idx="114">
                  <c:v>4.8</c:v>
                </c:pt>
                <c:pt idx="115">
                  <c:v>4.8</c:v>
                </c:pt>
                <c:pt idx="116">
                  <c:v>4.8</c:v>
                </c:pt>
                <c:pt idx="117">
                  <c:v>4.8</c:v>
                </c:pt>
                <c:pt idx="118">
                  <c:v>4.8</c:v>
                </c:pt>
                <c:pt idx="119">
                  <c:v>4.8</c:v>
                </c:pt>
                <c:pt idx="120">
                  <c:v>4.8</c:v>
                </c:pt>
                <c:pt idx="121">
                  <c:v>4.8</c:v>
                </c:pt>
                <c:pt idx="122">
                  <c:v>4.8</c:v>
                </c:pt>
                <c:pt idx="123">
                  <c:v>4.8</c:v>
                </c:pt>
                <c:pt idx="124">
                  <c:v>4.8</c:v>
                </c:pt>
                <c:pt idx="125">
                  <c:v>4.8</c:v>
                </c:pt>
                <c:pt idx="126">
                  <c:v>4.8</c:v>
                </c:pt>
                <c:pt idx="127">
                  <c:v>4.8</c:v>
                </c:pt>
                <c:pt idx="128">
                  <c:v>4.8</c:v>
                </c:pt>
                <c:pt idx="129">
                  <c:v>4.8</c:v>
                </c:pt>
                <c:pt idx="130">
                  <c:v>4.8</c:v>
                </c:pt>
                <c:pt idx="131">
                  <c:v>4.8</c:v>
                </c:pt>
                <c:pt idx="132">
                  <c:v>4.8</c:v>
                </c:pt>
                <c:pt idx="133">
                  <c:v>4.8</c:v>
                </c:pt>
                <c:pt idx="134">
                  <c:v>4.8</c:v>
                </c:pt>
                <c:pt idx="135">
                  <c:v>4.8</c:v>
                </c:pt>
                <c:pt idx="136">
                  <c:v>4.8</c:v>
                </c:pt>
                <c:pt idx="137">
                  <c:v>4.8</c:v>
                </c:pt>
                <c:pt idx="138">
                  <c:v>4.8</c:v>
                </c:pt>
                <c:pt idx="139">
                  <c:v>4.8</c:v>
                </c:pt>
                <c:pt idx="140">
                  <c:v>4.8</c:v>
                </c:pt>
                <c:pt idx="141">
                  <c:v>4.8</c:v>
                </c:pt>
                <c:pt idx="142">
                  <c:v>4.8</c:v>
                </c:pt>
                <c:pt idx="143">
                  <c:v>4.8</c:v>
                </c:pt>
                <c:pt idx="144">
                  <c:v>4.8</c:v>
                </c:pt>
                <c:pt idx="145">
                  <c:v>4.8</c:v>
                </c:pt>
                <c:pt idx="146">
                  <c:v>4.8</c:v>
                </c:pt>
                <c:pt idx="147">
                  <c:v>4.8</c:v>
                </c:pt>
                <c:pt idx="148">
                  <c:v>4.8</c:v>
                </c:pt>
                <c:pt idx="149">
                  <c:v>4.8</c:v>
                </c:pt>
                <c:pt idx="150">
                  <c:v>4.8</c:v>
                </c:pt>
                <c:pt idx="151">
                  <c:v>4.8</c:v>
                </c:pt>
                <c:pt idx="152">
                  <c:v>4.8</c:v>
                </c:pt>
                <c:pt idx="153">
                  <c:v>4.8</c:v>
                </c:pt>
                <c:pt idx="154">
                  <c:v>4.8</c:v>
                </c:pt>
                <c:pt idx="155">
                  <c:v>4.8</c:v>
                </c:pt>
                <c:pt idx="156">
                  <c:v>4.8</c:v>
                </c:pt>
                <c:pt idx="157">
                  <c:v>4.8</c:v>
                </c:pt>
                <c:pt idx="158">
                  <c:v>4.8</c:v>
                </c:pt>
                <c:pt idx="159">
                  <c:v>4.8</c:v>
                </c:pt>
                <c:pt idx="160">
                  <c:v>4.8</c:v>
                </c:pt>
                <c:pt idx="161">
                  <c:v>4.8</c:v>
                </c:pt>
                <c:pt idx="162">
                  <c:v>4.8</c:v>
                </c:pt>
                <c:pt idx="163">
                  <c:v>4.8</c:v>
                </c:pt>
                <c:pt idx="164">
                  <c:v>4.8</c:v>
                </c:pt>
                <c:pt idx="165">
                  <c:v>4.8</c:v>
                </c:pt>
                <c:pt idx="166">
                  <c:v>4.8</c:v>
                </c:pt>
                <c:pt idx="167">
                  <c:v>4.8</c:v>
                </c:pt>
                <c:pt idx="168">
                  <c:v>4.8</c:v>
                </c:pt>
                <c:pt idx="169">
                  <c:v>4.8</c:v>
                </c:pt>
                <c:pt idx="170">
                  <c:v>4.8</c:v>
                </c:pt>
                <c:pt idx="171">
                  <c:v>4.8</c:v>
                </c:pt>
                <c:pt idx="172">
                  <c:v>4.8</c:v>
                </c:pt>
                <c:pt idx="173">
                  <c:v>4.8</c:v>
                </c:pt>
                <c:pt idx="174">
                  <c:v>4.8</c:v>
                </c:pt>
                <c:pt idx="175">
                  <c:v>4.8</c:v>
                </c:pt>
                <c:pt idx="176">
                  <c:v>4.8</c:v>
                </c:pt>
                <c:pt idx="177">
                  <c:v>4.8</c:v>
                </c:pt>
                <c:pt idx="178">
                  <c:v>4.8</c:v>
                </c:pt>
                <c:pt idx="179">
                  <c:v>4.8</c:v>
                </c:pt>
                <c:pt idx="180">
                  <c:v>4.8</c:v>
                </c:pt>
                <c:pt idx="181">
                  <c:v>4.8</c:v>
                </c:pt>
                <c:pt idx="182">
                  <c:v>4.8</c:v>
                </c:pt>
                <c:pt idx="183">
                  <c:v>4.8</c:v>
                </c:pt>
                <c:pt idx="184">
                  <c:v>4.8</c:v>
                </c:pt>
                <c:pt idx="185">
                  <c:v>4.8</c:v>
                </c:pt>
                <c:pt idx="186">
                  <c:v>4.8</c:v>
                </c:pt>
                <c:pt idx="187">
                  <c:v>4.8</c:v>
                </c:pt>
                <c:pt idx="188">
                  <c:v>4.8</c:v>
                </c:pt>
                <c:pt idx="189">
                  <c:v>4.8</c:v>
                </c:pt>
                <c:pt idx="190">
                  <c:v>4.8</c:v>
                </c:pt>
                <c:pt idx="191">
                  <c:v>4.8</c:v>
                </c:pt>
                <c:pt idx="192">
                  <c:v>4.8</c:v>
                </c:pt>
                <c:pt idx="193">
                  <c:v>4.8</c:v>
                </c:pt>
                <c:pt idx="194">
                  <c:v>4.8</c:v>
                </c:pt>
                <c:pt idx="195">
                  <c:v>4.8</c:v>
                </c:pt>
                <c:pt idx="196">
                  <c:v>4.8</c:v>
                </c:pt>
                <c:pt idx="197">
                  <c:v>4.8</c:v>
                </c:pt>
                <c:pt idx="198">
                  <c:v>4.8</c:v>
                </c:pt>
                <c:pt idx="199">
                  <c:v>4.8</c:v>
                </c:pt>
                <c:pt idx="200">
                  <c:v>4.8</c:v>
                </c:pt>
                <c:pt idx="201">
                  <c:v>4.8</c:v>
                </c:pt>
                <c:pt idx="202">
                  <c:v>4.8</c:v>
                </c:pt>
                <c:pt idx="203">
                  <c:v>4.8</c:v>
                </c:pt>
                <c:pt idx="204">
                  <c:v>4.8</c:v>
                </c:pt>
                <c:pt idx="205">
                  <c:v>4.8</c:v>
                </c:pt>
                <c:pt idx="206">
                  <c:v>4.8</c:v>
                </c:pt>
                <c:pt idx="207">
                  <c:v>4.8</c:v>
                </c:pt>
                <c:pt idx="208">
                  <c:v>4.8</c:v>
                </c:pt>
                <c:pt idx="209">
                  <c:v>4.8</c:v>
                </c:pt>
                <c:pt idx="210">
                  <c:v>4.8</c:v>
                </c:pt>
                <c:pt idx="211">
                  <c:v>4.8</c:v>
                </c:pt>
                <c:pt idx="212">
                  <c:v>4.8</c:v>
                </c:pt>
                <c:pt idx="213">
                  <c:v>4.8</c:v>
                </c:pt>
                <c:pt idx="214">
                  <c:v>4.8</c:v>
                </c:pt>
                <c:pt idx="215">
                  <c:v>4.8</c:v>
                </c:pt>
                <c:pt idx="216">
                  <c:v>4.8</c:v>
                </c:pt>
                <c:pt idx="217">
                  <c:v>4.8</c:v>
                </c:pt>
                <c:pt idx="218">
                  <c:v>4.8</c:v>
                </c:pt>
                <c:pt idx="219">
                  <c:v>4.8</c:v>
                </c:pt>
                <c:pt idx="220">
                  <c:v>4.8</c:v>
                </c:pt>
                <c:pt idx="221">
                  <c:v>4.8</c:v>
                </c:pt>
                <c:pt idx="222">
                  <c:v>4.8</c:v>
                </c:pt>
                <c:pt idx="223">
                  <c:v>4.8</c:v>
                </c:pt>
                <c:pt idx="224">
                  <c:v>4.8</c:v>
                </c:pt>
                <c:pt idx="225">
                  <c:v>4.8</c:v>
                </c:pt>
                <c:pt idx="226">
                  <c:v>4.8</c:v>
                </c:pt>
                <c:pt idx="227">
                  <c:v>4.8</c:v>
                </c:pt>
                <c:pt idx="228">
                  <c:v>4.8</c:v>
                </c:pt>
                <c:pt idx="229">
                  <c:v>4.8</c:v>
                </c:pt>
                <c:pt idx="230">
                  <c:v>4.8</c:v>
                </c:pt>
                <c:pt idx="231">
                  <c:v>4.8</c:v>
                </c:pt>
                <c:pt idx="232">
                  <c:v>4.8</c:v>
                </c:pt>
                <c:pt idx="233">
                  <c:v>4.8</c:v>
                </c:pt>
                <c:pt idx="234">
                  <c:v>4.8</c:v>
                </c:pt>
                <c:pt idx="235">
                  <c:v>4.8</c:v>
                </c:pt>
                <c:pt idx="236">
                  <c:v>4.8</c:v>
                </c:pt>
                <c:pt idx="237">
                  <c:v>4.8</c:v>
                </c:pt>
                <c:pt idx="238">
                  <c:v>4.8</c:v>
                </c:pt>
                <c:pt idx="239">
                  <c:v>4.8</c:v>
                </c:pt>
                <c:pt idx="240">
                  <c:v>4.8</c:v>
                </c:pt>
                <c:pt idx="241">
                  <c:v>4.8</c:v>
                </c:pt>
                <c:pt idx="242">
                  <c:v>4.8</c:v>
                </c:pt>
                <c:pt idx="243">
                  <c:v>4.8</c:v>
                </c:pt>
                <c:pt idx="244">
                  <c:v>4.8</c:v>
                </c:pt>
                <c:pt idx="245">
                  <c:v>4.8</c:v>
                </c:pt>
                <c:pt idx="246">
                  <c:v>4.8</c:v>
                </c:pt>
                <c:pt idx="247">
                  <c:v>4.8</c:v>
                </c:pt>
                <c:pt idx="248">
                  <c:v>4.8</c:v>
                </c:pt>
                <c:pt idx="249">
                  <c:v>4.8</c:v>
                </c:pt>
                <c:pt idx="250">
                  <c:v>4.8</c:v>
                </c:pt>
                <c:pt idx="251">
                  <c:v>4.8</c:v>
                </c:pt>
                <c:pt idx="252">
                  <c:v>4.8</c:v>
                </c:pt>
                <c:pt idx="253">
                  <c:v>4.8</c:v>
                </c:pt>
                <c:pt idx="254">
                  <c:v>4.8</c:v>
                </c:pt>
                <c:pt idx="255">
                  <c:v>4.8</c:v>
                </c:pt>
                <c:pt idx="256">
                  <c:v>4.8</c:v>
                </c:pt>
                <c:pt idx="257">
                  <c:v>4.8</c:v>
                </c:pt>
                <c:pt idx="258">
                  <c:v>4.8</c:v>
                </c:pt>
                <c:pt idx="259">
                  <c:v>4.8</c:v>
                </c:pt>
                <c:pt idx="260">
                  <c:v>4.8</c:v>
                </c:pt>
                <c:pt idx="261">
                  <c:v>4.8</c:v>
                </c:pt>
                <c:pt idx="262">
                  <c:v>4.8</c:v>
                </c:pt>
                <c:pt idx="263">
                  <c:v>4.8</c:v>
                </c:pt>
                <c:pt idx="264">
                  <c:v>4.8</c:v>
                </c:pt>
                <c:pt idx="265">
                  <c:v>4.8</c:v>
                </c:pt>
                <c:pt idx="266">
                  <c:v>4.8</c:v>
                </c:pt>
                <c:pt idx="267">
                  <c:v>4.8</c:v>
                </c:pt>
                <c:pt idx="268">
                  <c:v>4.8</c:v>
                </c:pt>
                <c:pt idx="269">
                  <c:v>4.8</c:v>
                </c:pt>
                <c:pt idx="270">
                  <c:v>4.8</c:v>
                </c:pt>
                <c:pt idx="271">
                  <c:v>4.8</c:v>
                </c:pt>
                <c:pt idx="272">
                  <c:v>4.8</c:v>
                </c:pt>
                <c:pt idx="273">
                  <c:v>4.8</c:v>
                </c:pt>
                <c:pt idx="274">
                  <c:v>4.8</c:v>
                </c:pt>
                <c:pt idx="275">
                  <c:v>4.8</c:v>
                </c:pt>
                <c:pt idx="276">
                  <c:v>4.8</c:v>
                </c:pt>
                <c:pt idx="277">
                  <c:v>4.8</c:v>
                </c:pt>
                <c:pt idx="278">
                  <c:v>4.8</c:v>
                </c:pt>
                <c:pt idx="279">
                  <c:v>4.8</c:v>
                </c:pt>
                <c:pt idx="280">
                  <c:v>4.8</c:v>
                </c:pt>
                <c:pt idx="281">
                  <c:v>4.8</c:v>
                </c:pt>
                <c:pt idx="282">
                  <c:v>4.8</c:v>
                </c:pt>
                <c:pt idx="283">
                  <c:v>4.8</c:v>
                </c:pt>
                <c:pt idx="284">
                  <c:v>4.8</c:v>
                </c:pt>
                <c:pt idx="285">
                  <c:v>4.8</c:v>
                </c:pt>
                <c:pt idx="286">
                  <c:v>4.8</c:v>
                </c:pt>
                <c:pt idx="287">
                  <c:v>4.8</c:v>
                </c:pt>
                <c:pt idx="288">
                  <c:v>4.8</c:v>
                </c:pt>
                <c:pt idx="289">
                  <c:v>4.8</c:v>
                </c:pt>
                <c:pt idx="290">
                  <c:v>4.8</c:v>
                </c:pt>
                <c:pt idx="291">
                  <c:v>4.8</c:v>
                </c:pt>
                <c:pt idx="292">
                  <c:v>4.8</c:v>
                </c:pt>
                <c:pt idx="293">
                  <c:v>4.8</c:v>
                </c:pt>
                <c:pt idx="294">
                  <c:v>4.8</c:v>
                </c:pt>
                <c:pt idx="295">
                  <c:v>4.8</c:v>
                </c:pt>
                <c:pt idx="296">
                  <c:v>4.8</c:v>
                </c:pt>
                <c:pt idx="297">
                  <c:v>4.8</c:v>
                </c:pt>
                <c:pt idx="298">
                  <c:v>4.8</c:v>
                </c:pt>
                <c:pt idx="299">
                  <c:v>4.8</c:v>
                </c:pt>
                <c:pt idx="300">
                  <c:v>4.8</c:v>
                </c:pt>
                <c:pt idx="301">
                  <c:v>4.8</c:v>
                </c:pt>
                <c:pt idx="302">
                  <c:v>4.8</c:v>
                </c:pt>
                <c:pt idx="303">
                  <c:v>4.8</c:v>
                </c:pt>
                <c:pt idx="304">
                  <c:v>4.8</c:v>
                </c:pt>
                <c:pt idx="305">
                  <c:v>4.8</c:v>
                </c:pt>
                <c:pt idx="306">
                  <c:v>4.8</c:v>
                </c:pt>
                <c:pt idx="307">
                  <c:v>4.8</c:v>
                </c:pt>
                <c:pt idx="308">
                  <c:v>4.8</c:v>
                </c:pt>
                <c:pt idx="309">
                  <c:v>4.8</c:v>
                </c:pt>
                <c:pt idx="310">
                  <c:v>4.8</c:v>
                </c:pt>
                <c:pt idx="311">
                  <c:v>4.8</c:v>
                </c:pt>
                <c:pt idx="312">
                  <c:v>4.8</c:v>
                </c:pt>
                <c:pt idx="313">
                  <c:v>4.8</c:v>
                </c:pt>
                <c:pt idx="314">
                  <c:v>4.8</c:v>
                </c:pt>
                <c:pt idx="315">
                  <c:v>4.8</c:v>
                </c:pt>
                <c:pt idx="316">
                  <c:v>4.8</c:v>
                </c:pt>
                <c:pt idx="317">
                  <c:v>4.8</c:v>
                </c:pt>
                <c:pt idx="318">
                  <c:v>4.8</c:v>
                </c:pt>
                <c:pt idx="319">
                  <c:v>4.8</c:v>
                </c:pt>
                <c:pt idx="320">
                  <c:v>4.8</c:v>
                </c:pt>
                <c:pt idx="321">
                  <c:v>4.8</c:v>
                </c:pt>
                <c:pt idx="322">
                  <c:v>4.8</c:v>
                </c:pt>
                <c:pt idx="323">
                  <c:v>4.8</c:v>
                </c:pt>
                <c:pt idx="324">
                  <c:v>4.8</c:v>
                </c:pt>
                <c:pt idx="325">
                  <c:v>4.8</c:v>
                </c:pt>
                <c:pt idx="326">
                  <c:v>4.8</c:v>
                </c:pt>
                <c:pt idx="327">
                  <c:v>4.8</c:v>
                </c:pt>
                <c:pt idx="328">
                  <c:v>4.8</c:v>
                </c:pt>
                <c:pt idx="329">
                  <c:v>4.8</c:v>
                </c:pt>
                <c:pt idx="330">
                  <c:v>4.8</c:v>
                </c:pt>
                <c:pt idx="331">
                  <c:v>4.8</c:v>
                </c:pt>
                <c:pt idx="332">
                  <c:v>4.8</c:v>
                </c:pt>
                <c:pt idx="333">
                  <c:v>4.8</c:v>
                </c:pt>
                <c:pt idx="334">
                  <c:v>4.8</c:v>
                </c:pt>
                <c:pt idx="335">
                  <c:v>4.8</c:v>
                </c:pt>
                <c:pt idx="336">
                  <c:v>4.8</c:v>
                </c:pt>
                <c:pt idx="337">
                  <c:v>4.8</c:v>
                </c:pt>
                <c:pt idx="338">
                  <c:v>4.8</c:v>
                </c:pt>
                <c:pt idx="339">
                  <c:v>4.8</c:v>
                </c:pt>
              </c:numCache>
            </c:numRef>
          </c:yVal>
          <c:smooth val="0"/>
          <c:extLst>
            <c:ext xmlns:c16="http://schemas.microsoft.com/office/drawing/2014/chart" uri="{C3380CC4-5D6E-409C-BE32-E72D297353CC}">
              <c16:uniqueId val="{0000000B-4467-47D2-80E1-056DA352D68C}"/>
            </c:ext>
          </c:extLst>
        </c:ser>
        <c:dLbls>
          <c:showLegendKey val="0"/>
          <c:showVal val="0"/>
          <c:showCatName val="0"/>
          <c:showSerName val="0"/>
          <c:showPercent val="0"/>
          <c:showBubbleSize val="0"/>
        </c:dLbls>
        <c:axId val="662061183"/>
        <c:axId val="541640463"/>
      </c:scatterChart>
      <c:valAx>
        <c:axId val="662061183"/>
        <c:scaling>
          <c:orientation val="minMax"/>
          <c:max val="15"/>
        </c:scaling>
        <c:delete val="0"/>
        <c:axPos val="b"/>
        <c:majorGridlines>
          <c:spPr>
            <a:ln w="9525" cap="flat" cmpd="sng" algn="ctr">
              <a:solidFill>
                <a:schemeClr val="bg1">
                  <a:lumMod val="65000"/>
                </a:schemeClr>
              </a:solidFill>
              <a:prstDash val="dash"/>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900">
                    <a:latin typeface="Arial" panose="020B0604020202020204" pitchFamily="34" charset="0"/>
                    <a:cs typeface="Arial" panose="020B0604020202020204" pitchFamily="34" charset="0"/>
                  </a:rPr>
                  <a:t>Time (ms)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41640463"/>
        <c:crosses val="autoZero"/>
        <c:crossBetween val="midCat"/>
        <c:majorUnit val="1"/>
        <c:minorUnit val="0.25"/>
      </c:valAx>
      <c:valAx>
        <c:axId val="541640463"/>
        <c:scaling>
          <c:orientation val="minMax"/>
        </c:scaling>
        <c:delete val="0"/>
        <c:axPos val="l"/>
        <c:majorGridlines>
          <c:spPr>
            <a:ln w="9525" cap="flat" cmpd="sng" algn="ctr">
              <a:solidFill>
                <a:schemeClr val="bg1">
                  <a:lumMod val="65000"/>
                </a:schemeClr>
              </a:solidFill>
              <a:prstDash val="dash"/>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900">
                    <a:latin typeface="Arial" panose="020B0604020202020204" pitchFamily="34" charset="0"/>
                    <a:cs typeface="Arial" panose="020B0604020202020204" pitchFamily="34" charset="0"/>
                  </a:rPr>
                  <a:t>Voltage (V)</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62061183"/>
        <c:crosses val="autoZero"/>
        <c:crossBetween val="midCat"/>
        <c:majorUnit val="1"/>
        <c:minorUnit val="0.5"/>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Sequencing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OTP_conf_summary!$H$21</c:f>
              <c:strCache>
                <c:ptCount val="1"/>
                <c:pt idx="0">
                  <c:v>VSUP</c:v>
                </c:pt>
              </c:strCache>
            </c:strRef>
          </c:tx>
          <c:spPr>
            <a:ln w="19050" cap="rnd">
              <a:solidFill>
                <a:schemeClr val="accent1"/>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OTP_conf_summary!$H$22:$H$371</c:f>
              <c:numCache>
                <c:formatCode>0.00</c:formatCode>
                <c:ptCount val="350"/>
                <c:pt idx="0">
                  <c:v>0</c:v>
                </c:pt>
                <c:pt idx="1">
                  <c:v>2.4500000000000002</c:v>
                </c:pt>
                <c:pt idx="2">
                  <c:v>4.9000000000000004</c:v>
                </c:pt>
                <c:pt idx="3">
                  <c:v>7.3500000000000005</c:v>
                </c:pt>
                <c:pt idx="4">
                  <c:v>9.8000000000000007</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12</c:v>
                </c:pt>
                <c:pt idx="253">
                  <c:v>12</c:v>
                </c:pt>
                <c:pt idx="254">
                  <c:v>12</c:v>
                </c:pt>
                <c:pt idx="255">
                  <c:v>12</c:v>
                </c:pt>
                <c:pt idx="256">
                  <c:v>12</c:v>
                </c:pt>
                <c:pt idx="257">
                  <c:v>12</c:v>
                </c:pt>
                <c:pt idx="258">
                  <c:v>12</c:v>
                </c:pt>
                <c:pt idx="259">
                  <c:v>12</c:v>
                </c:pt>
                <c:pt idx="260">
                  <c:v>12</c:v>
                </c:pt>
                <c:pt idx="261">
                  <c:v>12</c:v>
                </c:pt>
                <c:pt idx="262">
                  <c:v>12</c:v>
                </c:pt>
                <c:pt idx="263">
                  <c:v>12</c:v>
                </c:pt>
                <c:pt idx="264">
                  <c:v>12</c:v>
                </c:pt>
                <c:pt idx="265">
                  <c:v>12</c:v>
                </c:pt>
                <c:pt idx="266">
                  <c:v>12</c:v>
                </c:pt>
                <c:pt idx="267">
                  <c:v>12</c:v>
                </c:pt>
                <c:pt idx="268">
                  <c:v>12</c:v>
                </c:pt>
                <c:pt idx="269">
                  <c:v>12</c:v>
                </c:pt>
                <c:pt idx="270">
                  <c:v>12</c:v>
                </c:pt>
                <c:pt idx="271">
                  <c:v>12</c:v>
                </c:pt>
                <c:pt idx="272">
                  <c:v>12</c:v>
                </c:pt>
                <c:pt idx="273">
                  <c:v>12</c:v>
                </c:pt>
                <c:pt idx="274">
                  <c:v>12</c:v>
                </c:pt>
                <c:pt idx="275">
                  <c:v>12</c:v>
                </c:pt>
                <c:pt idx="276">
                  <c:v>12</c:v>
                </c:pt>
                <c:pt idx="277">
                  <c:v>12</c:v>
                </c:pt>
                <c:pt idx="278">
                  <c:v>12</c:v>
                </c:pt>
                <c:pt idx="279">
                  <c:v>12</c:v>
                </c:pt>
                <c:pt idx="280">
                  <c:v>12</c:v>
                </c:pt>
                <c:pt idx="281">
                  <c:v>12</c:v>
                </c:pt>
                <c:pt idx="282">
                  <c:v>12</c:v>
                </c:pt>
                <c:pt idx="283">
                  <c:v>12</c:v>
                </c:pt>
                <c:pt idx="284">
                  <c:v>12</c:v>
                </c:pt>
                <c:pt idx="285">
                  <c:v>12</c:v>
                </c:pt>
                <c:pt idx="286">
                  <c:v>12</c:v>
                </c:pt>
                <c:pt idx="287">
                  <c:v>12</c:v>
                </c:pt>
                <c:pt idx="288">
                  <c:v>12</c:v>
                </c:pt>
                <c:pt idx="289">
                  <c:v>12</c:v>
                </c:pt>
                <c:pt idx="290">
                  <c:v>12</c:v>
                </c:pt>
                <c:pt idx="291">
                  <c:v>12</c:v>
                </c:pt>
                <c:pt idx="292">
                  <c:v>12</c:v>
                </c:pt>
                <c:pt idx="293">
                  <c:v>12</c:v>
                </c:pt>
                <c:pt idx="294">
                  <c:v>12</c:v>
                </c:pt>
                <c:pt idx="295">
                  <c:v>12</c:v>
                </c:pt>
                <c:pt idx="296">
                  <c:v>12</c:v>
                </c:pt>
                <c:pt idx="297">
                  <c:v>12</c:v>
                </c:pt>
                <c:pt idx="298">
                  <c:v>12</c:v>
                </c:pt>
                <c:pt idx="299">
                  <c:v>12</c:v>
                </c:pt>
                <c:pt idx="300">
                  <c:v>12</c:v>
                </c:pt>
                <c:pt idx="301">
                  <c:v>12</c:v>
                </c:pt>
                <c:pt idx="302">
                  <c:v>12</c:v>
                </c:pt>
                <c:pt idx="303">
                  <c:v>12</c:v>
                </c:pt>
                <c:pt idx="304">
                  <c:v>12</c:v>
                </c:pt>
                <c:pt idx="305">
                  <c:v>12</c:v>
                </c:pt>
                <c:pt idx="306">
                  <c:v>12</c:v>
                </c:pt>
                <c:pt idx="307">
                  <c:v>12</c:v>
                </c:pt>
                <c:pt idx="308">
                  <c:v>12</c:v>
                </c:pt>
                <c:pt idx="309">
                  <c:v>12</c:v>
                </c:pt>
                <c:pt idx="310">
                  <c:v>12</c:v>
                </c:pt>
                <c:pt idx="311">
                  <c:v>12</c:v>
                </c:pt>
                <c:pt idx="312">
                  <c:v>12</c:v>
                </c:pt>
                <c:pt idx="313">
                  <c:v>12</c:v>
                </c:pt>
                <c:pt idx="314">
                  <c:v>12</c:v>
                </c:pt>
                <c:pt idx="315">
                  <c:v>12</c:v>
                </c:pt>
                <c:pt idx="316">
                  <c:v>12</c:v>
                </c:pt>
                <c:pt idx="317">
                  <c:v>12</c:v>
                </c:pt>
                <c:pt idx="318">
                  <c:v>12</c:v>
                </c:pt>
                <c:pt idx="319">
                  <c:v>12</c:v>
                </c:pt>
                <c:pt idx="320">
                  <c:v>12</c:v>
                </c:pt>
                <c:pt idx="321">
                  <c:v>12</c:v>
                </c:pt>
                <c:pt idx="322">
                  <c:v>12</c:v>
                </c:pt>
                <c:pt idx="323">
                  <c:v>12</c:v>
                </c:pt>
                <c:pt idx="324">
                  <c:v>12</c:v>
                </c:pt>
                <c:pt idx="325">
                  <c:v>12</c:v>
                </c:pt>
                <c:pt idx="326">
                  <c:v>12</c:v>
                </c:pt>
                <c:pt idx="327">
                  <c:v>12</c:v>
                </c:pt>
                <c:pt idx="328">
                  <c:v>12</c:v>
                </c:pt>
                <c:pt idx="329">
                  <c:v>12</c:v>
                </c:pt>
                <c:pt idx="330">
                  <c:v>12</c:v>
                </c:pt>
                <c:pt idx="331">
                  <c:v>12</c:v>
                </c:pt>
                <c:pt idx="332">
                  <c:v>12</c:v>
                </c:pt>
                <c:pt idx="333">
                  <c:v>12</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numCache>
            </c:numRef>
          </c:yVal>
          <c:smooth val="0"/>
          <c:extLst>
            <c:ext xmlns:c16="http://schemas.microsoft.com/office/drawing/2014/chart" uri="{C3380CC4-5D6E-409C-BE32-E72D297353CC}">
              <c16:uniqueId val="{00000000-A204-4C92-A551-8BE89A17377A}"/>
            </c:ext>
          </c:extLst>
        </c:ser>
        <c:ser>
          <c:idx val="8"/>
          <c:order val="1"/>
          <c:tx>
            <c:strRef>
              <c:f>OTP_conf_summary!$I$21</c:f>
              <c:strCache>
                <c:ptCount val="1"/>
                <c:pt idx="0">
                  <c:v>VBOS</c:v>
                </c:pt>
              </c:strCache>
            </c:strRef>
          </c:tx>
          <c:spPr>
            <a:ln w="19050" cap="rnd">
              <a:solidFill>
                <a:schemeClr val="accent3">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OTP_conf_summary!$I$22:$I$371</c:f>
              <c:numCache>
                <c:formatCode>0.00</c:formatCode>
                <c:ptCount val="350"/>
                <c:pt idx="0">
                  <c:v>0</c:v>
                </c:pt>
                <c:pt idx="1">
                  <c:v>0</c:v>
                </c:pt>
                <c:pt idx="2">
                  <c:v>0.24285714285714283</c:v>
                </c:pt>
                <c:pt idx="3">
                  <c:v>0.48571428571428565</c:v>
                </c:pt>
                <c:pt idx="4">
                  <c:v>0.72857142857142843</c:v>
                </c:pt>
                <c:pt idx="5">
                  <c:v>0.97142857142857131</c:v>
                </c:pt>
                <c:pt idx="6">
                  <c:v>1.2142857142857142</c:v>
                </c:pt>
                <c:pt idx="7">
                  <c:v>1.4571428571428571</c:v>
                </c:pt>
                <c:pt idx="8">
                  <c:v>1.7</c:v>
                </c:pt>
                <c:pt idx="9">
                  <c:v>1.9428571428571428</c:v>
                </c:pt>
                <c:pt idx="10">
                  <c:v>2.1857142857142855</c:v>
                </c:pt>
                <c:pt idx="11">
                  <c:v>2.4285714285714284</c:v>
                </c:pt>
                <c:pt idx="12">
                  <c:v>2.6714285714285713</c:v>
                </c:pt>
                <c:pt idx="13">
                  <c:v>2.9142857142857141</c:v>
                </c:pt>
                <c:pt idx="14">
                  <c:v>3.157142857142857</c:v>
                </c:pt>
                <c:pt idx="15">
                  <c:v>3.4</c:v>
                </c:pt>
                <c:pt idx="16">
                  <c:v>3.6428571428571428</c:v>
                </c:pt>
                <c:pt idx="17">
                  <c:v>3.8857142857142857</c:v>
                </c:pt>
                <c:pt idx="18">
                  <c:v>4.1285714285714281</c:v>
                </c:pt>
                <c:pt idx="19">
                  <c:v>4.371428571428571</c:v>
                </c:pt>
                <c:pt idx="20">
                  <c:v>4.6142857142857139</c:v>
                </c:pt>
                <c:pt idx="21">
                  <c:v>4.8571428571428568</c:v>
                </c:pt>
                <c:pt idx="22">
                  <c:v>5.0999999999999996</c:v>
                </c:pt>
                <c:pt idx="23">
                  <c:v>5.0999999999999996</c:v>
                </c:pt>
                <c:pt idx="24">
                  <c:v>5.0999999999999996</c:v>
                </c:pt>
                <c:pt idx="25">
                  <c:v>5.0999999999999996</c:v>
                </c:pt>
                <c:pt idx="26">
                  <c:v>5.0999999999999996</c:v>
                </c:pt>
                <c:pt idx="27">
                  <c:v>5.0999999999999996</c:v>
                </c:pt>
                <c:pt idx="28">
                  <c:v>5.0999999999999996</c:v>
                </c:pt>
                <c:pt idx="29">
                  <c:v>5.0999999999999996</c:v>
                </c:pt>
                <c:pt idx="30">
                  <c:v>5.0999999999999996</c:v>
                </c:pt>
                <c:pt idx="31">
                  <c:v>5.0999999999999996</c:v>
                </c:pt>
                <c:pt idx="32">
                  <c:v>5.0999999999999996</c:v>
                </c:pt>
                <c:pt idx="33">
                  <c:v>5.0999999999999996</c:v>
                </c:pt>
                <c:pt idx="34">
                  <c:v>5.0999999999999996</c:v>
                </c:pt>
                <c:pt idx="35">
                  <c:v>5.0999999999999996</c:v>
                </c:pt>
                <c:pt idx="36">
                  <c:v>5.0999999999999996</c:v>
                </c:pt>
                <c:pt idx="37">
                  <c:v>5.0999999999999996</c:v>
                </c:pt>
                <c:pt idx="38">
                  <c:v>5.0999999999999996</c:v>
                </c:pt>
                <c:pt idx="39">
                  <c:v>5.0999999999999996</c:v>
                </c:pt>
                <c:pt idx="40">
                  <c:v>5.0999999999999996</c:v>
                </c:pt>
                <c:pt idx="41">
                  <c:v>5.0999999999999996</c:v>
                </c:pt>
                <c:pt idx="42">
                  <c:v>5.0999999999999996</c:v>
                </c:pt>
                <c:pt idx="43">
                  <c:v>5.0999999999999996</c:v>
                </c:pt>
                <c:pt idx="44">
                  <c:v>5.0999999999999996</c:v>
                </c:pt>
                <c:pt idx="45">
                  <c:v>5.0999999999999996</c:v>
                </c:pt>
                <c:pt idx="46">
                  <c:v>5.0999999999999996</c:v>
                </c:pt>
                <c:pt idx="47">
                  <c:v>5.0999999999999996</c:v>
                </c:pt>
                <c:pt idx="48">
                  <c:v>5.0999999999999996</c:v>
                </c:pt>
                <c:pt idx="49">
                  <c:v>5.0999999999999996</c:v>
                </c:pt>
                <c:pt idx="50">
                  <c:v>5.0999999999999996</c:v>
                </c:pt>
                <c:pt idx="51">
                  <c:v>5.0999999999999996</c:v>
                </c:pt>
                <c:pt idx="52">
                  <c:v>5.0999999999999996</c:v>
                </c:pt>
                <c:pt idx="53">
                  <c:v>5.0999999999999996</c:v>
                </c:pt>
                <c:pt idx="54">
                  <c:v>5.0999999999999996</c:v>
                </c:pt>
                <c:pt idx="55">
                  <c:v>5.0999999999999996</c:v>
                </c:pt>
                <c:pt idx="56">
                  <c:v>5.0999999999999996</c:v>
                </c:pt>
                <c:pt idx="57">
                  <c:v>5.0999999999999996</c:v>
                </c:pt>
                <c:pt idx="58">
                  <c:v>5.0999999999999996</c:v>
                </c:pt>
                <c:pt idx="59">
                  <c:v>5.0999999999999996</c:v>
                </c:pt>
                <c:pt idx="60">
                  <c:v>5.0999999999999996</c:v>
                </c:pt>
                <c:pt idx="61">
                  <c:v>5.0999999999999996</c:v>
                </c:pt>
                <c:pt idx="62">
                  <c:v>5.0999999999999996</c:v>
                </c:pt>
                <c:pt idx="63">
                  <c:v>5.0999999999999996</c:v>
                </c:pt>
                <c:pt idx="64">
                  <c:v>5.0999999999999996</c:v>
                </c:pt>
                <c:pt idx="65">
                  <c:v>5.0999999999999996</c:v>
                </c:pt>
                <c:pt idx="66">
                  <c:v>5.0999999999999996</c:v>
                </c:pt>
                <c:pt idx="67">
                  <c:v>5.0999999999999996</c:v>
                </c:pt>
                <c:pt idx="68">
                  <c:v>5.0999999999999996</c:v>
                </c:pt>
                <c:pt idx="69">
                  <c:v>5.0999999999999996</c:v>
                </c:pt>
                <c:pt idx="70">
                  <c:v>5.0999999999999996</c:v>
                </c:pt>
                <c:pt idx="71">
                  <c:v>5.0999999999999996</c:v>
                </c:pt>
                <c:pt idx="72">
                  <c:v>5.0999999999999996</c:v>
                </c:pt>
                <c:pt idx="73">
                  <c:v>5.0999999999999996</c:v>
                </c:pt>
                <c:pt idx="74">
                  <c:v>5.0999999999999996</c:v>
                </c:pt>
                <c:pt idx="75">
                  <c:v>5.0999999999999996</c:v>
                </c:pt>
                <c:pt idx="76">
                  <c:v>5.0999999999999996</c:v>
                </c:pt>
                <c:pt idx="77">
                  <c:v>5.0999999999999996</c:v>
                </c:pt>
                <c:pt idx="78">
                  <c:v>5.0999999999999996</c:v>
                </c:pt>
                <c:pt idx="79">
                  <c:v>5.0999999999999996</c:v>
                </c:pt>
                <c:pt idx="80">
                  <c:v>5.0999999999999996</c:v>
                </c:pt>
                <c:pt idx="81">
                  <c:v>5.0999999999999996</c:v>
                </c:pt>
                <c:pt idx="82">
                  <c:v>5.0999999999999996</c:v>
                </c:pt>
                <c:pt idx="83">
                  <c:v>5.0999999999999996</c:v>
                </c:pt>
                <c:pt idx="84">
                  <c:v>5.0999999999999996</c:v>
                </c:pt>
                <c:pt idx="85">
                  <c:v>5.0999999999999996</c:v>
                </c:pt>
                <c:pt idx="86">
                  <c:v>5.0999999999999996</c:v>
                </c:pt>
                <c:pt idx="87">
                  <c:v>5.0999999999999996</c:v>
                </c:pt>
                <c:pt idx="88">
                  <c:v>5.0999999999999996</c:v>
                </c:pt>
                <c:pt idx="89">
                  <c:v>5.0999999999999996</c:v>
                </c:pt>
                <c:pt idx="90">
                  <c:v>5.0999999999999996</c:v>
                </c:pt>
                <c:pt idx="91">
                  <c:v>5.0999999999999996</c:v>
                </c:pt>
                <c:pt idx="92">
                  <c:v>5.0999999999999996</c:v>
                </c:pt>
                <c:pt idx="93">
                  <c:v>5.0999999999999996</c:v>
                </c:pt>
                <c:pt idx="94">
                  <c:v>5.0999999999999996</c:v>
                </c:pt>
                <c:pt idx="95">
                  <c:v>5.0999999999999996</c:v>
                </c:pt>
                <c:pt idx="96">
                  <c:v>5.0999999999999996</c:v>
                </c:pt>
                <c:pt idx="97">
                  <c:v>5.0999999999999996</c:v>
                </c:pt>
                <c:pt idx="98">
                  <c:v>5.0999999999999996</c:v>
                </c:pt>
                <c:pt idx="99">
                  <c:v>5.0999999999999996</c:v>
                </c:pt>
                <c:pt idx="100">
                  <c:v>5.0999999999999996</c:v>
                </c:pt>
                <c:pt idx="101">
                  <c:v>5.0999999999999996</c:v>
                </c:pt>
                <c:pt idx="102">
                  <c:v>5.0999999999999996</c:v>
                </c:pt>
                <c:pt idx="103">
                  <c:v>5.0999999999999996</c:v>
                </c:pt>
                <c:pt idx="104">
                  <c:v>5.0999999999999996</c:v>
                </c:pt>
                <c:pt idx="105">
                  <c:v>5.0999999999999996</c:v>
                </c:pt>
                <c:pt idx="106">
                  <c:v>5.0999999999999996</c:v>
                </c:pt>
                <c:pt idx="107">
                  <c:v>5.0999999999999996</c:v>
                </c:pt>
                <c:pt idx="108">
                  <c:v>5.0999999999999996</c:v>
                </c:pt>
                <c:pt idx="109">
                  <c:v>5.0999999999999996</c:v>
                </c:pt>
                <c:pt idx="110">
                  <c:v>5.0999999999999996</c:v>
                </c:pt>
                <c:pt idx="111">
                  <c:v>5.0999999999999996</c:v>
                </c:pt>
                <c:pt idx="112">
                  <c:v>5.0999999999999996</c:v>
                </c:pt>
                <c:pt idx="113">
                  <c:v>5.0999999999999996</c:v>
                </c:pt>
                <c:pt idx="114">
                  <c:v>5.0999999999999996</c:v>
                </c:pt>
                <c:pt idx="115">
                  <c:v>5.0999999999999996</c:v>
                </c:pt>
                <c:pt idx="116">
                  <c:v>5.0999999999999996</c:v>
                </c:pt>
                <c:pt idx="117">
                  <c:v>5.0999999999999996</c:v>
                </c:pt>
                <c:pt idx="118">
                  <c:v>5.0999999999999996</c:v>
                </c:pt>
                <c:pt idx="119">
                  <c:v>5.0999999999999996</c:v>
                </c:pt>
                <c:pt idx="120">
                  <c:v>5.0999999999999996</c:v>
                </c:pt>
                <c:pt idx="121">
                  <c:v>5.0999999999999996</c:v>
                </c:pt>
                <c:pt idx="122">
                  <c:v>5.0999999999999996</c:v>
                </c:pt>
                <c:pt idx="123">
                  <c:v>5.0999999999999996</c:v>
                </c:pt>
                <c:pt idx="124">
                  <c:v>5.0999999999999996</c:v>
                </c:pt>
                <c:pt idx="125">
                  <c:v>5.0999999999999996</c:v>
                </c:pt>
                <c:pt idx="126">
                  <c:v>5.0999999999999996</c:v>
                </c:pt>
                <c:pt idx="127">
                  <c:v>5.0999999999999996</c:v>
                </c:pt>
                <c:pt idx="128">
                  <c:v>5.0999999999999996</c:v>
                </c:pt>
                <c:pt idx="129">
                  <c:v>5.0999999999999996</c:v>
                </c:pt>
                <c:pt idx="130">
                  <c:v>5.0999999999999996</c:v>
                </c:pt>
                <c:pt idx="131">
                  <c:v>5.0999999999999996</c:v>
                </c:pt>
                <c:pt idx="132">
                  <c:v>5.0999999999999996</c:v>
                </c:pt>
                <c:pt idx="133">
                  <c:v>5.0999999999999996</c:v>
                </c:pt>
                <c:pt idx="134">
                  <c:v>5.0999999999999996</c:v>
                </c:pt>
                <c:pt idx="135">
                  <c:v>5.0999999999999996</c:v>
                </c:pt>
                <c:pt idx="136">
                  <c:v>5.0999999999999996</c:v>
                </c:pt>
                <c:pt idx="137">
                  <c:v>5.0999999999999996</c:v>
                </c:pt>
                <c:pt idx="138">
                  <c:v>5.0999999999999996</c:v>
                </c:pt>
                <c:pt idx="139">
                  <c:v>5.0999999999999996</c:v>
                </c:pt>
                <c:pt idx="140">
                  <c:v>5.0999999999999996</c:v>
                </c:pt>
                <c:pt idx="141">
                  <c:v>5.0999999999999996</c:v>
                </c:pt>
                <c:pt idx="142">
                  <c:v>5.0999999999999996</c:v>
                </c:pt>
                <c:pt idx="143">
                  <c:v>5.0999999999999996</c:v>
                </c:pt>
                <c:pt idx="144">
                  <c:v>5.0999999999999996</c:v>
                </c:pt>
                <c:pt idx="145">
                  <c:v>5.0999999999999996</c:v>
                </c:pt>
                <c:pt idx="146">
                  <c:v>5.0999999999999996</c:v>
                </c:pt>
                <c:pt idx="147">
                  <c:v>5.0999999999999996</c:v>
                </c:pt>
                <c:pt idx="148">
                  <c:v>5.0999999999999996</c:v>
                </c:pt>
                <c:pt idx="149">
                  <c:v>5.0999999999999996</c:v>
                </c:pt>
                <c:pt idx="150">
                  <c:v>5.0999999999999996</c:v>
                </c:pt>
                <c:pt idx="151">
                  <c:v>5.0999999999999996</c:v>
                </c:pt>
                <c:pt idx="152">
                  <c:v>5.0999999999999996</c:v>
                </c:pt>
                <c:pt idx="153">
                  <c:v>5.0999999999999996</c:v>
                </c:pt>
                <c:pt idx="154">
                  <c:v>5.0999999999999996</c:v>
                </c:pt>
                <c:pt idx="155">
                  <c:v>5.0999999999999996</c:v>
                </c:pt>
                <c:pt idx="156">
                  <c:v>5.0999999999999996</c:v>
                </c:pt>
                <c:pt idx="157">
                  <c:v>5.0999999999999996</c:v>
                </c:pt>
                <c:pt idx="158">
                  <c:v>5.0999999999999996</c:v>
                </c:pt>
                <c:pt idx="159">
                  <c:v>5.0999999999999996</c:v>
                </c:pt>
                <c:pt idx="160">
                  <c:v>5.0999999999999996</c:v>
                </c:pt>
                <c:pt idx="161">
                  <c:v>5.0999999999999996</c:v>
                </c:pt>
                <c:pt idx="162">
                  <c:v>5.0999999999999996</c:v>
                </c:pt>
                <c:pt idx="163">
                  <c:v>5.0999999999999996</c:v>
                </c:pt>
                <c:pt idx="164">
                  <c:v>5.0999999999999996</c:v>
                </c:pt>
                <c:pt idx="165">
                  <c:v>5.0999999999999996</c:v>
                </c:pt>
                <c:pt idx="166">
                  <c:v>5.0999999999999996</c:v>
                </c:pt>
                <c:pt idx="167">
                  <c:v>5.0999999999999996</c:v>
                </c:pt>
                <c:pt idx="168">
                  <c:v>5.0999999999999996</c:v>
                </c:pt>
                <c:pt idx="169">
                  <c:v>5.0999999999999996</c:v>
                </c:pt>
                <c:pt idx="170">
                  <c:v>5.0999999999999996</c:v>
                </c:pt>
                <c:pt idx="171">
                  <c:v>5.0999999999999996</c:v>
                </c:pt>
                <c:pt idx="172">
                  <c:v>5.0999999999999996</c:v>
                </c:pt>
                <c:pt idx="173">
                  <c:v>5.0999999999999996</c:v>
                </c:pt>
                <c:pt idx="174">
                  <c:v>5.0999999999999996</c:v>
                </c:pt>
                <c:pt idx="175">
                  <c:v>5.0999999999999996</c:v>
                </c:pt>
                <c:pt idx="176">
                  <c:v>5.0999999999999996</c:v>
                </c:pt>
                <c:pt idx="177">
                  <c:v>5.0999999999999996</c:v>
                </c:pt>
                <c:pt idx="178">
                  <c:v>5.0999999999999996</c:v>
                </c:pt>
                <c:pt idx="179">
                  <c:v>5.0999999999999996</c:v>
                </c:pt>
                <c:pt idx="180">
                  <c:v>5.0999999999999996</c:v>
                </c:pt>
                <c:pt idx="181">
                  <c:v>5.0999999999999996</c:v>
                </c:pt>
                <c:pt idx="182">
                  <c:v>5.0999999999999996</c:v>
                </c:pt>
                <c:pt idx="183">
                  <c:v>5.0999999999999996</c:v>
                </c:pt>
                <c:pt idx="184">
                  <c:v>5.0999999999999996</c:v>
                </c:pt>
                <c:pt idx="185">
                  <c:v>5.0999999999999996</c:v>
                </c:pt>
                <c:pt idx="186">
                  <c:v>5.0999999999999996</c:v>
                </c:pt>
                <c:pt idx="187">
                  <c:v>5.0999999999999996</c:v>
                </c:pt>
                <c:pt idx="188">
                  <c:v>5.0999999999999996</c:v>
                </c:pt>
                <c:pt idx="189">
                  <c:v>5.0999999999999996</c:v>
                </c:pt>
                <c:pt idx="190">
                  <c:v>5.0999999999999996</c:v>
                </c:pt>
                <c:pt idx="191">
                  <c:v>5.0999999999999996</c:v>
                </c:pt>
                <c:pt idx="192">
                  <c:v>5.0999999999999996</c:v>
                </c:pt>
                <c:pt idx="193">
                  <c:v>5.0999999999999996</c:v>
                </c:pt>
                <c:pt idx="194">
                  <c:v>5.0999999999999996</c:v>
                </c:pt>
                <c:pt idx="195">
                  <c:v>5.0999999999999996</c:v>
                </c:pt>
                <c:pt idx="196">
                  <c:v>5.0999999999999996</c:v>
                </c:pt>
                <c:pt idx="197">
                  <c:v>5.0999999999999996</c:v>
                </c:pt>
                <c:pt idx="198">
                  <c:v>5.0999999999999996</c:v>
                </c:pt>
                <c:pt idx="199">
                  <c:v>5.0999999999999996</c:v>
                </c:pt>
                <c:pt idx="200">
                  <c:v>5.0999999999999996</c:v>
                </c:pt>
                <c:pt idx="201">
                  <c:v>5.0999999999999996</c:v>
                </c:pt>
                <c:pt idx="202">
                  <c:v>5.0999999999999996</c:v>
                </c:pt>
                <c:pt idx="203">
                  <c:v>5.0999999999999996</c:v>
                </c:pt>
                <c:pt idx="204">
                  <c:v>5.0999999999999996</c:v>
                </c:pt>
                <c:pt idx="205">
                  <c:v>5.0999999999999996</c:v>
                </c:pt>
                <c:pt idx="206">
                  <c:v>5.0999999999999996</c:v>
                </c:pt>
                <c:pt idx="207">
                  <c:v>5.0999999999999996</c:v>
                </c:pt>
                <c:pt idx="208">
                  <c:v>5.0999999999999996</c:v>
                </c:pt>
                <c:pt idx="209">
                  <c:v>5.0999999999999996</c:v>
                </c:pt>
                <c:pt idx="210">
                  <c:v>5.0999999999999996</c:v>
                </c:pt>
                <c:pt idx="211">
                  <c:v>5.0999999999999996</c:v>
                </c:pt>
                <c:pt idx="212">
                  <c:v>5.0999999999999996</c:v>
                </c:pt>
                <c:pt idx="213">
                  <c:v>5.0999999999999996</c:v>
                </c:pt>
                <c:pt idx="214">
                  <c:v>5.0999999999999996</c:v>
                </c:pt>
                <c:pt idx="215">
                  <c:v>5.0999999999999996</c:v>
                </c:pt>
                <c:pt idx="216">
                  <c:v>5.0999999999999996</c:v>
                </c:pt>
                <c:pt idx="217">
                  <c:v>5.0999999999999996</c:v>
                </c:pt>
                <c:pt idx="218">
                  <c:v>5.0999999999999996</c:v>
                </c:pt>
                <c:pt idx="219">
                  <c:v>5.0999999999999996</c:v>
                </c:pt>
                <c:pt idx="220">
                  <c:v>5.0999999999999996</c:v>
                </c:pt>
                <c:pt idx="221">
                  <c:v>5.0999999999999996</c:v>
                </c:pt>
                <c:pt idx="222">
                  <c:v>5.0999999999999996</c:v>
                </c:pt>
                <c:pt idx="223">
                  <c:v>5.0999999999999996</c:v>
                </c:pt>
                <c:pt idx="224">
                  <c:v>5.0999999999999996</c:v>
                </c:pt>
                <c:pt idx="225">
                  <c:v>5.0999999999999996</c:v>
                </c:pt>
                <c:pt idx="226">
                  <c:v>5.0999999999999996</c:v>
                </c:pt>
                <c:pt idx="227">
                  <c:v>5.0999999999999996</c:v>
                </c:pt>
                <c:pt idx="228">
                  <c:v>5.0999999999999996</c:v>
                </c:pt>
                <c:pt idx="229">
                  <c:v>5.0999999999999996</c:v>
                </c:pt>
                <c:pt idx="230">
                  <c:v>5.0999999999999996</c:v>
                </c:pt>
                <c:pt idx="231">
                  <c:v>5.0999999999999996</c:v>
                </c:pt>
                <c:pt idx="232">
                  <c:v>5.0999999999999996</c:v>
                </c:pt>
                <c:pt idx="233">
                  <c:v>5.0999999999999996</c:v>
                </c:pt>
                <c:pt idx="234">
                  <c:v>5.0999999999999996</c:v>
                </c:pt>
                <c:pt idx="235">
                  <c:v>5.0999999999999996</c:v>
                </c:pt>
                <c:pt idx="236">
                  <c:v>5.0999999999999996</c:v>
                </c:pt>
                <c:pt idx="237">
                  <c:v>5.0999999999999996</c:v>
                </c:pt>
                <c:pt idx="238">
                  <c:v>5.0999999999999996</c:v>
                </c:pt>
                <c:pt idx="239">
                  <c:v>5.0999999999999996</c:v>
                </c:pt>
                <c:pt idx="240">
                  <c:v>5.0999999999999996</c:v>
                </c:pt>
                <c:pt idx="241">
                  <c:v>5.0999999999999996</c:v>
                </c:pt>
                <c:pt idx="242">
                  <c:v>5.0999999999999996</c:v>
                </c:pt>
                <c:pt idx="243">
                  <c:v>5.0999999999999996</c:v>
                </c:pt>
                <c:pt idx="244">
                  <c:v>5.0999999999999996</c:v>
                </c:pt>
                <c:pt idx="245">
                  <c:v>5.0999999999999996</c:v>
                </c:pt>
                <c:pt idx="246">
                  <c:v>5.0999999999999996</c:v>
                </c:pt>
                <c:pt idx="247">
                  <c:v>5.0999999999999996</c:v>
                </c:pt>
                <c:pt idx="248">
                  <c:v>5.0999999999999996</c:v>
                </c:pt>
                <c:pt idx="249">
                  <c:v>5.0999999999999996</c:v>
                </c:pt>
                <c:pt idx="250">
                  <c:v>5.0999999999999996</c:v>
                </c:pt>
                <c:pt idx="251">
                  <c:v>5.0999999999999996</c:v>
                </c:pt>
                <c:pt idx="252">
                  <c:v>5.0999999999999996</c:v>
                </c:pt>
                <c:pt idx="253">
                  <c:v>5.0999999999999996</c:v>
                </c:pt>
                <c:pt idx="254">
                  <c:v>5.0999999999999996</c:v>
                </c:pt>
                <c:pt idx="255">
                  <c:v>5.0999999999999996</c:v>
                </c:pt>
                <c:pt idx="256">
                  <c:v>5.0999999999999996</c:v>
                </c:pt>
                <c:pt idx="257">
                  <c:v>5.0999999999999996</c:v>
                </c:pt>
                <c:pt idx="258">
                  <c:v>5.0999999999999996</c:v>
                </c:pt>
                <c:pt idx="259">
                  <c:v>5.0999999999999996</c:v>
                </c:pt>
                <c:pt idx="260">
                  <c:v>5.0999999999999996</c:v>
                </c:pt>
                <c:pt idx="261">
                  <c:v>5.0999999999999996</c:v>
                </c:pt>
                <c:pt idx="262">
                  <c:v>5.0999999999999996</c:v>
                </c:pt>
                <c:pt idx="263">
                  <c:v>5.0999999999999996</c:v>
                </c:pt>
                <c:pt idx="264">
                  <c:v>5.0999999999999996</c:v>
                </c:pt>
                <c:pt idx="265">
                  <c:v>5.0999999999999996</c:v>
                </c:pt>
                <c:pt idx="266">
                  <c:v>5.0999999999999996</c:v>
                </c:pt>
                <c:pt idx="267">
                  <c:v>5.0999999999999996</c:v>
                </c:pt>
                <c:pt idx="268">
                  <c:v>5.0999999999999996</c:v>
                </c:pt>
                <c:pt idx="269">
                  <c:v>5.0999999999999996</c:v>
                </c:pt>
                <c:pt idx="270">
                  <c:v>5.0999999999999996</c:v>
                </c:pt>
                <c:pt idx="271">
                  <c:v>5.0999999999999996</c:v>
                </c:pt>
                <c:pt idx="272">
                  <c:v>5.0999999999999996</c:v>
                </c:pt>
                <c:pt idx="273">
                  <c:v>5.0999999999999996</c:v>
                </c:pt>
                <c:pt idx="274">
                  <c:v>5.0999999999999996</c:v>
                </c:pt>
                <c:pt idx="275">
                  <c:v>5.0999999999999996</c:v>
                </c:pt>
                <c:pt idx="276">
                  <c:v>5.0999999999999996</c:v>
                </c:pt>
                <c:pt idx="277">
                  <c:v>5.0999999999999996</c:v>
                </c:pt>
                <c:pt idx="278">
                  <c:v>5.0999999999999996</c:v>
                </c:pt>
                <c:pt idx="279">
                  <c:v>5.0999999999999996</c:v>
                </c:pt>
                <c:pt idx="280">
                  <c:v>5.0999999999999996</c:v>
                </c:pt>
                <c:pt idx="281">
                  <c:v>5.0999999999999996</c:v>
                </c:pt>
                <c:pt idx="282">
                  <c:v>5.0999999999999996</c:v>
                </c:pt>
                <c:pt idx="283">
                  <c:v>5.0999999999999996</c:v>
                </c:pt>
                <c:pt idx="284">
                  <c:v>5.0999999999999996</c:v>
                </c:pt>
                <c:pt idx="285">
                  <c:v>5.0999999999999996</c:v>
                </c:pt>
                <c:pt idx="286">
                  <c:v>5.0999999999999996</c:v>
                </c:pt>
                <c:pt idx="287">
                  <c:v>5.0999999999999996</c:v>
                </c:pt>
                <c:pt idx="288">
                  <c:v>5.0999999999999996</c:v>
                </c:pt>
                <c:pt idx="289">
                  <c:v>5.0999999999999996</c:v>
                </c:pt>
                <c:pt idx="290">
                  <c:v>5.0999999999999996</c:v>
                </c:pt>
                <c:pt idx="291">
                  <c:v>5.0999999999999996</c:v>
                </c:pt>
                <c:pt idx="292">
                  <c:v>5.0999999999999996</c:v>
                </c:pt>
                <c:pt idx="293">
                  <c:v>5.0999999999999996</c:v>
                </c:pt>
                <c:pt idx="294">
                  <c:v>5.0999999999999996</c:v>
                </c:pt>
                <c:pt idx="295">
                  <c:v>5.0999999999999996</c:v>
                </c:pt>
                <c:pt idx="296">
                  <c:v>5.0999999999999996</c:v>
                </c:pt>
                <c:pt idx="297">
                  <c:v>5.0999999999999996</c:v>
                </c:pt>
                <c:pt idx="298">
                  <c:v>5.0999999999999996</c:v>
                </c:pt>
                <c:pt idx="299">
                  <c:v>5.0999999999999996</c:v>
                </c:pt>
                <c:pt idx="300">
                  <c:v>5.0999999999999996</c:v>
                </c:pt>
                <c:pt idx="301">
                  <c:v>5.0999999999999996</c:v>
                </c:pt>
                <c:pt idx="302">
                  <c:v>5.0999999999999996</c:v>
                </c:pt>
                <c:pt idx="303">
                  <c:v>5.0999999999999996</c:v>
                </c:pt>
                <c:pt idx="304">
                  <c:v>5.0999999999999996</c:v>
                </c:pt>
                <c:pt idx="305">
                  <c:v>5.0999999999999996</c:v>
                </c:pt>
                <c:pt idx="306">
                  <c:v>5.0999999999999996</c:v>
                </c:pt>
                <c:pt idx="307">
                  <c:v>5.0999999999999996</c:v>
                </c:pt>
                <c:pt idx="308">
                  <c:v>5.0999999999999996</c:v>
                </c:pt>
                <c:pt idx="309">
                  <c:v>5.0999999999999996</c:v>
                </c:pt>
                <c:pt idx="310">
                  <c:v>5.0999999999999996</c:v>
                </c:pt>
                <c:pt idx="311">
                  <c:v>5.0999999999999996</c:v>
                </c:pt>
                <c:pt idx="312">
                  <c:v>5.0999999999999996</c:v>
                </c:pt>
                <c:pt idx="313">
                  <c:v>5.0999999999999996</c:v>
                </c:pt>
                <c:pt idx="314">
                  <c:v>5.0999999999999996</c:v>
                </c:pt>
                <c:pt idx="315">
                  <c:v>5.0999999999999996</c:v>
                </c:pt>
                <c:pt idx="316">
                  <c:v>5.0999999999999996</c:v>
                </c:pt>
                <c:pt idx="317">
                  <c:v>5.0999999999999996</c:v>
                </c:pt>
                <c:pt idx="318">
                  <c:v>5.0999999999999996</c:v>
                </c:pt>
                <c:pt idx="319">
                  <c:v>5.0999999999999996</c:v>
                </c:pt>
                <c:pt idx="320">
                  <c:v>5.0999999999999996</c:v>
                </c:pt>
                <c:pt idx="321">
                  <c:v>5.0999999999999996</c:v>
                </c:pt>
                <c:pt idx="322">
                  <c:v>5.0999999999999996</c:v>
                </c:pt>
                <c:pt idx="323">
                  <c:v>5.0999999999999996</c:v>
                </c:pt>
                <c:pt idx="324">
                  <c:v>5.0999999999999996</c:v>
                </c:pt>
                <c:pt idx="325">
                  <c:v>5.0999999999999996</c:v>
                </c:pt>
                <c:pt idx="326">
                  <c:v>5.0999999999999996</c:v>
                </c:pt>
                <c:pt idx="327">
                  <c:v>5.0999999999999996</c:v>
                </c:pt>
                <c:pt idx="328">
                  <c:v>5.0999999999999996</c:v>
                </c:pt>
                <c:pt idx="329">
                  <c:v>5.0999999999999996</c:v>
                </c:pt>
                <c:pt idx="330">
                  <c:v>5.0999999999999996</c:v>
                </c:pt>
                <c:pt idx="331">
                  <c:v>5.0999999999999996</c:v>
                </c:pt>
                <c:pt idx="332">
                  <c:v>5.0999999999999996</c:v>
                </c:pt>
                <c:pt idx="333">
                  <c:v>5.0999999999999996</c:v>
                </c:pt>
                <c:pt idx="334">
                  <c:v>5.0999999999999996</c:v>
                </c:pt>
                <c:pt idx="335">
                  <c:v>5.0999999999999996</c:v>
                </c:pt>
                <c:pt idx="336">
                  <c:v>5.0999999999999996</c:v>
                </c:pt>
                <c:pt idx="337">
                  <c:v>5.0999999999999996</c:v>
                </c:pt>
                <c:pt idx="338">
                  <c:v>5.0999999999999996</c:v>
                </c:pt>
                <c:pt idx="339">
                  <c:v>5.0999999999999996</c:v>
                </c:pt>
                <c:pt idx="340">
                  <c:v>5.0999999999999996</c:v>
                </c:pt>
                <c:pt idx="341">
                  <c:v>5.0999999999999996</c:v>
                </c:pt>
                <c:pt idx="342">
                  <c:v>5.0999999999999996</c:v>
                </c:pt>
                <c:pt idx="343">
                  <c:v>5.0999999999999996</c:v>
                </c:pt>
                <c:pt idx="344">
                  <c:v>5.0999999999999996</c:v>
                </c:pt>
                <c:pt idx="345">
                  <c:v>5.0999999999999996</c:v>
                </c:pt>
                <c:pt idx="346">
                  <c:v>5.0999999999999996</c:v>
                </c:pt>
                <c:pt idx="347">
                  <c:v>5.0999999999999996</c:v>
                </c:pt>
                <c:pt idx="348">
                  <c:v>5.0999999999999996</c:v>
                </c:pt>
                <c:pt idx="349">
                  <c:v>5.0999999999999996</c:v>
                </c:pt>
              </c:numCache>
            </c:numRef>
          </c:yVal>
          <c:smooth val="0"/>
          <c:extLst>
            <c:ext xmlns:c16="http://schemas.microsoft.com/office/drawing/2014/chart" uri="{C3380CC4-5D6E-409C-BE32-E72D297353CC}">
              <c16:uniqueId val="{00000001-A204-4C92-A551-8BE89A17377A}"/>
            </c:ext>
          </c:extLst>
        </c:ser>
        <c:ser>
          <c:idx val="1"/>
          <c:order val="2"/>
          <c:tx>
            <c:strRef>
              <c:f>OTP_conf_summary!$J$21</c:f>
              <c:strCache>
                <c:ptCount val="1"/>
                <c:pt idx="0">
                  <c:v>VPRE</c:v>
                </c:pt>
              </c:strCache>
            </c:strRef>
          </c:tx>
          <c:spPr>
            <a:ln w="19050" cap="rnd">
              <a:solidFill>
                <a:schemeClr val="accent2"/>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OTP_conf_summary!$J$22:$J$371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c:v>
                </c:pt>
                <c:pt idx="94">
                  <c:v>1</c:v>
                </c:pt>
                <c:pt idx="95">
                  <c:v>1.5</c:v>
                </c:pt>
                <c:pt idx="96">
                  <c:v>2</c:v>
                </c:pt>
                <c:pt idx="97">
                  <c:v>2.5</c:v>
                </c:pt>
                <c:pt idx="98">
                  <c:v>3</c:v>
                </c:pt>
                <c:pt idx="99">
                  <c:v>3.5</c:v>
                </c:pt>
                <c:pt idx="100">
                  <c:v>4</c:v>
                </c:pt>
                <c:pt idx="101">
                  <c:v>4.5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5</c:v>
                </c:pt>
                <c:pt idx="166">
                  <c:v>5</c:v>
                </c:pt>
                <c:pt idx="167">
                  <c:v>5</c:v>
                </c:pt>
                <c:pt idx="168">
                  <c:v>5</c:v>
                </c:pt>
                <c:pt idx="169">
                  <c:v>5</c:v>
                </c:pt>
                <c:pt idx="170">
                  <c:v>5</c:v>
                </c:pt>
                <c:pt idx="171">
                  <c:v>5</c:v>
                </c:pt>
                <c:pt idx="172">
                  <c:v>5</c:v>
                </c:pt>
                <c:pt idx="173">
                  <c:v>5</c:v>
                </c:pt>
                <c:pt idx="174">
                  <c:v>5</c:v>
                </c:pt>
                <c:pt idx="175">
                  <c:v>5</c:v>
                </c:pt>
                <c:pt idx="176">
                  <c:v>5</c:v>
                </c:pt>
                <c:pt idx="177">
                  <c:v>5</c:v>
                </c:pt>
                <c:pt idx="178">
                  <c:v>5</c:v>
                </c:pt>
                <c:pt idx="179">
                  <c:v>5</c:v>
                </c:pt>
                <c:pt idx="180">
                  <c:v>5</c:v>
                </c:pt>
                <c:pt idx="181">
                  <c:v>5</c:v>
                </c:pt>
                <c:pt idx="182">
                  <c:v>5</c:v>
                </c:pt>
                <c:pt idx="183">
                  <c:v>5</c:v>
                </c:pt>
                <c:pt idx="184">
                  <c:v>5</c:v>
                </c:pt>
                <c:pt idx="185">
                  <c:v>5</c:v>
                </c:pt>
                <c:pt idx="186">
                  <c:v>5</c:v>
                </c:pt>
                <c:pt idx="187">
                  <c:v>5</c:v>
                </c:pt>
                <c:pt idx="188">
                  <c:v>5</c:v>
                </c:pt>
                <c:pt idx="189">
                  <c:v>5</c:v>
                </c:pt>
                <c:pt idx="190">
                  <c:v>5</c:v>
                </c:pt>
                <c:pt idx="191">
                  <c:v>5</c:v>
                </c:pt>
                <c:pt idx="192">
                  <c:v>5</c:v>
                </c:pt>
                <c:pt idx="193">
                  <c:v>5</c:v>
                </c:pt>
                <c:pt idx="194">
                  <c:v>5</c:v>
                </c:pt>
                <c:pt idx="195">
                  <c:v>5</c:v>
                </c:pt>
                <c:pt idx="196">
                  <c:v>5</c:v>
                </c:pt>
                <c:pt idx="197">
                  <c:v>5</c:v>
                </c:pt>
                <c:pt idx="198">
                  <c:v>5</c:v>
                </c:pt>
                <c:pt idx="199">
                  <c:v>5</c:v>
                </c:pt>
                <c:pt idx="200">
                  <c:v>5</c:v>
                </c:pt>
                <c:pt idx="201">
                  <c:v>5</c:v>
                </c:pt>
                <c:pt idx="202">
                  <c:v>5</c:v>
                </c:pt>
                <c:pt idx="203">
                  <c:v>5</c:v>
                </c:pt>
                <c:pt idx="204">
                  <c:v>5</c:v>
                </c:pt>
                <c:pt idx="205">
                  <c:v>5</c:v>
                </c:pt>
                <c:pt idx="206">
                  <c:v>5</c:v>
                </c:pt>
                <c:pt idx="207">
                  <c:v>5</c:v>
                </c:pt>
                <c:pt idx="208">
                  <c:v>5</c:v>
                </c:pt>
                <c:pt idx="209">
                  <c:v>5</c:v>
                </c:pt>
                <c:pt idx="210">
                  <c:v>5</c:v>
                </c:pt>
                <c:pt idx="211">
                  <c:v>5</c:v>
                </c:pt>
                <c:pt idx="212">
                  <c:v>5</c:v>
                </c:pt>
                <c:pt idx="213">
                  <c:v>5</c:v>
                </c:pt>
                <c:pt idx="214">
                  <c:v>5</c:v>
                </c:pt>
                <c:pt idx="215">
                  <c:v>5</c:v>
                </c:pt>
                <c:pt idx="216">
                  <c:v>5</c:v>
                </c:pt>
                <c:pt idx="217">
                  <c:v>5</c:v>
                </c:pt>
                <c:pt idx="218">
                  <c:v>5</c:v>
                </c:pt>
                <c:pt idx="219">
                  <c:v>5</c:v>
                </c:pt>
                <c:pt idx="220">
                  <c:v>5</c:v>
                </c:pt>
                <c:pt idx="221">
                  <c:v>5</c:v>
                </c:pt>
                <c:pt idx="222">
                  <c:v>5</c:v>
                </c:pt>
                <c:pt idx="223">
                  <c:v>5</c:v>
                </c:pt>
                <c:pt idx="224">
                  <c:v>5</c:v>
                </c:pt>
                <c:pt idx="225">
                  <c:v>5</c:v>
                </c:pt>
                <c:pt idx="226">
                  <c:v>5</c:v>
                </c:pt>
                <c:pt idx="227">
                  <c:v>5</c:v>
                </c:pt>
                <c:pt idx="228">
                  <c:v>5</c:v>
                </c:pt>
                <c:pt idx="229">
                  <c:v>5</c:v>
                </c:pt>
                <c:pt idx="230">
                  <c:v>5</c:v>
                </c:pt>
                <c:pt idx="231">
                  <c:v>5</c:v>
                </c:pt>
                <c:pt idx="232">
                  <c:v>5</c:v>
                </c:pt>
                <c:pt idx="233">
                  <c:v>5</c:v>
                </c:pt>
                <c:pt idx="234">
                  <c:v>5</c:v>
                </c:pt>
                <c:pt idx="235">
                  <c:v>5</c:v>
                </c:pt>
                <c:pt idx="236">
                  <c:v>5</c:v>
                </c:pt>
                <c:pt idx="237">
                  <c:v>5</c:v>
                </c:pt>
                <c:pt idx="238">
                  <c:v>5</c:v>
                </c:pt>
                <c:pt idx="239">
                  <c:v>5</c:v>
                </c:pt>
                <c:pt idx="240">
                  <c:v>5</c:v>
                </c:pt>
                <c:pt idx="241">
                  <c:v>5</c:v>
                </c:pt>
                <c:pt idx="242">
                  <c:v>5</c:v>
                </c:pt>
                <c:pt idx="243">
                  <c:v>5</c:v>
                </c:pt>
                <c:pt idx="244">
                  <c:v>5</c:v>
                </c:pt>
                <c:pt idx="245">
                  <c:v>5</c:v>
                </c:pt>
                <c:pt idx="246">
                  <c:v>5</c:v>
                </c:pt>
                <c:pt idx="247">
                  <c:v>5</c:v>
                </c:pt>
                <c:pt idx="248">
                  <c:v>5</c:v>
                </c:pt>
                <c:pt idx="249">
                  <c:v>5</c:v>
                </c:pt>
                <c:pt idx="250">
                  <c:v>5</c:v>
                </c:pt>
                <c:pt idx="251">
                  <c:v>5</c:v>
                </c:pt>
                <c:pt idx="252">
                  <c:v>5</c:v>
                </c:pt>
                <c:pt idx="253">
                  <c:v>5</c:v>
                </c:pt>
                <c:pt idx="254">
                  <c:v>5</c:v>
                </c:pt>
                <c:pt idx="255">
                  <c:v>5</c:v>
                </c:pt>
                <c:pt idx="256">
                  <c:v>5</c:v>
                </c:pt>
                <c:pt idx="257">
                  <c:v>5</c:v>
                </c:pt>
                <c:pt idx="258">
                  <c:v>5</c:v>
                </c:pt>
                <c:pt idx="259">
                  <c:v>5</c:v>
                </c:pt>
                <c:pt idx="260">
                  <c:v>5</c:v>
                </c:pt>
                <c:pt idx="261">
                  <c:v>5</c:v>
                </c:pt>
                <c:pt idx="262">
                  <c:v>5</c:v>
                </c:pt>
                <c:pt idx="263">
                  <c:v>5</c:v>
                </c:pt>
                <c:pt idx="264">
                  <c:v>5</c:v>
                </c:pt>
                <c:pt idx="265">
                  <c:v>5</c:v>
                </c:pt>
                <c:pt idx="266">
                  <c:v>5</c:v>
                </c:pt>
                <c:pt idx="267">
                  <c:v>5</c:v>
                </c:pt>
                <c:pt idx="268">
                  <c:v>5</c:v>
                </c:pt>
                <c:pt idx="269">
                  <c:v>5</c:v>
                </c:pt>
                <c:pt idx="270">
                  <c:v>5</c:v>
                </c:pt>
                <c:pt idx="271">
                  <c:v>5</c:v>
                </c:pt>
                <c:pt idx="272">
                  <c:v>5</c:v>
                </c:pt>
                <c:pt idx="273">
                  <c:v>5</c:v>
                </c:pt>
                <c:pt idx="274">
                  <c:v>5</c:v>
                </c:pt>
                <c:pt idx="275">
                  <c:v>5</c:v>
                </c:pt>
                <c:pt idx="276">
                  <c:v>5</c:v>
                </c:pt>
                <c:pt idx="277">
                  <c:v>5</c:v>
                </c:pt>
                <c:pt idx="278">
                  <c:v>5</c:v>
                </c:pt>
                <c:pt idx="279">
                  <c:v>5</c:v>
                </c:pt>
                <c:pt idx="280">
                  <c:v>5</c:v>
                </c:pt>
                <c:pt idx="281">
                  <c:v>5</c:v>
                </c:pt>
                <c:pt idx="282">
                  <c:v>5</c:v>
                </c:pt>
                <c:pt idx="283">
                  <c:v>5</c:v>
                </c:pt>
                <c:pt idx="284">
                  <c:v>5</c:v>
                </c:pt>
                <c:pt idx="285">
                  <c:v>5</c:v>
                </c:pt>
                <c:pt idx="286">
                  <c:v>5</c:v>
                </c:pt>
                <c:pt idx="287">
                  <c:v>5</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numCache>
            </c:numRef>
          </c:yVal>
          <c:smooth val="0"/>
          <c:extLst>
            <c:ext xmlns:c16="http://schemas.microsoft.com/office/drawing/2014/chart" uri="{C3380CC4-5D6E-409C-BE32-E72D297353CC}">
              <c16:uniqueId val="{00000002-A204-4C92-A551-8BE89A17377A}"/>
            </c:ext>
          </c:extLst>
        </c:ser>
        <c:ser>
          <c:idx val="2"/>
          <c:order val="3"/>
          <c:tx>
            <c:strRef>
              <c:f>OTP_conf_summary!$K$21</c:f>
              <c:strCache>
                <c:ptCount val="1"/>
                <c:pt idx="0">
                  <c:v>VBOOST</c:v>
                </c:pt>
              </c:strCache>
            </c:strRef>
          </c:tx>
          <c:spPr>
            <a:ln w="19050" cap="rnd">
              <a:solidFill>
                <a:schemeClr val="accent3"/>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OTP_conf_summary!$K$22:$K$371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0.5</c:v>
                </c:pt>
                <c:pt idx="95">
                  <c:v>1</c:v>
                </c:pt>
                <c:pt idx="96">
                  <c:v>1.5</c:v>
                </c:pt>
                <c:pt idx="97">
                  <c:v>2</c:v>
                </c:pt>
                <c:pt idx="98">
                  <c:v>2.5</c:v>
                </c:pt>
                <c:pt idx="99">
                  <c:v>3</c:v>
                </c:pt>
                <c:pt idx="100">
                  <c:v>3.5</c:v>
                </c:pt>
                <c:pt idx="101">
                  <c:v>4</c:v>
                </c:pt>
                <c:pt idx="102">
                  <c:v>4.5</c:v>
                </c:pt>
                <c:pt idx="103">
                  <c:v>4.5</c:v>
                </c:pt>
                <c:pt idx="104">
                  <c:v>4.5</c:v>
                </c:pt>
                <c:pt idx="105">
                  <c:v>4.5</c:v>
                </c:pt>
                <c:pt idx="106">
                  <c:v>4.5</c:v>
                </c:pt>
                <c:pt idx="107">
                  <c:v>4.5</c:v>
                </c:pt>
                <c:pt idx="108">
                  <c:v>4.5</c:v>
                </c:pt>
                <c:pt idx="109">
                  <c:v>4.5</c:v>
                </c:pt>
                <c:pt idx="110">
                  <c:v>4.5</c:v>
                </c:pt>
                <c:pt idx="111">
                  <c:v>4.5</c:v>
                </c:pt>
                <c:pt idx="112">
                  <c:v>4.9000000000000012</c:v>
                </c:pt>
                <c:pt idx="113">
                  <c:v>4.9000000000000012</c:v>
                </c:pt>
                <c:pt idx="114">
                  <c:v>4.9000000000000012</c:v>
                </c:pt>
                <c:pt idx="115">
                  <c:v>4.9000000000000012</c:v>
                </c:pt>
                <c:pt idx="116">
                  <c:v>4.9000000000000012</c:v>
                </c:pt>
                <c:pt idx="117">
                  <c:v>4.9000000000000012</c:v>
                </c:pt>
                <c:pt idx="118">
                  <c:v>4.9000000000000012</c:v>
                </c:pt>
                <c:pt idx="119">
                  <c:v>4.9000000000000012</c:v>
                </c:pt>
                <c:pt idx="120">
                  <c:v>4.9000000000000012</c:v>
                </c:pt>
                <c:pt idx="121">
                  <c:v>4.9000000000000012</c:v>
                </c:pt>
                <c:pt idx="122">
                  <c:v>4.9000000000000012</c:v>
                </c:pt>
                <c:pt idx="123">
                  <c:v>4.9000000000000012</c:v>
                </c:pt>
                <c:pt idx="124">
                  <c:v>4.9000000000000012</c:v>
                </c:pt>
                <c:pt idx="125">
                  <c:v>4.9000000000000012</c:v>
                </c:pt>
                <c:pt idx="126">
                  <c:v>4.9000000000000012</c:v>
                </c:pt>
                <c:pt idx="127">
                  <c:v>4.9000000000000012</c:v>
                </c:pt>
                <c:pt idx="128">
                  <c:v>4.9000000000000012</c:v>
                </c:pt>
                <c:pt idx="129">
                  <c:v>4.9000000000000012</c:v>
                </c:pt>
                <c:pt idx="130">
                  <c:v>4.9000000000000012</c:v>
                </c:pt>
                <c:pt idx="131">
                  <c:v>4.9000000000000012</c:v>
                </c:pt>
                <c:pt idx="132">
                  <c:v>4.9000000000000012</c:v>
                </c:pt>
                <c:pt idx="133">
                  <c:v>4.9000000000000012</c:v>
                </c:pt>
                <c:pt idx="134">
                  <c:v>4.9000000000000012</c:v>
                </c:pt>
                <c:pt idx="135">
                  <c:v>4.9000000000000012</c:v>
                </c:pt>
                <c:pt idx="136">
                  <c:v>4.9000000000000012</c:v>
                </c:pt>
                <c:pt idx="137">
                  <c:v>4.9000000000000012</c:v>
                </c:pt>
                <c:pt idx="138">
                  <c:v>4.9000000000000012</c:v>
                </c:pt>
                <c:pt idx="139">
                  <c:v>4.9000000000000012</c:v>
                </c:pt>
                <c:pt idx="140">
                  <c:v>4.9000000000000012</c:v>
                </c:pt>
                <c:pt idx="141">
                  <c:v>4.9000000000000012</c:v>
                </c:pt>
                <c:pt idx="142">
                  <c:v>4.9000000000000012</c:v>
                </c:pt>
                <c:pt idx="143">
                  <c:v>4.9000000000000012</c:v>
                </c:pt>
                <c:pt idx="144">
                  <c:v>4.9000000000000012</c:v>
                </c:pt>
                <c:pt idx="145">
                  <c:v>4.9000000000000012</c:v>
                </c:pt>
                <c:pt idx="146">
                  <c:v>4.9000000000000012</c:v>
                </c:pt>
                <c:pt idx="147">
                  <c:v>4.9000000000000012</c:v>
                </c:pt>
                <c:pt idx="148">
                  <c:v>4.9000000000000012</c:v>
                </c:pt>
                <c:pt idx="149">
                  <c:v>4.9000000000000012</c:v>
                </c:pt>
                <c:pt idx="150">
                  <c:v>4.9000000000000012</c:v>
                </c:pt>
                <c:pt idx="151">
                  <c:v>4.9000000000000012</c:v>
                </c:pt>
                <c:pt idx="152">
                  <c:v>4.9000000000000012</c:v>
                </c:pt>
                <c:pt idx="153">
                  <c:v>4.9000000000000012</c:v>
                </c:pt>
                <c:pt idx="154">
                  <c:v>4.9000000000000012</c:v>
                </c:pt>
                <c:pt idx="155">
                  <c:v>4.9000000000000012</c:v>
                </c:pt>
                <c:pt idx="156">
                  <c:v>4.9000000000000012</c:v>
                </c:pt>
                <c:pt idx="157">
                  <c:v>4.9000000000000012</c:v>
                </c:pt>
                <c:pt idx="158">
                  <c:v>4.9000000000000012</c:v>
                </c:pt>
                <c:pt idx="159">
                  <c:v>4.9000000000000012</c:v>
                </c:pt>
                <c:pt idx="160">
                  <c:v>4.9000000000000012</c:v>
                </c:pt>
                <c:pt idx="161">
                  <c:v>4.9000000000000012</c:v>
                </c:pt>
                <c:pt idx="162">
                  <c:v>4.9000000000000012</c:v>
                </c:pt>
                <c:pt idx="163">
                  <c:v>4.9000000000000012</c:v>
                </c:pt>
                <c:pt idx="164">
                  <c:v>4.9000000000000012</c:v>
                </c:pt>
                <c:pt idx="165">
                  <c:v>4.9000000000000012</c:v>
                </c:pt>
                <c:pt idx="166">
                  <c:v>4.9000000000000012</c:v>
                </c:pt>
                <c:pt idx="167">
                  <c:v>4.9000000000000012</c:v>
                </c:pt>
                <c:pt idx="168">
                  <c:v>4.9000000000000012</c:v>
                </c:pt>
                <c:pt idx="169">
                  <c:v>4.9000000000000012</c:v>
                </c:pt>
                <c:pt idx="170">
                  <c:v>4.9000000000000012</c:v>
                </c:pt>
                <c:pt idx="171">
                  <c:v>4.9000000000000012</c:v>
                </c:pt>
                <c:pt idx="172">
                  <c:v>4.9000000000000012</c:v>
                </c:pt>
                <c:pt idx="173">
                  <c:v>4.9000000000000012</c:v>
                </c:pt>
                <c:pt idx="174">
                  <c:v>4.9000000000000012</c:v>
                </c:pt>
                <c:pt idx="175">
                  <c:v>4.9000000000000012</c:v>
                </c:pt>
                <c:pt idx="176">
                  <c:v>4.9000000000000012</c:v>
                </c:pt>
                <c:pt idx="177">
                  <c:v>4.9000000000000012</c:v>
                </c:pt>
                <c:pt idx="178">
                  <c:v>4.9000000000000012</c:v>
                </c:pt>
                <c:pt idx="179">
                  <c:v>4.9000000000000012</c:v>
                </c:pt>
                <c:pt idx="180">
                  <c:v>4.9000000000000012</c:v>
                </c:pt>
                <c:pt idx="181">
                  <c:v>4.9000000000000012</c:v>
                </c:pt>
                <c:pt idx="182">
                  <c:v>4.9000000000000012</c:v>
                </c:pt>
                <c:pt idx="183">
                  <c:v>4.9000000000000012</c:v>
                </c:pt>
                <c:pt idx="184">
                  <c:v>4.9000000000000012</c:v>
                </c:pt>
                <c:pt idx="185">
                  <c:v>4.9000000000000012</c:v>
                </c:pt>
                <c:pt idx="186">
                  <c:v>4.9000000000000012</c:v>
                </c:pt>
                <c:pt idx="187">
                  <c:v>4.9000000000000012</c:v>
                </c:pt>
                <c:pt idx="188">
                  <c:v>4.9000000000000012</c:v>
                </c:pt>
                <c:pt idx="189">
                  <c:v>4.9000000000000012</c:v>
                </c:pt>
                <c:pt idx="190">
                  <c:v>4.9000000000000012</c:v>
                </c:pt>
                <c:pt idx="191">
                  <c:v>4.9000000000000012</c:v>
                </c:pt>
                <c:pt idx="192">
                  <c:v>4.9000000000000012</c:v>
                </c:pt>
                <c:pt idx="193">
                  <c:v>4.9000000000000012</c:v>
                </c:pt>
                <c:pt idx="194">
                  <c:v>4.9000000000000012</c:v>
                </c:pt>
                <c:pt idx="195">
                  <c:v>4.9000000000000012</c:v>
                </c:pt>
                <c:pt idx="196">
                  <c:v>4.9000000000000012</c:v>
                </c:pt>
                <c:pt idx="197">
                  <c:v>4.9000000000000012</c:v>
                </c:pt>
                <c:pt idx="198">
                  <c:v>4.9000000000000012</c:v>
                </c:pt>
                <c:pt idx="199">
                  <c:v>4.9000000000000012</c:v>
                </c:pt>
                <c:pt idx="200">
                  <c:v>4.9000000000000012</c:v>
                </c:pt>
                <c:pt idx="201">
                  <c:v>4.9000000000000012</c:v>
                </c:pt>
                <c:pt idx="202">
                  <c:v>4.9000000000000012</c:v>
                </c:pt>
                <c:pt idx="203">
                  <c:v>4.9000000000000012</c:v>
                </c:pt>
                <c:pt idx="204">
                  <c:v>4.9000000000000012</c:v>
                </c:pt>
                <c:pt idx="205">
                  <c:v>4.9000000000000012</c:v>
                </c:pt>
                <c:pt idx="206">
                  <c:v>4.9000000000000012</c:v>
                </c:pt>
                <c:pt idx="207">
                  <c:v>4.9000000000000012</c:v>
                </c:pt>
                <c:pt idx="208">
                  <c:v>4.9000000000000012</c:v>
                </c:pt>
                <c:pt idx="209">
                  <c:v>4.9000000000000012</c:v>
                </c:pt>
                <c:pt idx="210">
                  <c:v>4.9000000000000012</c:v>
                </c:pt>
                <c:pt idx="211">
                  <c:v>4.9000000000000012</c:v>
                </c:pt>
                <c:pt idx="212">
                  <c:v>4.9000000000000012</c:v>
                </c:pt>
                <c:pt idx="213">
                  <c:v>4.9000000000000012</c:v>
                </c:pt>
                <c:pt idx="214">
                  <c:v>4.9000000000000012</c:v>
                </c:pt>
                <c:pt idx="215">
                  <c:v>4.9000000000000012</c:v>
                </c:pt>
                <c:pt idx="216">
                  <c:v>4.9000000000000012</c:v>
                </c:pt>
                <c:pt idx="217">
                  <c:v>4.9000000000000012</c:v>
                </c:pt>
                <c:pt idx="218">
                  <c:v>4.9000000000000012</c:v>
                </c:pt>
                <c:pt idx="219">
                  <c:v>4.9000000000000012</c:v>
                </c:pt>
                <c:pt idx="220">
                  <c:v>4.9000000000000012</c:v>
                </c:pt>
                <c:pt idx="221">
                  <c:v>4.9000000000000012</c:v>
                </c:pt>
                <c:pt idx="222">
                  <c:v>4.9000000000000012</c:v>
                </c:pt>
                <c:pt idx="223">
                  <c:v>4.9000000000000012</c:v>
                </c:pt>
                <c:pt idx="224">
                  <c:v>4.9000000000000012</c:v>
                </c:pt>
                <c:pt idx="225">
                  <c:v>4.9000000000000012</c:v>
                </c:pt>
                <c:pt idx="226">
                  <c:v>4.9000000000000012</c:v>
                </c:pt>
                <c:pt idx="227">
                  <c:v>4.9000000000000012</c:v>
                </c:pt>
                <c:pt idx="228">
                  <c:v>4.9000000000000012</c:v>
                </c:pt>
                <c:pt idx="229">
                  <c:v>4.9000000000000012</c:v>
                </c:pt>
                <c:pt idx="230">
                  <c:v>4.9000000000000012</c:v>
                </c:pt>
                <c:pt idx="231">
                  <c:v>4.9000000000000012</c:v>
                </c:pt>
                <c:pt idx="232">
                  <c:v>4.9000000000000012</c:v>
                </c:pt>
                <c:pt idx="233">
                  <c:v>4.9000000000000012</c:v>
                </c:pt>
                <c:pt idx="234">
                  <c:v>4.9000000000000012</c:v>
                </c:pt>
                <c:pt idx="235">
                  <c:v>4.9000000000000012</c:v>
                </c:pt>
                <c:pt idx="236">
                  <c:v>4.9000000000000012</c:v>
                </c:pt>
                <c:pt idx="237">
                  <c:v>4.9000000000000012</c:v>
                </c:pt>
                <c:pt idx="238">
                  <c:v>4.9000000000000012</c:v>
                </c:pt>
                <c:pt idx="239">
                  <c:v>4.9000000000000012</c:v>
                </c:pt>
                <c:pt idx="240">
                  <c:v>4.9000000000000012</c:v>
                </c:pt>
                <c:pt idx="241">
                  <c:v>4.9000000000000012</c:v>
                </c:pt>
                <c:pt idx="242">
                  <c:v>4.9000000000000012</c:v>
                </c:pt>
                <c:pt idx="243">
                  <c:v>4.9000000000000012</c:v>
                </c:pt>
                <c:pt idx="244">
                  <c:v>4.9000000000000012</c:v>
                </c:pt>
                <c:pt idx="245">
                  <c:v>4.9000000000000012</c:v>
                </c:pt>
                <c:pt idx="246">
                  <c:v>4.9000000000000012</c:v>
                </c:pt>
                <c:pt idx="247">
                  <c:v>4.9000000000000012</c:v>
                </c:pt>
                <c:pt idx="248">
                  <c:v>4.9000000000000012</c:v>
                </c:pt>
                <c:pt idx="249">
                  <c:v>4.9000000000000012</c:v>
                </c:pt>
                <c:pt idx="250">
                  <c:v>4.9000000000000012</c:v>
                </c:pt>
                <c:pt idx="251">
                  <c:v>4.9000000000000012</c:v>
                </c:pt>
                <c:pt idx="252">
                  <c:v>4.9000000000000012</c:v>
                </c:pt>
                <c:pt idx="253">
                  <c:v>4.9000000000000012</c:v>
                </c:pt>
                <c:pt idx="254">
                  <c:v>4.9000000000000012</c:v>
                </c:pt>
                <c:pt idx="255">
                  <c:v>4.9000000000000012</c:v>
                </c:pt>
                <c:pt idx="256">
                  <c:v>4.9000000000000012</c:v>
                </c:pt>
                <c:pt idx="257">
                  <c:v>4.9000000000000012</c:v>
                </c:pt>
                <c:pt idx="258">
                  <c:v>4.9000000000000012</c:v>
                </c:pt>
                <c:pt idx="259">
                  <c:v>4.9000000000000012</c:v>
                </c:pt>
                <c:pt idx="260">
                  <c:v>4.9000000000000012</c:v>
                </c:pt>
                <c:pt idx="261">
                  <c:v>4.9000000000000012</c:v>
                </c:pt>
                <c:pt idx="262">
                  <c:v>4.9000000000000012</c:v>
                </c:pt>
                <c:pt idx="263">
                  <c:v>4.9000000000000012</c:v>
                </c:pt>
                <c:pt idx="264">
                  <c:v>4.9000000000000012</c:v>
                </c:pt>
                <c:pt idx="265">
                  <c:v>4.9000000000000012</c:v>
                </c:pt>
                <c:pt idx="266">
                  <c:v>4.9000000000000012</c:v>
                </c:pt>
                <c:pt idx="267">
                  <c:v>4.9000000000000012</c:v>
                </c:pt>
                <c:pt idx="268">
                  <c:v>4.9000000000000012</c:v>
                </c:pt>
                <c:pt idx="269">
                  <c:v>4.9000000000000012</c:v>
                </c:pt>
                <c:pt idx="270">
                  <c:v>4.9000000000000012</c:v>
                </c:pt>
                <c:pt idx="271">
                  <c:v>4.9000000000000012</c:v>
                </c:pt>
                <c:pt idx="272">
                  <c:v>4.9000000000000012</c:v>
                </c:pt>
                <c:pt idx="273">
                  <c:v>4.9000000000000012</c:v>
                </c:pt>
                <c:pt idx="274">
                  <c:v>4.9000000000000012</c:v>
                </c:pt>
                <c:pt idx="275">
                  <c:v>4.9000000000000012</c:v>
                </c:pt>
                <c:pt idx="276">
                  <c:v>4.9000000000000012</c:v>
                </c:pt>
                <c:pt idx="277">
                  <c:v>4.9000000000000012</c:v>
                </c:pt>
                <c:pt idx="278">
                  <c:v>4.9000000000000012</c:v>
                </c:pt>
                <c:pt idx="279">
                  <c:v>4.9000000000000012</c:v>
                </c:pt>
                <c:pt idx="280">
                  <c:v>4.9000000000000012</c:v>
                </c:pt>
                <c:pt idx="281">
                  <c:v>4.9000000000000012</c:v>
                </c:pt>
                <c:pt idx="282">
                  <c:v>4.9000000000000012</c:v>
                </c:pt>
                <c:pt idx="283">
                  <c:v>4.9000000000000012</c:v>
                </c:pt>
                <c:pt idx="284">
                  <c:v>4.9000000000000012</c:v>
                </c:pt>
                <c:pt idx="285">
                  <c:v>4.9000000000000012</c:v>
                </c:pt>
                <c:pt idx="286">
                  <c:v>4.9000000000000012</c:v>
                </c:pt>
                <c:pt idx="287">
                  <c:v>4.9000000000000012</c:v>
                </c:pt>
                <c:pt idx="288">
                  <c:v>4.9000000000000012</c:v>
                </c:pt>
                <c:pt idx="289">
                  <c:v>4.9000000000000012</c:v>
                </c:pt>
                <c:pt idx="290">
                  <c:v>4.9000000000000012</c:v>
                </c:pt>
                <c:pt idx="291">
                  <c:v>4.9000000000000012</c:v>
                </c:pt>
                <c:pt idx="292">
                  <c:v>4.9000000000000012</c:v>
                </c:pt>
                <c:pt idx="293">
                  <c:v>4.9000000000000012</c:v>
                </c:pt>
                <c:pt idx="294">
                  <c:v>4.9000000000000012</c:v>
                </c:pt>
                <c:pt idx="295">
                  <c:v>4.9000000000000012</c:v>
                </c:pt>
                <c:pt idx="296">
                  <c:v>4.9000000000000012</c:v>
                </c:pt>
                <c:pt idx="297">
                  <c:v>4.9000000000000012</c:v>
                </c:pt>
                <c:pt idx="298">
                  <c:v>4.9000000000000012</c:v>
                </c:pt>
                <c:pt idx="299">
                  <c:v>4.9000000000000012</c:v>
                </c:pt>
                <c:pt idx="300">
                  <c:v>4.9000000000000012</c:v>
                </c:pt>
                <c:pt idx="301">
                  <c:v>4.9000000000000012</c:v>
                </c:pt>
                <c:pt idx="302">
                  <c:v>4.9000000000000012</c:v>
                </c:pt>
                <c:pt idx="303">
                  <c:v>4.9000000000000012</c:v>
                </c:pt>
                <c:pt idx="304">
                  <c:v>4.9000000000000012</c:v>
                </c:pt>
                <c:pt idx="305">
                  <c:v>4.9000000000000012</c:v>
                </c:pt>
                <c:pt idx="306">
                  <c:v>4.9000000000000012</c:v>
                </c:pt>
                <c:pt idx="307">
                  <c:v>4.9000000000000012</c:v>
                </c:pt>
                <c:pt idx="308">
                  <c:v>4.9000000000000012</c:v>
                </c:pt>
                <c:pt idx="309">
                  <c:v>4.9000000000000012</c:v>
                </c:pt>
                <c:pt idx="310">
                  <c:v>4.9000000000000012</c:v>
                </c:pt>
                <c:pt idx="311">
                  <c:v>4.9000000000000012</c:v>
                </c:pt>
                <c:pt idx="312">
                  <c:v>4.9000000000000012</c:v>
                </c:pt>
                <c:pt idx="313">
                  <c:v>4.9000000000000012</c:v>
                </c:pt>
                <c:pt idx="314">
                  <c:v>4.9000000000000012</c:v>
                </c:pt>
                <c:pt idx="315">
                  <c:v>4.9000000000000012</c:v>
                </c:pt>
                <c:pt idx="316">
                  <c:v>4.9000000000000012</c:v>
                </c:pt>
                <c:pt idx="317">
                  <c:v>4.9000000000000012</c:v>
                </c:pt>
                <c:pt idx="318">
                  <c:v>4.9000000000000012</c:v>
                </c:pt>
                <c:pt idx="319">
                  <c:v>4.9000000000000012</c:v>
                </c:pt>
                <c:pt idx="320">
                  <c:v>4.9000000000000012</c:v>
                </c:pt>
                <c:pt idx="321">
                  <c:v>4.9000000000000012</c:v>
                </c:pt>
                <c:pt idx="322">
                  <c:v>4.9000000000000012</c:v>
                </c:pt>
                <c:pt idx="323">
                  <c:v>4.9000000000000012</c:v>
                </c:pt>
                <c:pt idx="324">
                  <c:v>4.9000000000000012</c:v>
                </c:pt>
                <c:pt idx="325">
                  <c:v>4.9000000000000012</c:v>
                </c:pt>
                <c:pt idx="326">
                  <c:v>4.9000000000000012</c:v>
                </c:pt>
                <c:pt idx="327">
                  <c:v>4.9000000000000012</c:v>
                </c:pt>
                <c:pt idx="328">
                  <c:v>4.9000000000000012</c:v>
                </c:pt>
                <c:pt idx="329">
                  <c:v>4.9000000000000012</c:v>
                </c:pt>
                <c:pt idx="330">
                  <c:v>4.9000000000000012</c:v>
                </c:pt>
                <c:pt idx="331">
                  <c:v>4.9000000000000012</c:v>
                </c:pt>
                <c:pt idx="332">
                  <c:v>4.9000000000000012</c:v>
                </c:pt>
                <c:pt idx="333">
                  <c:v>4.9000000000000012</c:v>
                </c:pt>
                <c:pt idx="334">
                  <c:v>4.9000000000000012</c:v>
                </c:pt>
                <c:pt idx="335">
                  <c:v>4.9000000000000012</c:v>
                </c:pt>
                <c:pt idx="336">
                  <c:v>4.9000000000000012</c:v>
                </c:pt>
                <c:pt idx="337">
                  <c:v>4.9000000000000012</c:v>
                </c:pt>
                <c:pt idx="338">
                  <c:v>4.9000000000000012</c:v>
                </c:pt>
                <c:pt idx="339">
                  <c:v>4.9000000000000012</c:v>
                </c:pt>
                <c:pt idx="340">
                  <c:v>4.9000000000000012</c:v>
                </c:pt>
                <c:pt idx="341">
                  <c:v>4.9000000000000012</c:v>
                </c:pt>
                <c:pt idx="342">
                  <c:v>4.9000000000000012</c:v>
                </c:pt>
                <c:pt idx="343">
                  <c:v>4.9000000000000012</c:v>
                </c:pt>
                <c:pt idx="344">
                  <c:v>4.9000000000000012</c:v>
                </c:pt>
                <c:pt idx="345">
                  <c:v>4.9000000000000012</c:v>
                </c:pt>
                <c:pt idx="346">
                  <c:v>4.9000000000000012</c:v>
                </c:pt>
                <c:pt idx="347">
                  <c:v>4.9000000000000012</c:v>
                </c:pt>
                <c:pt idx="348">
                  <c:v>4.9000000000000012</c:v>
                </c:pt>
                <c:pt idx="349">
                  <c:v>4.9000000000000012</c:v>
                </c:pt>
              </c:numCache>
            </c:numRef>
          </c:yVal>
          <c:smooth val="0"/>
          <c:extLst>
            <c:ext xmlns:c16="http://schemas.microsoft.com/office/drawing/2014/chart" uri="{C3380CC4-5D6E-409C-BE32-E72D297353CC}">
              <c16:uniqueId val="{00000003-A204-4C92-A551-8BE89A17377A}"/>
            </c:ext>
          </c:extLst>
        </c:ser>
        <c:ser>
          <c:idx val="3"/>
          <c:order val="4"/>
          <c:tx>
            <c:strRef>
              <c:f>OTP_conf_summary!$L$21</c:f>
              <c:strCache>
                <c:ptCount val="1"/>
                <c:pt idx="0">
                  <c:v>BUCK1</c:v>
                </c:pt>
              </c:strCache>
            </c:strRef>
          </c:tx>
          <c:spPr>
            <a:ln w="19050" cap="rnd">
              <a:solidFill>
                <a:schemeClr val="accent4"/>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OTP_conf_summary!$L$22:$L$371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0.19999999999999998</c:v>
                </c:pt>
                <c:pt idx="134">
                  <c:v>0.39999999999999997</c:v>
                </c:pt>
                <c:pt idx="135">
                  <c:v>0.6</c:v>
                </c:pt>
                <c:pt idx="136">
                  <c:v>0.79999999999999993</c:v>
                </c:pt>
                <c:pt idx="137">
                  <c:v>0.99999999999999989</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1.2</c:v>
                </c:pt>
                <c:pt idx="253">
                  <c:v>1.2</c:v>
                </c:pt>
                <c:pt idx="254">
                  <c:v>1.2</c:v>
                </c:pt>
                <c:pt idx="255">
                  <c:v>1.2</c:v>
                </c:pt>
                <c:pt idx="256">
                  <c:v>1.2</c:v>
                </c:pt>
                <c:pt idx="257">
                  <c:v>1.2</c:v>
                </c:pt>
                <c:pt idx="258">
                  <c:v>1.2</c:v>
                </c:pt>
                <c:pt idx="259">
                  <c:v>1.2</c:v>
                </c:pt>
                <c:pt idx="260">
                  <c:v>1.2</c:v>
                </c:pt>
                <c:pt idx="261">
                  <c:v>1.2</c:v>
                </c:pt>
                <c:pt idx="262">
                  <c:v>1.2</c:v>
                </c:pt>
                <c:pt idx="263">
                  <c:v>1.2</c:v>
                </c:pt>
                <c:pt idx="264">
                  <c:v>1.2</c:v>
                </c:pt>
                <c:pt idx="265">
                  <c:v>1.2</c:v>
                </c:pt>
                <c:pt idx="266">
                  <c:v>1.2</c:v>
                </c:pt>
                <c:pt idx="267">
                  <c:v>1.2</c:v>
                </c:pt>
                <c:pt idx="268">
                  <c:v>1.2</c:v>
                </c:pt>
                <c:pt idx="269">
                  <c:v>1.2</c:v>
                </c:pt>
                <c:pt idx="270">
                  <c:v>1.2</c:v>
                </c:pt>
                <c:pt idx="271">
                  <c:v>1.2</c:v>
                </c:pt>
                <c:pt idx="272">
                  <c:v>1.2</c:v>
                </c:pt>
                <c:pt idx="273">
                  <c:v>1.2</c:v>
                </c:pt>
                <c:pt idx="274">
                  <c:v>1.2</c:v>
                </c:pt>
                <c:pt idx="275">
                  <c:v>1.2</c:v>
                </c:pt>
                <c:pt idx="276">
                  <c:v>1.2</c:v>
                </c:pt>
                <c:pt idx="277">
                  <c:v>1.2</c:v>
                </c:pt>
                <c:pt idx="278">
                  <c:v>1.2</c:v>
                </c:pt>
                <c:pt idx="279">
                  <c:v>1.2</c:v>
                </c:pt>
                <c:pt idx="280">
                  <c:v>1.2</c:v>
                </c:pt>
                <c:pt idx="281">
                  <c:v>1.2</c:v>
                </c:pt>
                <c:pt idx="282">
                  <c:v>1.2</c:v>
                </c:pt>
                <c:pt idx="283">
                  <c:v>1.2</c:v>
                </c:pt>
                <c:pt idx="284">
                  <c:v>1.2</c:v>
                </c:pt>
                <c:pt idx="285">
                  <c:v>1.2</c:v>
                </c:pt>
                <c:pt idx="286">
                  <c:v>1.2</c:v>
                </c:pt>
                <c:pt idx="287">
                  <c:v>1.2</c:v>
                </c:pt>
                <c:pt idx="288">
                  <c:v>1.2</c:v>
                </c:pt>
                <c:pt idx="289">
                  <c:v>1.2</c:v>
                </c:pt>
                <c:pt idx="290">
                  <c:v>1.2</c:v>
                </c:pt>
                <c:pt idx="291">
                  <c:v>1.2</c:v>
                </c:pt>
                <c:pt idx="292">
                  <c:v>1.2</c:v>
                </c:pt>
                <c:pt idx="293">
                  <c:v>1.2</c:v>
                </c:pt>
                <c:pt idx="294">
                  <c:v>1.2</c:v>
                </c:pt>
                <c:pt idx="295">
                  <c:v>1.2</c:v>
                </c:pt>
                <c:pt idx="296">
                  <c:v>1.2</c:v>
                </c:pt>
                <c:pt idx="297">
                  <c:v>1.2</c:v>
                </c:pt>
                <c:pt idx="298">
                  <c:v>1.2</c:v>
                </c:pt>
                <c:pt idx="299">
                  <c:v>1.2</c:v>
                </c:pt>
                <c:pt idx="300">
                  <c:v>1.2</c:v>
                </c:pt>
                <c:pt idx="301">
                  <c:v>1.2</c:v>
                </c:pt>
                <c:pt idx="302">
                  <c:v>1.2</c:v>
                </c:pt>
                <c:pt idx="303">
                  <c:v>1.2</c:v>
                </c:pt>
                <c:pt idx="304">
                  <c:v>1.2</c:v>
                </c:pt>
                <c:pt idx="305">
                  <c:v>1.2</c:v>
                </c:pt>
                <c:pt idx="306">
                  <c:v>1.2</c:v>
                </c:pt>
                <c:pt idx="307">
                  <c:v>1.2</c:v>
                </c:pt>
                <c:pt idx="308">
                  <c:v>1.2</c:v>
                </c:pt>
                <c:pt idx="309">
                  <c:v>1.2</c:v>
                </c:pt>
                <c:pt idx="310">
                  <c:v>1.2</c:v>
                </c:pt>
                <c:pt idx="311">
                  <c:v>1.2</c:v>
                </c:pt>
                <c:pt idx="312">
                  <c:v>1.2</c:v>
                </c:pt>
                <c:pt idx="313">
                  <c:v>1.2</c:v>
                </c:pt>
                <c:pt idx="314">
                  <c:v>1.2</c:v>
                </c:pt>
                <c:pt idx="315">
                  <c:v>1.2</c:v>
                </c:pt>
                <c:pt idx="316">
                  <c:v>1.2</c:v>
                </c:pt>
                <c:pt idx="317">
                  <c:v>1.2</c:v>
                </c:pt>
                <c:pt idx="318">
                  <c:v>1.2</c:v>
                </c:pt>
                <c:pt idx="319">
                  <c:v>1.2</c:v>
                </c:pt>
                <c:pt idx="320">
                  <c:v>1.2</c:v>
                </c:pt>
                <c:pt idx="321">
                  <c:v>1.2</c:v>
                </c:pt>
                <c:pt idx="322">
                  <c:v>1.2</c:v>
                </c:pt>
                <c:pt idx="323">
                  <c:v>1.2</c:v>
                </c:pt>
                <c:pt idx="324">
                  <c:v>1.2</c:v>
                </c:pt>
                <c:pt idx="325">
                  <c:v>1.2</c:v>
                </c:pt>
                <c:pt idx="326">
                  <c:v>1.2</c:v>
                </c:pt>
                <c:pt idx="327">
                  <c:v>1.2</c:v>
                </c:pt>
                <c:pt idx="328">
                  <c:v>1.2</c:v>
                </c:pt>
                <c:pt idx="329">
                  <c:v>1.2</c:v>
                </c:pt>
                <c:pt idx="330">
                  <c:v>1.2</c:v>
                </c:pt>
                <c:pt idx="331">
                  <c:v>1.2</c:v>
                </c:pt>
                <c:pt idx="332">
                  <c:v>1.2</c:v>
                </c:pt>
                <c:pt idx="333">
                  <c:v>1.2</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numCache>
            </c:numRef>
          </c:yVal>
          <c:smooth val="0"/>
          <c:extLst>
            <c:ext xmlns:c16="http://schemas.microsoft.com/office/drawing/2014/chart" uri="{C3380CC4-5D6E-409C-BE32-E72D297353CC}">
              <c16:uniqueId val="{00000004-A204-4C92-A551-8BE89A17377A}"/>
            </c:ext>
          </c:extLst>
        </c:ser>
        <c:ser>
          <c:idx val="11"/>
          <c:order val="5"/>
          <c:tx>
            <c:strRef>
              <c:f>OTP_conf_summary!$M$21</c:f>
              <c:strCache>
                <c:ptCount val="1"/>
                <c:pt idx="0">
                  <c:v>BUCK2</c:v>
                </c:pt>
              </c:strCache>
            </c:strRef>
          </c:tx>
          <c:spPr>
            <a:ln w="19050" cap="rnd">
              <a:solidFill>
                <a:schemeClr val="accent6">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OTP_conf_summary!$M$22:$M$371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numCache>
            </c:numRef>
          </c:yVal>
          <c:smooth val="0"/>
          <c:extLst>
            <c:ext xmlns:c16="http://schemas.microsoft.com/office/drawing/2014/chart" uri="{C3380CC4-5D6E-409C-BE32-E72D297353CC}">
              <c16:uniqueId val="{00000005-A204-4C92-A551-8BE89A17377A}"/>
            </c:ext>
          </c:extLst>
        </c:ser>
        <c:ser>
          <c:idx val="4"/>
          <c:order val="6"/>
          <c:tx>
            <c:strRef>
              <c:f>OTP_conf_summary!$N$21</c:f>
              <c:strCache>
                <c:ptCount val="1"/>
                <c:pt idx="0">
                  <c:v>BUCK3</c:v>
                </c:pt>
              </c:strCache>
            </c:strRef>
          </c:tx>
          <c:spPr>
            <a:ln w="19050" cap="rnd">
              <a:solidFill>
                <a:schemeClr val="accent5"/>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OTP_conf_summary!$N$22:$N$371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0.25384615384615383</c:v>
                </c:pt>
                <c:pt idx="134">
                  <c:v>0.50769230769230766</c:v>
                </c:pt>
                <c:pt idx="135">
                  <c:v>0.7615384615384615</c:v>
                </c:pt>
                <c:pt idx="136">
                  <c:v>1.0153846153846153</c:v>
                </c:pt>
                <c:pt idx="137">
                  <c:v>1.2692307692307692</c:v>
                </c:pt>
                <c:pt idx="138">
                  <c:v>1.523076923076923</c:v>
                </c:pt>
                <c:pt idx="139">
                  <c:v>1.7769230769230768</c:v>
                </c:pt>
                <c:pt idx="140">
                  <c:v>2.0307692307692307</c:v>
                </c:pt>
                <c:pt idx="141">
                  <c:v>2.2846153846153845</c:v>
                </c:pt>
                <c:pt idx="142">
                  <c:v>2.5384615384615383</c:v>
                </c:pt>
                <c:pt idx="143">
                  <c:v>2.7923076923076922</c:v>
                </c:pt>
                <c:pt idx="144">
                  <c:v>3.046153846153846</c:v>
                </c:pt>
                <c:pt idx="145">
                  <c:v>3.3</c:v>
                </c:pt>
                <c:pt idx="146">
                  <c:v>3.3</c:v>
                </c:pt>
                <c:pt idx="147">
                  <c:v>3.3</c:v>
                </c:pt>
                <c:pt idx="148">
                  <c:v>3.3</c:v>
                </c:pt>
                <c:pt idx="149">
                  <c:v>3.3</c:v>
                </c:pt>
                <c:pt idx="150">
                  <c:v>3.3</c:v>
                </c:pt>
                <c:pt idx="151">
                  <c:v>3.3</c:v>
                </c:pt>
                <c:pt idx="152">
                  <c:v>3.3</c:v>
                </c:pt>
                <c:pt idx="153">
                  <c:v>3.3</c:v>
                </c:pt>
                <c:pt idx="154">
                  <c:v>3.3</c:v>
                </c:pt>
                <c:pt idx="155">
                  <c:v>3.3</c:v>
                </c:pt>
                <c:pt idx="156">
                  <c:v>3.3</c:v>
                </c:pt>
                <c:pt idx="157">
                  <c:v>3.3</c:v>
                </c:pt>
                <c:pt idx="158">
                  <c:v>3.3</c:v>
                </c:pt>
                <c:pt idx="159">
                  <c:v>3.3</c:v>
                </c:pt>
                <c:pt idx="160">
                  <c:v>3.3</c:v>
                </c:pt>
                <c:pt idx="161">
                  <c:v>3.3</c:v>
                </c:pt>
                <c:pt idx="162">
                  <c:v>3.3</c:v>
                </c:pt>
                <c:pt idx="163">
                  <c:v>3.3</c:v>
                </c:pt>
                <c:pt idx="164">
                  <c:v>3.3</c:v>
                </c:pt>
                <c:pt idx="165">
                  <c:v>3.3</c:v>
                </c:pt>
                <c:pt idx="166">
                  <c:v>3.3</c:v>
                </c:pt>
                <c:pt idx="167">
                  <c:v>3.3</c:v>
                </c:pt>
                <c:pt idx="168">
                  <c:v>3.3</c:v>
                </c:pt>
                <c:pt idx="169">
                  <c:v>3.3</c:v>
                </c:pt>
                <c:pt idx="170">
                  <c:v>3.3</c:v>
                </c:pt>
                <c:pt idx="171">
                  <c:v>3.3</c:v>
                </c:pt>
                <c:pt idx="172">
                  <c:v>3.3</c:v>
                </c:pt>
                <c:pt idx="173">
                  <c:v>3.3</c:v>
                </c:pt>
                <c:pt idx="174">
                  <c:v>3.3</c:v>
                </c:pt>
                <c:pt idx="175">
                  <c:v>3.3</c:v>
                </c:pt>
                <c:pt idx="176">
                  <c:v>3.3</c:v>
                </c:pt>
                <c:pt idx="177">
                  <c:v>3.3</c:v>
                </c:pt>
                <c:pt idx="178">
                  <c:v>3.3</c:v>
                </c:pt>
                <c:pt idx="179">
                  <c:v>3.3</c:v>
                </c:pt>
                <c:pt idx="180">
                  <c:v>3.3</c:v>
                </c:pt>
                <c:pt idx="181">
                  <c:v>3.3</c:v>
                </c:pt>
                <c:pt idx="182">
                  <c:v>3.3</c:v>
                </c:pt>
                <c:pt idx="183">
                  <c:v>3.3</c:v>
                </c:pt>
                <c:pt idx="184">
                  <c:v>3.3</c:v>
                </c:pt>
                <c:pt idx="185">
                  <c:v>3.3</c:v>
                </c:pt>
                <c:pt idx="186">
                  <c:v>3.3</c:v>
                </c:pt>
                <c:pt idx="187">
                  <c:v>3.3</c:v>
                </c:pt>
                <c:pt idx="188">
                  <c:v>3.3</c:v>
                </c:pt>
                <c:pt idx="189">
                  <c:v>3.3</c:v>
                </c:pt>
                <c:pt idx="190">
                  <c:v>3.3</c:v>
                </c:pt>
                <c:pt idx="191">
                  <c:v>3.3</c:v>
                </c:pt>
                <c:pt idx="192">
                  <c:v>3.3</c:v>
                </c:pt>
                <c:pt idx="193">
                  <c:v>3.3</c:v>
                </c:pt>
                <c:pt idx="194">
                  <c:v>3.3</c:v>
                </c:pt>
                <c:pt idx="195">
                  <c:v>3.3</c:v>
                </c:pt>
                <c:pt idx="196">
                  <c:v>3.3</c:v>
                </c:pt>
                <c:pt idx="197">
                  <c:v>3.3</c:v>
                </c:pt>
                <c:pt idx="198">
                  <c:v>3.3</c:v>
                </c:pt>
                <c:pt idx="199">
                  <c:v>3.3</c:v>
                </c:pt>
                <c:pt idx="200">
                  <c:v>3.3</c:v>
                </c:pt>
                <c:pt idx="201">
                  <c:v>3.3</c:v>
                </c:pt>
                <c:pt idx="202">
                  <c:v>3.3</c:v>
                </c:pt>
                <c:pt idx="203">
                  <c:v>3.3</c:v>
                </c:pt>
                <c:pt idx="204">
                  <c:v>3.3</c:v>
                </c:pt>
                <c:pt idx="205">
                  <c:v>3.3</c:v>
                </c:pt>
                <c:pt idx="206">
                  <c:v>3.3</c:v>
                </c:pt>
                <c:pt idx="207">
                  <c:v>3.3</c:v>
                </c:pt>
                <c:pt idx="208">
                  <c:v>3.3</c:v>
                </c:pt>
                <c:pt idx="209">
                  <c:v>3.3</c:v>
                </c:pt>
                <c:pt idx="210">
                  <c:v>3.3</c:v>
                </c:pt>
                <c:pt idx="211">
                  <c:v>3.3</c:v>
                </c:pt>
                <c:pt idx="212">
                  <c:v>3.3</c:v>
                </c:pt>
                <c:pt idx="213">
                  <c:v>3.3</c:v>
                </c:pt>
                <c:pt idx="214">
                  <c:v>3.3</c:v>
                </c:pt>
                <c:pt idx="215">
                  <c:v>3.3</c:v>
                </c:pt>
                <c:pt idx="216">
                  <c:v>3.3</c:v>
                </c:pt>
                <c:pt idx="217">
                  <c:v>3.3</c:v>
                </c:pt>
                <c:pt idx="218">
                  <c:v>3.3</c:v>
                </c:pt>
                <c:pt idx="219">
                  <c:v>3.3</c:v>
                </c:pt>
                <c:pt idx="220">
                  <c:v>3.3</c:v>
                </c:pt>
                <c:pt idx="221">
                  <c:v>3.3</c:v>
                </c:pt>
                <c:pt idx="222">
                  <c:v>3.3</c:v>
                </c:pt>
                <c:pt idx="223">
                  <c:v>3.3</c:v>
                </c:pt>
                <c:pt idx="224">
                  <c:v>3.3</c:v>
                </c:pt>
                <c:pt idx="225">
                  <c:v>3.3</c:v>
                </c:pt>
                <c:pt idx="226">
                  <c:v>3.3</c:v>
                </c:pt>
                <c:pt idx="227">
                  <c:v>3.3</c:v>
                </c:pt>
                <c:pt idx="228">
                  <c:v>3.3</c:v>
                </c:pt>
                <c:pt idx="229">
                  <c:v>3.3</c:v>
                </c:pt>
                <c:pt idx="230">
                  <c:v>3.3</c:v>
                </c:pt>
                <c:pt idx="231">
                  <c:v>3.3</c:v>
                </c:pt>
                <c:pt idx="232">
                  <c:v>3.3</c:v>
                </c:pt>
                <c:pt idx="233">
                  <c:v>3.3</c:v>
                </c:pt>
                <c:pt idx="234">
                  <c:v>3.3</c:v>
                </c:pt>
                <c:pt idx="235">
                  <c:v>3.3</c:v>
                </c:pt>
                <c:pt idx="236">
                  <c:v>3.3</c:v>
                </c:pt>
                <c:pt idx="237">
                  <c:v>3.3</c:v>
                </c:pt>
                <c:pt idx="238">
                  <c:v>3.3</c:v>
                </c:pt>
                <c:pt idx="239">
                  <c:v>3.3</c:v>
                </c:pt>
                <c:pt idx="240">
                  <c:v>3.3</c:v>
                </c:pt>
                <c:pt idx="241">
                  <c:v>3.3</c:v>
                </c:pt>
                <c:pt idx="242">
                  <c:v>3.3</c:v>
                </c:pt>
                <c:pt idx="243">
                  <c:v>3.3</c:v>
                </c:pt>
                <c:pt idx="244">
                  <c:v>3.3</c:v>
                </c:pt>
                <c:pt idx="245">
                  <c:v>3.3</c:v>
                </c:pt>
                <c:pt idx="246">
                  <c:v>3.3</c:v>
                </c:pt>
                <c:pt idx="247">
                  <c:v>3.3</c:v>
                </c:pt>
                <c:pt idx="248">
                  <c:v>3.3</c:v>
                </c:pt>
                <c:pt idx="249">
                  <c:v>3.3</c:v>
                </c:pt>
                <c:pt idx="250">
                  <c:v>3.3</c:v>
                </c:pt>
                <c:pt idx="251">
                  <c:v>3.3</c:v>
                </c:pt>
                <c:pt idx="252">
                  <c:v>3.3</c:v>
                </c:pt>
                <c:pt idx="253">
                  <c:v>3.3</c:v>
                </c:pt>
                <c:pt idx="254">
                  <c:v>3.3</c:v>
                </c:pt>
                <c:pt idx="255">
                  <c:v>3.3</c:v>
                </c:pt>
                <c:pt idx="256">
                  <c:v>3.3</c:v>
                </c:pt>
                <c:pt idx="257">
                  <c:v>3.3</c:v>
                </c:pt>
                <c:pt idx="258">
                  <c:v>3.3</c:v>
                </c:pt>
                <c:pt idx="259">
                  <c:v>3.3</c:v>
                </c:pt>
                <c:pt idx="260">
                  <c:v>3.3</c:v>
                </c:pt>
                <c:pt idx="261">
                  <c:v>3.3</c:v>
                </c:pt>
                <c:pt idx="262">
                  <c:v>3.3</c:v>
                </c:pt>
                <c:pt idx="263">
                  <c:v>3.3</c:v>
                </c:pt>
                <c:pt idx="264">
                  <c:v>3.3</c:v>
                </c:pt>
                <c:pt idx="265">
                  <c:v>3.3</c:v>
                </c:pt>
                <c:pt idx="266">
                  <c:v>3.3</c:v>
                </c:pt>
                <c:pt idx="267">
                  <c:v>3.3</c:v>
                </c:pt>
                <c:pt idx="268">
                  <c:v>3.3</c:v>
                </c:pt>
                <c:pt idx="269">
                  <c:v>3.3</c:v>
                </c:pt>
                <c:pt idx="270">
                  <c:v>3.3</c:v>
                </c:pt>
                <c:pt idx="271">
                  <c:v>3.3</c:v>
                </c:pt>
                <c:pt idx="272">
                  <c:v>3.3</c:v>
                </c:pt>
                <c:pt idx="273">
                  <c:v>3.3</c:v>
                </c:pt>
                <c:pt idx="274">
                  <c:v>3.3</c:v>
                </c:pt>
                <c:pt idx="275">
                  <c:v>3.3</c:v>
                </c:pt>
                <c:pt idx="276">
                  <c:v>3.3</c:v>
                </c:pt>
                <c:pt idx="277">
                  <c:v>3.3</c:v>
                </c:pt>
                <c:pt idx="278">
                  <c:v>3.3</c:v>
                </c:pt>
                <c:pt idx="279">
                  <c:v>3.3</c:v>
                </c:pt>
                <c:pt idx="280">
                  <c:v>3.3</c:v>
                </c:pt>
                <c:pt idx="281">
                  <c:v>3.3</c:v>
                </c:pt>
                <c:pt idx="282">
                  <c:v>3.3</c:v>
                </c:pt>
                <c:pt idx="283">
                  <c:v>3.3</c:v>
                </c:pt>
                <c:pt idx="284">
                  <c:v>3.3</c:v>
                </c:pt>
                <c:pt idx="285">
                  <c:v>3.3</c:v>
                </c:pt>
                <c:pt idx="286">
                  <c:v>3.3</c:v>
                </c:pt>
                <c:pt idx="287">
                  <c:v>3.3</c:v>
                </c:pt>
                <c:pt idx="288">
                  <c:v>3.3</c:v>
                </c:pt>
                <c:pt idx="289">
                  <c:v>3.3</c:v>
                </c:pt>
                <c:pt idx="290">
                  <c:v>3.3</c:v>
                </c:pt>
                <c:pt idx="291">
                  <c:v>3.3</c:v>
                </c:pt>
                <c:pt idx="292">
                  <c:v>3.3</c:v>
                </c:pt>
                <c:pt idx="293">
                  <c:v>3.3</c:v>
                </c:pt>
                <c:pt idx="294">
                  <c:v>3.3</c:v>
                </c:pt>
                <c:pt idx="295">
                  <c:v>3.3</c:v>
                </c:pt>
                <c:pt idx="296">
                  <c:v>3.3</c:v>
                </c:pt>
                <c:pt idx="297">
                  <c:v>3.3</c:v>
                </c:pt>
                <c:pt idx="298">
                  <c:v>3.3</c:v>
                </c:pt>
                <c:pt idx="299">
                  <c:v>3.3</c:v>
                </c:pt>
                <c:pt idx="300">
                  <c:v>3.3</c:v>
                </c:pt>
                <c:pt idx="301">
                  <c:v>3.3</c:v>
                </c:pt>
                <c:pt idx="302">
                  <c:v>3.3</c:v>
                </c:pt>
                <c:pt idx="303">
                  <c:v>3.3</c:v>
                </c:pt>
                <c:pt idx="304">
                  <c:v>3.3</c:v>
                </c:pt>
                <c:pt idx="305">
                  <c:v>3.3</c:v>
                </c:pt>
                <c:pt idx="306">
                  <c:v>3.3</c:v>
                </c:pt>
                <c:pt idx="307">
                  <c:v>3.3</c:v>
                </c:pt>
                <c:pt idx="308">
                  <c:v>3.3</c:v>
                </c:pt>
                <c:pt idx="309">
                  <c:v>3.3</c:v>
                </c:pt>
                <c:pt idx="310">
                  <c:v>3.3</c:v>
                </c:pt>
                <c:pt idx="311">
                  <c:v>3.3</c:v>
                </c:pt>
                <c:pt idx="312">
                  <c:v>3.3</c:v>
                </c:pt>
                <c:pt idx="313">
                  <c:v>3.3</c:v>
                </c:pt>
                <c:pt idx="314">
                  <c:v>3.3</c:v>
                </c:pt>
                <c:pt idx="315">
                  <c:v>3.3</c:v>
                </c:pt>
                <c:pt idx="316">
                  <c:v>3.3</c:v>
                </c:pt>
                <c:pt idx="317">
                  <c:v>3.3</c:v>
                </c:pt>
                <c:pt idx="318">
                  <c:v>3.3</c:v>
                </c:pt>
                <c:pt idx="319">
                  <c:v>3.3</c:v>
                </c:pt>
                <c:pt idx="320">
                  <c:v>3.3</c:v>
                </c:pt>
                <c:pt idx="321">
                  <c:v>3.3</c:v>
                </c:pt>
                <c:pt idx="322">
                  <c:v>3.3</c:v>
                </c:pt>
                <c:pt idx="323">
                  <c:v>3.3</c:v>
                </c:pt>
                <c:pt idx="324">
                  <c:v>3.3</c:v>
                </c:pt>
                <c:pt idx="325">
                  <c:v>3.3</c:v>
                </c:pt>
                <c:pt idx="326">
                  <c:v>3.3</c:v>
                </c:pt>
                <c:pt idx="327">
                  <c:v>3.3</c:v>
                </c:pt>
                <c:pt idx="328">
                  <c:v>3.3</c:v>
                </c:pt>
                <c:pt idx="329">
                  <c:v>3.3</c:v>
                </c:pt>
                <c:pt idx="330">
                  <c:v>3.3</c:v>
                </c:pt>
                <c:pt idx="331">
                  <c:v>3.3</c:v>
                </c:pt>
                <c:pt idx="332">
                  <c:v>3.3</c:v>
                </c:pt>
                <c:pt idx="333">
                  <c:v>3.3</c:v>
                </c:pt>
                <c:pt idx="334">
                  <c:v>3.3</c:v>
                </c:pt>
                <c:pt idx="335">
                  <c:v>3.3</c:v>
                </c:pt>
                <c:pt idx="336">
                  <c:v>3.3</c:v>
                </c:pt>
                <c:pt idx="337">
                  <c:v>3.3</c:v>
                </c:pt>
                <c:pt idx="338">
                  <c:v>3.3</c:v>
                </c:pt>
                <c:pt idx="339">
                  <c:v>3.3</c:v>
                </c:pt>
                <c:pt idx="340">
                  <c:v>3.3</c:v>
                </c:pt>
                <c:pt idx="341">
                  <c:v>3.3</c:v>
                </c:pt>
                <c:pt idx="342">
                  <c:v>3.3</c:v>
                </c:pt>
                <c:pt idx="343">
                  <c:v>3.3</c:v>
                </c:pt>
                <c:pt idx="344">
                  <c:v>3.3</c:v>
                </c:pt>
                <c:pt idx="345">
                  <c:v>3.3</c:v>
                </c:pt>
                <c:pt idx="346">
                  <c:v>3.3</c:v>
                </c:pt>
                <c:pt idx="347">
                  <c:v>3.3</c:v>
                </c:pt>
                <c:pt idx="348">
                  <c:v>3.3</c:v>
                </c:pt>
                <c:pt idx="349">
                  <c:v>3.3</c:v>
                </c:pt>
              </c:numCache>
            </c:numRef>
          </c:yVal>
          <c:smooth val="0"/>
          <c:extLst>
            <c:ext xmlns:c16="http://schemas.microsoft.com/office/drawing/2014/chart" uri="{C3380CC4-5D6E-409C-BE32-E72D297353CC}">
              <c16:uniqueId val="{00000006-A204-4C92-A551-8BE89A17377A}"/>
            </c:ext>
          </c:extLst>
        </c:ser>
        <c:ser>
          <c:idx val="5"/>
          <c:order val="7"/>
          <c:tx>
            <c:strRef>
              <c:f>OTP_conf_summary!$O$21</c:f>
              <c:strCache>
                <c:ptCount val="1"/>
                <c:pt idx="0">
                  <c:v>LDO1</c:v>
                </c:pt>
              </c:strCache>
            </c:strRef>
          </c:tx>
          <c:spPr>
            <a:ln w="19050" cap="rnd">
              <a:solidFill>
                <a:schemeClr val="accent6"/>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OTP_conf_summary!$O$22:$O$371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numCache>
            </c:numRef>
          </c:yVal>
          <c:smooth val="0"/>
          <c:extLst>
            <c:ext xmlns:c16="http://schemas.microsoft.com/office/drawing/2014/chart" uri="{C3380CC4-5D6E-409C-BE32-E72D297353CC}">
              <c16:uniqueId val="{00000007-A204-4C92-A551-8BE89A17377A}"/>
            </c:ext>
          </c:extLst>
        </c:ser>
        <c:ser>
          <c:idx val="6"/>
          <c:order val="8"/>
          <c:tx>
            <c:strRef>
              <c:f>OTP_conf_summary!$P$21</c:f>
              <c:strCache>
                <c:ptCount val="1"/>
                <c:pt idx="0">
                  <c:v>LDO2</c:v>
                </c:pt>
              </c:strCache>
            </c:strRef>
          </c:tx>
          <c:spPr>
            <a:ln w="19050" cap="rnd">
              <a:solidFill>
                <a:schemeClr val="accent1">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OTP_conf_summary!$P$22:$P$371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numCache>
            </c:numRef>
          </c:yVal>
          <c:smooth val="0"/>
          <c:extLst>
            <c:ext xmlns:c16="http://schemas.microsoft.com/office/drawing/2014/chart" uri="{C3380CC4-5D6E-409C-BE32-E72D297353CC}">
              <c16:uniqueId val="{00000008-A204-4C92-A551-8BE89A17377A}"/>
            </c:ext>
          </c:extLst>
        </c:ser>
        <c:ser>
          <c:idx val="9"/>
          <c:order val="9"/>
          <c:tx>
            <c:strRef>
              <c:f>OTP_conf_summary!$Q$21</c:f>
              <c:strCache>
                <c:ptCount val="1"/>
                <c:pt idx="0">
                  <c:v>LBIST</c:v>
                </c:pt>
              </c:strCache>
            </c:strRef>
          </c:tx>
          <c:spPr>
            <a:ln w="19050" cap="rnd">
              <a:solidFill>
                <a:schemeClr val="accent4">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OTP_conf_summary!$Q$22:$Q$371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numCache>
            </c:numRef>
          </c:yVal>
          <c:smooth val="0"/>
          <c:extLst>
            <c:ext xmlns:c16="http://schemas.microsoft.com/office/drawing/2014/chart" uri="{C3380CC4-5D6E-409C-BE32-E72D297353CC}">
              <c16:uniqueId val="{00000009-A204-4C92-A551-8BE89A17377A}"/>
            </c:ext>
          </c:extLst>
        </c:ser>
        <c:ser>
          <c:idx val="10"/>
          <c:order val="10"/>
          <c:tx>
            <c:strRef>
              <c:f>OTP_conf_summary!$S$21</c:f>
              <c:strCache>
                <c:ptCount val="1"/>
                <c:pt idx="0">
                  <c:v>ABIST</c:v>
                </c:pt>
              </c:strCache>
            </c:strRef>
          </c:tx>
          <c:spPr>
            <a:ln w="19050" cap="rnd">
              <a:solidFill>
                <a:schemeClr val="accent5">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OTP_conf_summary!$S$22:$S$371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1.6</c:v>
                </c:pt>
                <c:pt idx="94">
                  <c:v>1.6</c:v>
                </c:pt>
                <c:pt idx="95">
                  <c:v>1.6</c:v>
                </c:pt>
                <c:pt idx="96">
                  <c:v>1.6</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numCache>
            </c:numRef>
          </c:yVal>
          <c:smooth val="0"/>
          <c:extLst>
            <c:ext xmlns:c16="http://schemas.microsoft.com/office/drawing/2014/chart" uri="{C3380CC4-5D6E-409C-BE32-E72D297353CC}">
              <c16:uniqueId val="{0000000A-A204-4C92-A551-8BE89A17377A}"/>
            </c:ext>
          </c:extLst>
        </c:ser>
        <c:ser>
          <c:idx val="7"/>
          <c:order val="11"/>
          <c:tx>
            <c:strRef>
              <c:f>OTP_conf_summary!$R$21</c:f>
              <c:strCache>
                <c:ptCount val="1"/>
                <c:pt idx="0">
                  <c:v>RSTB</c:v>
                </c:pt>
              </c:strCache>
            </c:strRef>
          </c:tx>
          <c:spPr>
            <a:ln w="19050" cap="rnd">
              <a:solidFill>
                <a:schemeClr val="accent2">
                  <a:lumMod val="60000"/>
                </a:schemeClr>
              </a:solidFill>
              <a:round/>
            </a:ln>
            <a:effectLst/>
          </c:spPr>
          <c:marker>
            <c:symbol val="none"/>
          </c:marker>
          <c:xVal>
            <c:numRef>
              <c:f>OTP_conf_summary!$G$22:$G$371</c:f>
              <c:numCache>
                <c:formatCode>0.00</c:formatCode>
                <c:ptCount val="350"/>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2.9999999999999973</c:v>
                </c:pt>
                <c:pt idx="61">
                  <c:v>3.0499999999999972</c:v>
                </c:pt>
                <c:pt idx="62">
                  <c:v>3.099999999999997</c:v>
                </c:pt>
                <c:pt idx="63">
                  <c:v>3.1499999999999968</c:v>
                </c:pt>
                <c:pt idx="64">
                  <c:v>3.1999999999999966</c:v>
                </c:pt>
                <c:pt idx="65">
                  <c:v>3.2499999999999964</c:v>
                </c:pt>
                <c:pt idx="66">
                  <c:v>3.2999999999999963</c:v>
                </c:pt>
                <c:pt idx="67">
                  <c:v>3.3499999999999961</c:v>
                </c:pt>
                <c:pt idx="68">
                  <c:v>3.3999999999999959</c:v>
                </c:pt>
                <c:pt idx="69">
                  <c:v>3.4499999999999957</c:v>
                </c:pt>
                <c:pt idx="70">
                  <c:v>3.4999999999999956</c:v>
                </c:pt>
                <c:pt idx="71">
                  <c:v>3.5499999999999954</c:v>
                </c:pt>
                <c:pt idx="72">
                  <c:v>3.5999999999999952</c:v>
                </c:pt>
                <c:pt idx="73">
                  <c:v>3.649999999999995</c:v>
                </c:pt>
                <c:pt idx="74">
                  <c:v>3.6999999999999948</c:v>
                </c:pt>
                <c:pt idx="75">
                  <c:v>3.7499999999999947</c:v>
                </c:pt>
                <c:pt idx="76">
                  <c:v>3.7999999999999945</c:v>
                </c:pt>
                <c:pt idx="77">
                  <c:v>3.8499999999999943</c:v>
                </c:pt>
                <c:pt idx="78">
                  <c:v>3.8999999999999941</c:v>
                </c:pt>
                <c:pt idx="79">
                  <c:v>3.949999999999994</c:v>
                </c:pt>
                <c:pt idx="80">
                  <c:v>3.9999999999999938</c:v>
                </c:pt>
                <c:pt idx="81">
                  <c:v>4.0499999999999936</c:v>
                </c:pt>
                <c:pt idx="82">
                  <c:v>4.0999999999999934</c:v>
                </c:pt>
                <c:pt idx="83">
                  <c:v>4.1499999999999932</c:v>
                </c:pt>
                <c:pt idx="84">
                  <c:v>4.1999999999999931</c:v>
                </c:pt>
                <c:pt idx="85">
                  <c:v>4.2499999999999929</c:v>
                </c:pt>
                <c:pt idx="86">
                  <c:v>4.2999999999999927</c:v>
                </c:pt>
                <c:pt idx="87">
                  <c:v>4.3499999999999925</c:v>
                </c:pt>
                <c:pt idx="88">
                  <c:v>4.3999999999999924</c:v>
                </c:pt>
                <c:pt idx="89">
                  <c:v>4.4499999999999922</c:v>
                </c:pt>
                <c:pt idx="90">
                  <c:v>4.499999999999992</c:v>
                </c:pt>
                <c:pt idx="91">
                  <c:v>4.5499999999999918</c:v>
                </c:pt>
                <c:pt idx="92">
                  <c:v>4.5999999999999917</c:v>
                </c:pt>
                <c:pt idx="93">
                  <c:v>4.6499999999999915</c:v>
                </c:pt>
                <c:pt idx="94">
                  <c:v>4.6999999999999913</c:v>
                </c:pt>
                <c:pt idx="95">
                  <c:v>4.7499999999999911</c:v>
                </c:pt>
                <c:pt idx="96">
                  <c:v>4.7999999999999909</c:v>
                </c:pt>
                <c:pt idx="97">
                  <c:v>4.8499999999999908</c:v>
                </c:pt>
                <c:pt idx="98">
                  <c:v>4.8999999999999906</c:v>
                </c:pt>
                <c:pt idx="99">
                  <c:v>4.9499999999999904</c:v>
                </c:pt>
                <c:pt idx="100">
                  <c:v>4.9999999999999902</c:v>
                </c:pt>
                <c:pt idx="101">
                  <c:v>5.0499999999999901</c:v>
                </c:pt>
                <c:pt idx="102">
                  <c:v>5.0999999999999899</c:v>
                </c:pt>
                <c:pt idx="103">
                  <c:v>5.1499999999999897</c:v>
                </c:pt>
                <c:pt idx="104">
                  <c:v>5.1999999999999895</c:v>
                </c:pt>
                <c:pt idx="105">
                  <c:v>5.2499999999999893</c:v>
                </c:pt>
                <c:pt idx="106">
                  <c:v>5.2999999999999892</c:v>
                </c:pt>
                <c:pt idx="107">
                  <c:v>5.349999999999989</c:v>
                </c:pt>
                <c:pt idx="108">
                  <c:v>5.3999999999999888</c:v>
                </c:pt>
                <c:pt idx="109">
                  <c:v>5.4499999999999886</c:v>
                </c:pt>
                <c:pt idx="110">
                  <c:v>5.4999999999999885</c:v>
                </c:pt>
                <c:pt idx="111">
                  <c:v>5.5499999999999883</c:v>
                </c:pt>
                <c:pt idx="112">
                  <c:v>5.5999999999999881</c:v>
                </c:pt>
                <c:pt idx="113">
                  <c:v>5.6249999999999885</c:v>
                </c:pt>
                <c:pt idx="114">
                  <c:v>5.6499999999999888</c:v>
                </c:pt>
                <c:pt idx="115">
                  <c:v>5.6749999999999892</c:v>
                </c:pt>
                <c:pt idx="116">
                  <c:v>5.6999999999999895</c:v>
                </c:pt>
                <c:pt idx="117">
                  <c:v>5.7249999999999899</c:v>
                </c:pt>
                <c:pt idx="118">
                  <c:v>5.7499999999999902</c:v>
                </c:pt>
                <c:pt idx="119">
                  <c:v>5.7749999999999906</c:v>
                </c:pt>
                <c:pt idx="120">
                  <c:v>5.7999999999999909</c:v>
                </c:pt>
                <c:pt idx="121">
                  <c:v>5.8249999999999913</c:v>
                </c:pt>
                <c:pt idx="122">
                  <c:v>5.8499999999999917</c:v>
                </c:pt>
                <c:pt idx="123">
                  <c:v>5.874999999999992</c:v>
                </c:pt>
                <c:pt idx="124">
                  <c:v>5.8999999999999924</c:v>
                </c:pt>
                <c:pt idx="125">
                  <c:v>5.9249999999999927</c:v>
                </c:pt>
                <c:pt idx="126">
                  <c:v>5.9499999999999931</c:v>
                </c:pt>
                <c:pt idx="127">
                  <c:v>5.9749999999999934</c:v>
                </c:pt>
                <c:pt idx="128">
                  <c:v>5.9999999999999938</c:v>
                </c:pt>
                <c:pt idx="129">
                  <c:v>6.0249999999999941</c:v>
                </c:pt>
                <c:pt idx="130">
                  <c:v>6.0499999999999945</c:v>
                </c:pt>
                <c:pt idx="131">
                  <c:v>6.0749999999999948</c:v>
                </c:pt>
                <c:pt idx="132">
                  <c:v>6.0999999999999952</c:v>
                </c:pt>
                <c:pt idx="133">
                  <c:v>6.1249999999999956</c:v>
                </c:pt>
                <c:pt idx="134">
                  <c:v>6.1499999999999959</c:v>
                </c:pt>
                <c:pt idx="135">
                  <c:v>6.1749999999999963</c:v>
                </c:pt>
                <c:pt idx="136">
                  <c:v>6.1999999999999966</c:v>
                </c:pt>
                <c:pt idx="137">
                  <c:v>6.224999999999997</c:v>
                </c:pt>
                <c:pt idx="138">
                  <c:v>6.2499999999999973</c:v>
                </c:pt>
                <c:pt idx="139">
                  <c:v>6.2749999999999977</c:v>
                </c:pt>
                <c:pt idx="140">
                  <c:v>6.299999999999998</c:v>
                </c:pt>
                <c:pt idx="141">
                  <c:v>6.3249999999999984</c:v>
                </c:pt>
                <c:pt idx="142">
                  <c:v>6.3499999999999988</c:v>
                </c:pt>
                <c:pt idx="143">
                  <c:v>6.3749999999999991</c:v>
                </c:pt>
                <c:pt idx="144">
                  <c:v>6.3999999999999995</c:v>
                </c:pt>
                <c:pt idx="145">
                  <c:v>6.4249999999999998</c:v>
                </c:pt>
                <c:pt idx="146">
                  <c:v>6.45</c:v>
                </c:pt>
                <c:pt idx="147">
                  <c:v>6.4750000000000005</c:v>
                </c:pt>
                <c:pt idx="148">
                  <c:v>6.5000000000000009</c:v>
                </c:pt>
                <c:pt idx="149">
                  <c:v>6.5250000000000012</c:v>
                </c:pt>
                <c:pt idx="150">
                  <c:v>6.5500000000000016</c:v>
                </c:pt>
                <c:pt idx="151">
                  <c:v>6.575000000000002</c:v>
                </c:pt>
                <c:pt idx="152">
                  <c:v>6.6000000000000023</c:v>
                </c:pt>
                <c:pt idx="153">
                  <c:v>6.6250000000000027</c:v>
                </c:pt>
                <c:pt idx="154">
                  <c:v>6.650000000000003</c:v>
                </c:pt>
                <c:pt idx="155">
                  <c:v>6.6750000000000034</c:v>
                </c:pt>
                <c:pt idx="156">
                  <c:v>6.7000000000000037</c:v>
                </c:pt>
                <c:pt idx="157">
                  <c:v>6.7250000000000041</c:v>
                </c:pt>
                <c:pt idx="158">
                  <c:v>6.7500000000000044</c:v>
                </c:pt>
                <c:pt idx="159">
                  <c:v>6.7750000000000048</c:v>
                </c:pt>
                <c:pt idx="160">
                  <c:v>6.8000000000000052</c:v>
                </c:pt>
                <c:pt idx="161">
                  <c:v>6.8250000000000055</c:v>
                </c:pt>
                <c:pt idx="162">
                  <c:v>6.8500000000000059</c:v>
                </c:pt>
                <c:pt idx="163">
                  <c:v>6.8750000000000062</c:v>
                </c:pt>
                <c:pt idx="164">
                  <c:v>6.9000000000000066</c:v>
                </c:pt>
                <c:pt idx="165">
                  <c:v>6.9250000000000069</c:v>
                </c:pt>
                <c:pt idx="166">
                  <c:v>6.9500000000000073</c:v>
                </c:pt>
                <c:pt idx="167">
                  <c:v>6.9750000000000076</c:v>
                </c:pt>
                <c:pt idx="168">
                  <c:v>7.000000000000008</c:v>
                </c:pt>
                <c:pt idx="169">
                  <c:v>7.0250000000000083</c:v>
                </c:pt>
                <c:pt idx="170">
                  <c:v>7.0500000000000087</c:v>
                </c:pt>
                <c:pt idx="171">
                  <c:v>7.0750000000000091</c:v>
                </c:pt>
                <c:pt idx="172">
                  <c:v>7.1000000000000094</c:v>
                </c:pt>
                <c:pt idx="173">
                  <c:v>7.1250000000000098</c:v>
                </c:pt>
                <c:pt idx="174">
                  <c:v>7.1500000000000101</c:v>
                </c:pt>
                <c:pt idx="175">
                  <c:v>7.1750000000000105</c:v>
                </c:pt>
                <c:pt idx="176">
                  <c:v>7.2000000000000108</c:v>
                </c:pt>
                <c:pt idx="177">
                  <c:v>7.2250000000000112</c:v>
                </c:pt>
                <c:pt idx="178">
                  <c:v>7.2500000000000115</c:v>
                </c:pt>
                <c:pt idx="179">
                  <c:v>7.2750000000000119</c:v>
                </c:pt>
                <c:pt idx="180">
                  <c:v>7.3000000000000123</c:v>
                </c:pt>
                <c:pt idx="181">
                  <c:v>7.3250000000000126</c:v>
                </c:pt>
                <c:pt idx="182">
                  <c:v>7.350000000000013</c:v>
                </c:pt>
                <c:pt idx="183">
                  <c:v>7.3750000000000133</c:v>
                </c:pt>
                <c:pt idx="184">
                  <c:v>7.4000000000000137</c:v>
                </c:pt>
                <c:pt idx="185">
                  <c:v>7.425000000000014</c:v>
                </c:pt>
                <c:pt idx="186">
                  <c:v>7.4500000000000144</c:v>
                </c:pt>
                <c:pt idx="187">
                  <c:v>7.4750000000000147</c:v>
                </c:pt>
                <c:pt idx="188">
                  <c:v>7.5000000000000151</c:v>
                </c:pt>
                <c:pt idx="189">
                  <c:v>7.5250000000000155</c:v>
                </c:pt>
                <c:pt idx="190">
                  <c:v>7.5500000000000158</c:v>
                </c:pt>
                <c:pt idx="191">
                  <c:v>7.5750000000000162</c:v>
                </c:pt>
                <c:pt idx="192">
                  <c:v>7.6000000000000165</c:v>
                </c:pt>
                <c:pt idx="193">
                  <c:v>7.6250000000000169</c:v>
                </c:pt>
                <c:pt idx="194">
                  <c:v>7.6500000000000172</c:v>
                </c:pt>
                <c:pt idx="195">
                  <c:v>7.6750000000000176</c:v>
                </c:pt>
                <c:pt idx="196">
                  <c:v>7.7000000000000179</c:v>
                </c:pt>
                <c:pt idx="197">
                  <c:v>7.7250000000000183</c:v>
                </c:pt>
                <c:pt idx="198">
                  <c:v>7.7500000000000187</c:v>
                </c:pt>
                <c:pt idx="199">
                  <c:v>7.775000000000019</c:v>
                </c:pt>
                <c:pt idx="200">
                  <c:v>7.8000000000000194</c:v>
                </c:pt>
                <c:pt idx="201">
                  <c:v>7.8250000000000197</c:v>
                </c:pt>
                <c:pt idx="202">
                  <c:v>7.8500000000000201</c:v>
                </c:pt>
                <c:pt idx="203">
                  <c:v>7.8750000000000204</c:v>
                </c:pt>
                <c:pt idx="204">
                  <c:v>7.9000000000000208</c:v>
                </c:pt>
                <c:pt idx="205">
                  <c:v>7.9250000000000211</c:v>
                </c:pt>
                <c:pt idx="206">
                  <c:v>7.9500000000000215</c:v>
                </c:pt>
                <c:pt idx="207">
                  <c:v>7.9750000000000218</c:v>
                </c:pt>
                <c:pt idx="208">
                  <c:v>8.0000000000000213</c:v>
                </c:pt>
                <c:pt idx="209">
                  <c:v>8.0250000000000217</c:v>
                </c:pt>
                <c:pt idx="210">
                  <c:v>8.050000000000022</c:v>
                </c:pt>
                <c:pt idx="211">
                  <c:v>8.0750000000000224</c:v>
                </c:pt>
                <c:pt idx="212">
                  <c:v>8.1000000000000227</c:v>
                </c:pt>
                <c:pt idx="213">
                  <c:v>8.1250000000000231</c:v>
                </c:pt>
                <c:pt idx="214">
                  <c:v>8.1500000000000234</c:v>
                </c:pt>
                <c:pt idx="215">
                  <c:v>8.1750000000000238</c:v>
                </c:pt>
                <c:pt idx="216">
                  <c:v>8.2000000000000242</c:v>
                </c:pt>
                <c:pt idx="217">
                  <c:v>8.2250000000000245</c:v>
                </c:pt>
                <c:pt idx="218">
                  <c:v>8.2500000000000249</c:v>
                </c:pt>
                <c:pt idx="219">
                  <c:v>8.2750000000000252</c:v>
                </c:pt>
                <c:pt idx="220">
                  <c:v>8.3000000000000256</c:v>
                </c:pt>
                <c:pt idx="221">
                  <c:v>8.3250000000000259</c:v>
                </c:pt>
                <c:pt idx="222">
                  <c:v>8.3500000000000263</c:v>
                </c:pt>
                <c:pt idx="223">
                  <c:v>8.3750000000000266</c:v>
                </c:pt>
                <c:pt idx="224">
                  <c:v>8.400000000000027</c:v>
                </c:pt>
                <c:pt idx="225">
                  <c:v>8.4250000000000274</c:v>
                </c:pt>
                <c:pt idx="226">
                  <c:v>8.4500000000000277</c:v>
                </c:pt>
                <c:pt idx="227">
                  <c:v>8.4750000000000281</c:v>
                </c:pt>
                <c:pt idx="228">
                  <c:v>8.5000000000000284</c:v>
                </c:pt>
                <c:pt idx="229">
                  <c:v>8.5250000000000288</c:v>
                </c:pt>
                <c:pt idx="230">
                  <c:v>8.5500000000000291</c:v>
                </c:pt>
                <c:pt idx="231">
                  <c:v>8.5750000000000295</c:v>
                </c:pt>
                <c:pt idx="232">
                  <c:v>8.6000000000000298</c:v>
                </c:pt>
                <c:pt idx="233">
                  <c:v>8.6250000000000302</c:v>
                </c:pt>
                <c:pt idx="234">
                  <c:v>8.6500000000000306</c:v>
                </c:pt>
                <c:pt idx="235">
                  <c:v>8.6750000000000309</c:v>
                </c:pt>
                <c:pt idx="236">
                  <c:v>8.7000000000000313</c:v>
                </c:pt>
                <c:pt idx="237">
                  <c:v>8.7250000000000316</c:v>
                </c:pt>
                <c:pt idx="238">
                  <c:v>8.750000000000032</c:v>
                </c:pt>
                <c:pt idx="239">
                  <c:v>8.7750000000000323</c:v>
                </c:pt>
                <c:pt idx="240">
                  <c:v>8.8000000000000327</c:v>
                </c:pt>
                <c:pt idx="241">
                  <c:v>8.825000000000033</c:v>
                </c:pt>
                <c:pt idx="242">
                  <c:v>8.8500000000000334</c:v>
                </c:pt>
                <c:pt idx="243">
                  <c:v>8.8750000000000338</c:v>
                </c:pt>
                <c:pt idx="244">
                  <c:v>8.9000000000000341</c:v>
                </c:pt>
                <c:pt idx="245">
                  <c:v>8.9250000000000345</c:v>
                </c:pt>
                <c:pt idx="246">
                  <c:v>8.9500000000000348</c:v>
                </c:pt>
                <c:pt idx="247">
                  <c:v>8.9750000000000352</c:v>
                </c:pt>
                <c:pt idx="248">
                  <c:v>9.0000000000000355</c:v>
                </c:pt>
                <c:pt idx="249">
                  <c:v>9.0250000000000359</c:v>
                </c:pt>
                <c:pt idx="250">
                  <c:v>9.0500000000000362</c:v>
                </c:pt>
                <c:pt idx="251">
                  <c:v>9.0750000000000366</c:v>
                </c:pt>
                <c:pt idx="252">
                  <c:v>9.1000000000000369</c:v>
                </c:pt>
                <c:pt idx="253">
                  <c:v>9.1250000000000373</c:v>
                </c:pt>
                <c:pt idx="254">
                  <c:v>9.1500000000000377</c:v>
                </c:pt>
                <c:pt idx="255">
                  <c:v>9.175000000000038</c:v>
                </c:pt>
                <c:pt idx="256">
                  <c:v>9.2000000000000384</c:v>
                </c:pt>
                <c:pt idx="257">
                  <c:v>9.2250000000000387</c:v>
                </c:pt>
                <c:pt idx="258">
                  <c:v>9.2500000000000391</c:v>
                </c:pt>
                <c:pt idx="259">
                  <c:v>9.2750000000000394</c:v>
                </c:pt>
                <c:pt idx="260">
                  <c:v>9.3000000000000398</c:v>
                </c:pt>
                <c:pt idx="261">
                  <c:v>9.3250000000000401</c:v>
                </c:pt>
                <c:pt idx="262">
                  <c:v>9.3500000000000405</c:v>
                </c:pt>
                <c:pt idx="263">
                  <c:v>9.3750000000000409</c:v>
                </c:pt>
                <c:pt idx="264">
                  <c:v>9.4000000000000412</c:v>
                </c:pt>
                <c:pt idx="265">
                  <c:v>9.4250000000000416</c:v>
                </c:pt>
                <c:pt idx="266">
                  <c:v>9.4500000000000419</c:v>
                </c:pt>
                <c:pt idx="267">
                  <c:v>9.4750000000000423</c:v>
                </c:pt>
                <c:pt idx="268">
                  <c:v>9.5000000000000426</c:v>
                </c:pt>
                <c:pt idx="269">
                  <c:v>9.525000000000043</c:v>
                </c:pt>
                <c:pt idx="270">
                  <c:v>9.5500000000000433</c:v>
                </c:pt>
                <c:pt idx="271">
                  <c:v>9.5750000000000437</c:v>
                </c:pt>
                <c:pt idx="272">
                  <c:v>9.6000000000000441</c:v>
                </c:pt>
                <c:pt idx="273">
                  <c:v>9.6250000000000444</c:v>
                </c:pt>
                <c:pt idx="274">
                  <c:v>9.6500000000000448</c:v>
                </c:pt>
                <c:pt idx="275">
                  <c:v>9.6750000000000451</c:v>
                </c:pt>
                <c:pt idx="276">
                  <c:v>9.7000000000000455</c:v>
                </c:pt>
                <c:pt idx="277">
                  <c:v>9.7250000000000458</c:v>
                </c:pt>
                <c:pt idx="278">
                  <c:v>9.7500000000000462</c:v>
                </c:pt>
                <c:pt idx="279">
                  <c:v>9.7750000000000465</c:v>
                </c:pt>
                <c:pt idx="280">
                  <c:v>9.8000000000000469</c:v>
                </c:pt>
                <c:pt idx="281">
                  <c:v>9.8250000000000473</c:v>
                </c:pt>
                <c:pt idx="282">
                  <c:v>9.8500000000000476</c:v>
                </c:pt>
                <c:pt idx="283">
                  <c:v>9.875000000000048</c:v>
                </c:pt>
                <c:pt idx="284">
                  <c:v>9.9000000000000483</c:v>
                </c:pt>
                <c:pt idx="285">
                  <c:v>9.9250000000000487</c:v>
                </c:pt>
                <c:pt idx="286">
                  <c:v>9.950000000000049</c:v>
                </c:pt>
                <c:pt idx="287">
                  <c:v>9.9750000000000494</c:v>
                </c:pt>
                <c:pt idx="288">
                  <c:v>10.00000000000005</c:v>
                </c:pt>
                <c:pt idx="289">
                  <c:v>10.100000000000049</c:v>
                </c:pt>
                <c:pt idx="290">
                  <c:v>10.200000000000049</c:v>
                </c:pt>
                <c:pt idx="291">
                  <c:v>10.300000000000049</c:v>
                </c:pt>
                <c:pt idx="292">
                  <c:v>10.400000000000048</c:v>
                </c:pt>
                <c:pt idx="293">
                  <c:v>10.500000000000048</c:v>
                </c:pt>
                <c:pt idx="294">
                  <c:v>10.600000000000048</c:v>
                </c:pt>
                <c:pt idx="295">
                  <c:v>10.700000000000047</c:v>
                </c:pt>
                <c:pt idx="296">
                  <c:v>10.800000000000047</c:v>
                </c:pt>
                <c:pt idx="297">
                  <c:v>10.900000000000047</c:v>
                </c:pt>
                <c:pt idx="298">
                  <c:v>11.000000000000046</c:v>
                </c:pt>
                <c:pt idx="299">
                  <c:v>11.100000000000046</c:v>
                </c:pt>
                <c:pt idx="300">
                  <c:v>11.200000000000045</c:v>
                </c:pt>
                <c:pt idx="301">
                  <c:v>11.300000000000045</c:v>
                </c:pt>
                <c:pt idx="302">
                  <c:v>11.400000000000045</c:v>
                </c:pt>
                <c:pt idx="303">
                  <c:v>11.500000000000044</c:v>
                </c:pt>
                <c:pt idx="304">
                  <c:v>11.600000000000044</c:v>
                </c:pt>
                <c:pt idx="305">
                  <c:v>11.700000000000044</c:v>
                </c:pt>
                <c:pt idx="306">
                  <c:v>11.800000000000043</c:v>
                </c:pt>
                <c:pt idx="307">
                  <c:v>11.900000000000043</c:v>
                </c:pt>
                <c:pt idx="308">
                  <c:v>12.000000000000043</c:v>
                </c:pt>
                <c:pt idx="309">
                  <c:v>12.100000000000042</c:v>
                </c:pt>
                <c:pt idx="310">
                  <c:v>12.200000000000042</c:v>
                </c:pt>
                <c:pt idx="311">
                  <c:v>12.300000000000042</c:v>
                </c:pt>
                <c:pt idx="312">
                  <c:v>12.400000000000041</c:v>
                </c:pt>
                <c:pt idx="313">
                  <c:v>12.500000000000041</c:v>
                </c:pt>
                <c:pt idx="314">
                  <c:v>12.600000000000041</c:v>
                </c:pt>
                <c:pt idx="315">
                  <c:v>12.70000000000004</c:v>
                </c:pt>
                <c:pt idx="316">
                  <c:v>12.80000000000004</c:v>
                </c:pt>
                <c:pt idx="317">
                  <c:v>12.900000000000039</c:v>
                </c:pt>
                <c:pt idx="318">
                  <c:v>13.000000000000039</c:v>
                </c:pt>
                <c:pt idx="319">
                  <c:v>13.100000000000039</c:v>
                </c:pt>
                <c:pt idx="320">
                  <c:v>13.200000000000038</c:v>
                </c:pt>
                <c:pt idx="321">
                  <c:v>13.300000000000038</c:v>
                </c:pt>
                <c:pt idx="322">
                  <c:v>13.400000000000038</c:v>
                </c:pt>
                <c:pt idx="323">
                  <c:v>13.500000000000037</c:v>
                </c:pt>
                <c:pt idx="324">
                  <c:v>13.600000000000037</c:v>
                </c:pt>
                <c:pt idx="325">
                  <c:v>13.700000000000037</c:v>
                </c:pt>
                <c:pt idx="326">
                  <c:v>13.800000000000036</c:v>
                </c:pt>
                <c:pt idx="327">
                  <c:v>13.900000000000036</c:v>
                </c:pt>
                <c:pt idx="328">
                  <c:v>14.000000000000036</c:v>
                </c:pt>
                <c:pt idx="329">
                  <c:v>14.100000000000035</c:v>
                </c:pt>
                <c:pt idx="330">
                  <c:v>14.200000000000035</c:v>
                </c:pt>
                <c:pt idx="331">
                  <c:v>14.300000000000034</c:v>
                </c:pt>
                <c:pt idx="332">
                  <c:v>14.400000000000034</c:v>
                </c:pt>
                <c:pt idx="333">
                  <c:v>14.500000000000034</c:v>
                </c:pt>
                <c:pt idx="334">
                  <c:v>14.600000000000033</c:v>
                </c:pt>
                <c:pt idx="335">
                  <c:v>14.700000000000033</c:v>
                </c:pt>
                <c:pt idx="336">
                  <c:v>14.800000000000033</c:v>
                </c:pt>
                <c:pt idx="337">
                  <c:v>14.900000000000032</c:v>
                </c:pt>
                <c:pt idx="338">
                  <c:v>15.000000000000032</c:v>
                </c:pt>
                <c:pt idx="339">
                  <c:v>15.100000000000032</c:v>
                </c:pt>
                <c:pt idx="340">
                  <c:v>15.200000000000031</c:v>
                </c:pt>
                <c:pt idx="341">
                  <c:v>15.300000000000031</c:v>
                </c:pt>
                <c:pt idx="342">
                  <c:v>15.400000000000031</c:v>
                </c:pt>
                <c:pt idx="343">
                  <c:v>15.50000000000003</c:v>
                </c:pt>
                <c:pt idx="344">
                  <c:v>15.60000000000003</c:v>
                </c:pt>
                <c:pt idx="345">
                  <c:v>15.700000000000029</c:v>
                </c:pt>
                <c:pt idx="346">
                  <c:v>15.800000000000029</c:v>
                </c:pt>
                <c:pt idx="347">
                  <c:v>15.900000000000029</c:v>
                </c:pt>
                <c:pt idx="348">
                  <c:v>16.000000000000028</c:v>
                </c:pt>
                <c:pt idx="349">
                  <c:v>16.10000000000003</c:v>
                </c:pt>
              </c:numCache>
            </c:numRef>
          </c:xVal>
          <c:yVal>
            <c:numRef>
              <c:f>OTP_conf_summary!$R$22:$R$371</c:f>
              <c:numCache>
                <c:formatCode>0.00</c:formatCode>
                <c:ptCount val="3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4.8</c:v>
                </c:pt>
                <c:pt idx="98">
                  <c:v>4.8</c:v>
                </c:pt>
                <c:pt idx="99">
                  <c:v>4.8</c:v>
                </c:pt>
                <c:pt idx="100">
                  <c:v>4.8</c:v>
                </c:pt>
                <c:pt idx="101">
                  <c:v>4.8</c:v>
                </c:pt>
                <c:pt idx="102">
                  <c:v>4.8</c:v>
                </c:pt>
                <c:pt idx="103">
                  <c:v>4.8</c:v>
                </c:pt>
                <c:pt idx="104">
                  <c:v>4.8</c:v>
                </c:pt>
                <c:pt idx="105">
                  <c:v>4.8</c:v>
                </c:pt>
                <c:pt idx="106">
                  <c:v>4.8</c:v>
                </c:pt>
                <c:pt idx="107">
                  <c:v>4.8</c:v>
                </c:pt>
                <c:pt idx="108">
                  <c:v>4.8</c:v>
                </c:pt>
                <c:pt idx="109">
                  <c:v>4.8</c:v>
                </c:pt>
                <c:pt idx="110">
                  <c:v>4.8</c:v>
                </c:pt>
                <c:pt idx="111">
                  <c:v>4.8</c:v>
                </c:pt>
                <c:pt idx="112">
                  <c:v>4.8</c:v>
                </c:pt>
                <c:pt idx="113">
                  <c:v>4.8</c:v>
                </c:pt>
                <c:pt idx="114">
                  <c:v>4.8</c:v>
                </c:pt>
                <c:pt idx="115">
                  <c:v>4.8</c:v>
                </c:pt>
                <c:pt idx="116">
                  <c:v>4.8</c:v>
                </c:pt>
                <c:pt idx="117">
                  <c:v>4.8</c:v>
                </c:pt>
                <c:pt idx="118">
                  <c:v>4.8</c:v>
                </c:pt>
                <c:pt idx="119">
                  <c:v>4.8</c:v>
                </c:pt>
                <c:pt idx="120">
                  <c:v>4.8</c:v>
                </c:pt>
                <c:pt idx="121">
                  <c:v>4.8</c:v>
                </c:pt>
                <c:pt idx="122">
                  <c:v>4.8</c:v>
                </c:pt>
                <c:pt idx="123">
                  <c:v>4.8</c:v>
                </c:pt>
                <c:pt idx="124">
                  <c:v>4.8</c:v>
                </c:pt>
                <c:pt idx="125">
                  <c:v>4.8</c:v>
                </c:pt>
                <c:pt idx="126">
                  <c:v>4.8</c:v>
                </c:pt>
                <c:pt idx="127">
                  <c:v>4.8</c:v>
                </c:pt>
                <c:pt idx="128">
                  <c:v>4.8</c:v>
                </c:pt>
                <c:pt idx="129">
                  <c:v>4.8</c:v>
                </c:pt>
                <c:pt idx="130">
                  <c:v>4.8</c:v>
                </c:pt>
                <c:pt idx="131">
                  <c:v>4.8</c:v>
                </c:pt>
                <c:pt idx="132">
                  <c:v>4.8</c:v>
                </c:pt>
                <c:pt idx="133">
                  <c:v>4.8</c:v>
                </c:pt>
                <c:pt idx="134">
                  <c:v>4.8</c:v>
                </c:pt>
                <c:pt idx="135">
                  <c:v>4.8</c:v>
                </c:pt>
                <c:pt idx="136">
                  <c:v>4.8</c:v>
                </c:pt>
                <c:pt idx="137">
                  <c:v>4.8</c:v>
                </c:pt>
                <c:pt idx="138">
                  <c:v>4.8</c:v>
                </c:pt>
                <c:pt idx="139">
                  <c:v>4.8</c:v>
                </c:pt>
                <c:pt idx="140">
                  <c:v>4.8</c:v>
                </c:pt>
                <c:pt idx="141">
                  <c:v>4.8</c:v>
                </c:pt>
                <c:pt idx="142">
                  <c:v>4.8</c:v>
                </c:pt>
                <c:pt idx="143">
                  <c:v>4.8</c:v>
                </c:pt>
                <c:pt idx="144">
                  <c:v>4.8</c:v>
                </c:pt>
                <c:pt idx="145">
                  <c:v>4.8</c:v>
                </c:pt>
                <c:pt idx="146">
                  <c:v>4.8</c:v>
                </c:pt>
                <c:pt idx="147">
                  <c:v>4.8</c:v>
                </c:pt>
                <c:pt idx="148">
                  <c:v>4.8</c:v>
                </c:pt>
                <c:pt idx="149">
                  <c:v>4.8</c:v>
                </c:pt>
                <c:pt idx="150">
                  <c:v>4.8</c:v>
                </c:pt>
                <c:pt idx="151">
                  <c:v>4.8</c:v>
                </c:pt>
                <c:pt idx="152">
                  <c:v>4.8</c:v>
                </c:pt>
                <c:pt idx="153">
                  <c:v>4.8</c:v>
                </c:pt>
                <c:pt idx="154">
                  <c:v>4.8</c:v>
                </c:pt>
                <c:pt idx="155">
                  <c:v>4.8</c:v>
                </c:pt>
                <c:pt idx="156">
                  <c:v>4.8</c:v>
                </c:pt>
                <c:pt idx="157">
                  <c:v>4.8</c:v>
                </c:pt>
                <c:pt idx="158">
                  <c:v>4.8</c:v>
                </c:pt>
                <c:pt idx="159">
                  <c:v>4.8</c:v>
                </c:pt>
                <c:pt idx="160">
                  <c:v>4.8</c:v>
                </c:pt>
                <c:pt idx="161">
                  <c:v>4.8</c:v>
                </c:pt>
                <c:pt idx="162">
                  <c:v>4.8</c:v>
                </c:pt>
                <c:pt idx="163">
                  <c:v>4.8</c:v>
                </c:pt>
                <c:pt idx="164">
                  <c:v>4.8</c:v>
                </c:pt>
                <c:pt idx="165">
                  <c:v>4.8</c:v>
                </c:pt>
                <c:pt idx="166">
                  <c:v>4.8</c:v>
                </c:pt>
                <c:pt idx="167">
                  <c:v>4.8</c:v>
                </c:pt>
                <c:pt idx="168">
                  <c:v>4.8</c:v>
                </c:pt>
                <c:pt idx="169">
                  <c:v>4.8</c:v>
                </c:pt>
                <c:pt idx="170">
                  <c:v>4.8</c:v>
                </c:pt>
                <c:pt idx="171">
                  <c:v>4.8</c:v>
                </c:pt>
                <c:pt idx="172">
                  <c:v>4.8</c:v>
                </c:pt>
                <c:pt idx="173">
                  <c:v>4.8</c:v>
                </c:pt>
                <c:pt idx="174">
                  <c:v>4.8</c:v>
                </c:pt>
                <c:pt idx="175">
                  <c:v>4.8</c:v>
                </c:pt>
                <c:pt idx="176">
                  <c:v>4.8</c:v>
                </c:pt>
                <c:pt idx="177">
                  <c:v>4.8</c:v>
                </c:pt>
                <c:pt idx="178">
                  <c:v>4.8</c:v>
                </c:pt>
                <c:pt idx="179">
                  <c:v>4.8</c:v>
                </c:pt>
                <c:pt idx="180">
                  <c:v>4.8</c:v>
                </c:pt>
                <c:pt idx="181">
                  <c:v>4.8</c:v>
                </c:pt>
                <c:pt idx="182">
                  <c:v>4.8</c:v>
                </c:pt>
                <c:pt idx="183">
                  <c:v>4.8</c:v>
                </c:pt>
                <c:pt idx="184">
                  <c:v>4.8</c:v>
                </c:pt>
                <c:pt idx="185">
                  <c:v>4.8</c:v>
                </c:pt>
                <c:pt idx="186">
                  <c:v>4.8</c:v>
                </c:pt>
                <c:pt idx="187">
                  <c:v>4.8</c:v>
                </c:pt>
                <c:pt idx="188">
                  <c:v>4.8</c:v>
                </c:pt>
                <c:pt idx="189">
                  <c:v>4.8</c:v>
                </c:pt>
                <c:pt idx="190">
                  <c:v>4.8</c:v>
                </c:pt>
                <c:pt idx="191">
                  <c:v>4.8</c:v>
                </c:pt>
                <c:pt idx="192">
                  <c:v>4.8</c:v>
                </c:pt>
                <c:pt idx="193">
                  <c:v>4.8</c:v>
                </c:pt>
                <c:pt idx="194">
                  <c:v>4.8</c:v>
                </c:pt>
                <c:pt idx="195">
                  <c:v>4.8</c:v>
                </c:pt>
                <c:pt idx="196">
                  <c:v>4.8</c:v>
                </c:pt>
                <c:pt idx="197">
                  <c:v>4.8</c:v>
                </c:pt>
                <c:pt idx="198">
                  <c:v>4.8</c:v>
                </c:pt>
                <c:pt idx="199">
                  <c:v>4.8</c:v>
                </c:pt>
                <c:pt idx="200">
                  <c:v>4.8</c:v>
                </c:pt>
                <c:pt idx="201">
                  <c:v>4.8</c:v>
                </c:pt>
                <c:pt idx="202">
                  <c:v>4.8</c:v>
                </c:pt>
                <c:pt idx="203">
                  <c:v>4.8</c:v>
                </c:pt>
                <c:pt idx="204">
                  <c:v>4.8</c:v>
                </c:pt>
                <c:pt idx="205">
                  <c:v>4.8</c:v>
                </c:pt>
                <c:pt idx="206">
                  <c:v>4.8</c:v>
                </c:pt>
                <c:pt idx="207">
                  <c:v>4.8</c:v>
                </c:pt>
                <c:pt idx="208">
                  <c:v>4.8</c:v>
                </c:pt>
                <c:pt idx="209">
                  <c:v>4.8</c:v>
                </c:pt>
                <c:pt idx="210">
                  <c:v>4.8</c:v>
                </c:pt>
                <c:pt idx="211">
                  <c:v>4.8</c:v>
                </c:pt>
                <c:pt idx="212">
                  <c:v>4.8</c:v>
                </c:pt>
                <c:pt idx="213">
                  <c:v>4.8</c:v>
                </c:pt>
                <c:pt idx="214">
                  <c:v>4.8</c:v>
                </c:pt>
                <c:pt idx="215">
                  <c:v>4.8</c:v>
                </c:pt>
                <c:pt idx="216">
                  <c:v>4.8</c:v>
                </c:pt>
                <c:pt idx="217">
                  <c:v>4.8</c:v>
                </c:pt>
                <c:pt idx="218">
                  <c:v>4.8</c:v>
                </c:pt>
                <c:pt idx="219">
                  <c:v>4.8</c:v>
                </c:pt>
                <c:pt idx="220">
                  <c:v>4.8</c:v>
                </c:pt>
                <c:pt idx="221">
                  <c:v>4.8</c:v>
                </c:pt>
                <c:pt idx="222">
                  <c:v>4.8</c:v>
                </c:pt>
                <c:pt idx="223">
                  <c:v>4.8</c:v>
                </c:pt>
                <c:pt idx="224">
                  <c:v>4.8</c:v>
                </c:pt>
                <c:pt idx="225">
                  <c:v>4.8</c:v>
                </c:pt>
                <c:pt idx="226">
                  <c:v>4.8</c:v>
                </c:pt>
                <c:pt idx="227">
                  <c:v>4.8</c:v>
                </c:pt>
                <c:pt idx="228">
                  <c:v>4.8</c:v>
                </c:pt>
                <c:pt idx="229">
                  <c:v>4.8</c:v>
                </c:pt>
                <c:pt idx="230">
                  <c:v>4.8</c:v>
                </c:pt>
                <c:pt idx="231">
                  <c:v>4.8</c:v>
                </c:pt>
                <c:pt idx="232">
                  <c:v>4.8</c:v>
                </c:pt>
                <c:pt idx="233">
                  <c:v>4.8</c:v>
                </c:pt>
                <c:pt idx="234">
                  <c:v>4.8</c:v>
                </c:pt>
                <c:pt idx="235">
                  <c:v>4.8</c:v>
                </c:pt>
                <c:pt idx="236">
                  <c:v>4.8</c:v>
                </c:pt>
                <c:pt idx="237">
                  <c:v>4.8</c:v>
                </c:pt>
                <c:pt idx="238">
                  <c:v>4.8</c:v>
                </c:pt>
                <c:pt idx="239">
                  <c:v>4.8</c:v>
                </c:pt>
                <c:pt idx="240">
                  <c:v>4.8</c:v>
                </c:pt>
                <c:pt idx="241">
                  <c:v>4.8</c:v>
                </c:pt>
                <c:pt idx="242">
                  <c:v>4.8</c:v>
                </c:pt>
                <c:pt idx="243">
                  <c:v>4.8</c:v>
                </c:pt>
                <c:pt idx="244">
                  <c:v>4.8</c:v>
                </c:pt>
                <c:pt idx="245">
                  <c:v>4.8</c:v>
                </c:pt>
                <c:pt idx="246">
                  <c:v>4.8</c:v>
                </c:pt>
                <c:pt idx="247">
                  <c:v>4.8</c:v>
                </c:pt>
                <c:pt idx="248">
                  <c:v>4.8</c:v>
                </c:pt>
                <c:pt idx="249">
                  <c:v>4.8</c:v>
                </c:pt>
                <c:pt idx="250">
                  <c:v>4.8</c:v>
                </c:pt>
                <c:pt idx="251">
                  <c:v>4.8</c:v>
                </c:pt>
                <c:pt idx="252">
                  <c:v>4.8</c:v>
                </c:pt>
                <c:pt idx="253">
                  <c:v>4.8</c:v>
                </c:pt>
                <c:pt idx="254">
                  <c:v>4.8</c:v>
                </c:pt>
                <c:pt idx="255">
                  <c:v>4.8</c:v>
                </c:pt>
                <c:pt idx="256">
                  <c:v>4.8</c:v>
                </c:pt>
                <c:pt idx="257">
                  <c:v>4.8</c:v>
                </c:pt>
                <c:pt idx="258">
                  <c:v>4.8</c:v>
                </c:pt>
                <c:pt idx="259">
                  <c:v>4.8</c:v>
                </c:pt>
                <c:pt idx="260">
                  <c:v>4.8</c:v>
                </c:pt>
                <c:pt idx="261">
                  <c:v>4.8</c:v>
                </c:pt>
                <c:pt idx="262">
                  <c:v>4.8</c:v>
                </c:pt>
                <c:pt idx="263">
                  <c:v>4.8</c:v>
                </c:pt>
                <c:pt idx="264">
                  <c:v>4.8</c:v>
                </c:pt>
                <c:pt idx="265">
                  <c:v>4.8</c:v>
                </c:pt>
                <c:pt idx="266">
                  <c:v>4.8</c:v>
                </c:pt>
                <c:pt idx="267">
                  <c:v>4.8</c:v>
                </c:pt>
                <c:pt idx="268">
                  <c:v>4.8</c:v>
                </c:pt>
                <c:pt idx="269">
                  <c:v>4.8</c:v>
                </c:pt>
                <c:pt idx="270">
                  <c:v>4.8</c:v>
                </c:pt>
                <c:pt idx="271">
                  <c:v>4.8</c:v>
                </c:pt>
                <c:pt idx="272">
                  <c:v>4.8</c:v>
                </c:pt>
                <c:pt idx="273">
                  <c:v>4.8</c:v>
                </c:pt>
                <c:pt idx="274">
                  <c:v>4.8</c:v>
                </c:pt>
                <c:pt idx="275">
                  <c:v>4.8</c:v>
                </c:pt>
                <c:pt idx="276">
                  <c:v>4.8</c:v>
                </c:pt>
                <c:pt idx="277">
                  <c:v>4.8</c:v>
                </c:pt>
                <c:pt idx="278">
                  <c:v>4.8</c:v>
                </c:pt>
                <c:pt idx="279">
                  <c:v>4.8</c:v>
                </c:pt>
                <c:pt idx="280">
                  <c:v>4.8</c:v>
                </c:pt>
                <c:pt idx="281">
                  <c:v>4.8</c:v>
                </c:pt>
                <c:pt idx="282">
                  <c:v>4.8</c:v>
                </c:pt>
                <c:pt idx="283">
                  <c:v>4.8</c:v>
                </c:pt>
                <c:pt idx="284">
                  <c:v>4.8</c:v>
                </c:pt>
                <c:pt idx="285">
                  <c:v>4.8</c:v>
                </c:pt>
                <c:pt idx="286">
                  <c:v>4.8</c:v>
                </c:pt>
                <c:pt idx="287">
                  <c:v>4.8</c:v>
                </c:pt>
                <c:pt idx="288">
                  <c:v>4.8</c:v>
                </c:pt>
                <c:pt idx="289">
                  <c:v>4.8</c:v>
                </c:pt>
                <c:pt idx="290">
                  <c:v>4.8</c:v>
                </c:pt>
                <c:pt idx="291">
                  <c:v>4.8</c:v>
                </c:pt>
                <c:pt idx="292">
                  <c:v>4.8</c:v>
                </c:pt>
                <c:pt idx="293">
                  <c:v>4.8</c:v>
                </c:pt>
                <c:pt idx="294">
                  <c:v>4.8</c:v>
                </c:pt>
                <c:pt idx="295">
                  <c:v>4.8</c:v>
                </c:pt>
                <c:pt idx="296">
                  <c:v>4.8</c:v>
                </c:pt>
                <c:pt idx="297">
                  <c:v>4.8</c:v>
                </c:pt>
                <c:pt idx="298">
                  <c:v>4.8</c:v>
                </c:pt>
                <c:pt idx="299">
                  <c:v>4.8</c:v>
                </c:pt>
                <c:pt idx="300">
                  <c:v>4.8</c:v>
                </c:pt>
                <c:pt idx="301">
                  <c:v>4.8</c:v>
                </c:pt>
                <c:pt idx="302">
                  <c:v>4.8</c:v>
                </c:pt>
                <c:pt idx="303">
                  <c:v>4.8</c:v>
                </c:pt>
                <c:pt idx="304">
                  <c:v>4.8</c:v>
                </c:pt>
                <c:pt idx="305">
                  <c:v>4.8</c:v>
                </c:pt>
                <c:pt idx="306">
                  <c:v>4.8</c:v>
                </c:pt>
                <c:pt idx="307">
                  <c:v>4.8</c:v>
                </c:pt>
                <c:pt idx="308">
                  <c:v>4.8</c:v>
                </c:pt>
                <c:pt idx="309">
                  <c:v>4.8</c:v>
                </c:pt>
                <c:pt idx="310">
                  <c:v>4.8</c:v>
                </c:pt>
                <c:pt idx="311">
                  <c:v>4.8</c:v>
                </c:pt>
                <c:pt idx="312">
                  <c:v>4.8</c:v>
                </c:pt>
                <c:pt idx="313">
                  <c:v>4.8</c:v>
                </c:pt>
                <c:pt idx="314">
                  <c:v>4.8</c:v>
                </c:pt>
                <c:pt idx="315">
                  <c:v>4.8</c:v>
                </c:pt>
                <c:pt idx="316">
                  <c:v>4.8</c:v>
                </c:pt>
                <c:pt idx="317">
                  <c:v>4.8</c:v>
                </c:pt>
                <c:pt idx="318">
                  <c:v>4.8</c:v>
                </c:pt>
                <c:pt idx="319">
                  <c:v>4.8</c:v>
                </c:pt>
                <c:pt idx="320">
                  <c:v>4.8</c:v>
                </c:pt>
                <c:pt idx="321">
                  <c:v>4.8</c:v>
                </c:pt>
                <c:pt idx="322">
                  <c:v>4.8</c:v>
                </c:pt>
                <c:pt idx="323">
                  <c:v>4.8</c:v>
                </c:pt>
                <c:pt idx="324">
                  <c:v>4.8</c:v>
                </c:pt>
                <c:pt idx="325">
                  <c:v>4.8</c:v>
                </c:pt>
                <c:pt idx="326">
                  <c:v>4.8</c:v>
                </c:pt>
                <c:pt idx="327">
                  <c:v>4.8</c:v>
                </c:pt>
                <c:pt idx="328">
                  <c:v>4.8</c:v>
                </c:pt>
                <c:pt idx="329">
                  <c:v>4.8</c:v>
                </c:pt>
                <c:pt idx="330">
                  <c:v>4.8</c:v>
                </c:pt>
                <c:pt idx="331">
                  <c:v>4.8</c:v>
                </c:pt>
                <c:pt idx="332">
                  <c:v>4.8</c:v>
                </c:pt>
                <c:pt idx="333">
                  <c:v>4.8</c:v>
                </c:pt>
                <c:pt idx="334">
                  <c:v>4.8</c:v>
                </c:pt>
                <c:pt idx="335">
                  <c:v>4.8</c:v>
                </c:pt>
                <c:pt idx="336">
                  <c:v>4.8</c:v>
                </c:pt>
                <c:pt idx="337">
                  <c:v>4.8</c:v>
                </c:pt>
                <c:pt idx="338">
                  <c:v>4.8</c:v>
                </c:pt>
                <c:pt idx="339">
                  <c:v>4.8</c:v>
                </c:pt>
                <c:pt idx="340">
                  <c:v>4.8</c:v>
                </c:pt>
                <c:pt idx="341">
                  <c:v>4.8</c:v>
                </c:pt>
                <c:pt idx="342">
                  <c:v>4.8</c:v>
                </c:pt>
                <c:pt idx="343">
                  <c:v>4.8</c:v>
                </c:pt>
                <c:pt idx="344">
                  <c:v>4.8</c:v>
                </c:pt>
                <c:pt idx="345">
                  <c:v>4.8</c:v>
                </c:pt>
                <c:pt idx="346">
                  <c:v>4.8</c:v>
                </c:pt>
                <c:pt idx="347">
                  <c:v>4.8</c:v>
                </c:pt>
                <c:pt idx="348">
                  <c:v>4.8</c:v>
                </c:pt>
                <c:pt idx="349">
                  <c:v>4.8</c:v>
                </c:pt>
              </c:numCache>
            </c:numRef>
          </c:yVal>
          <c:smooth val="0"/>
          <c:extLst>
            <c:ext xmlns:c16="http://schemas.microsoft.com/office/drawing/2014/chart" uri="{C3380CC4-5D6E-409C-BE32-E72D297353CC}">
              <c16:uniqueId val="{0000000B-A204-4C92-A551-8BE89A17377A}"/>
            </c:ext>
          </c:extLst>
        </c:ser>
        <c:dLbls>
          <c:showLegendKey val="0"/>
          <c:showVal val="0"/>
          <c:showCatName val="0"/>
          <c:showSerName val="0"/>
          <c:showPercent val="0"/>
          <c:showBubbleSize val="0"/>
        </c:dLbls>
        <c:axId val="662061183"/>
        <c:axId val="541640463"/>
      </c:scatterChart>
      <c:valAx>
        <c:axId val="662061183"/>
        <c:scaling>
          <c:orientation val="minMax"/>
          <c:max val="15"/>
          <c:min val="0"/>
        </c:scaling>
        <c:delete val="0"/>
        <c:axPos val="b"/>
        <c:majorGridlines>
          <c:spPr>
            <a:ln w="9525" cap="flat" cmpd="sng" algn="ctr">
              <a:solidFill>
                <a:schemeClr val="bg1"/>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640463"/>
        <c:crosses val="autoZero"/>
        <c:crossBetween val="midCat"/>
        <c:majorUnit val="1"/>
        <c:minorUnit val="0.5"/>
      </c:valAx>
      <c:valAx>
        <c:axId val="541640463"/>
        <c:scaling>
          <c:orientation val="minMax"/>
          <c:max val="13"/>
          <c:min val="0"/>
        </c:scaling>
        <c:delete val="0"/>
        <c:axPos val="l"/>
        <c:majorGridlines>
          <c:spPr>
            <a:ln w="9525" cap="flat" cmpd="sng" algn="ctr">
              <a:solidFill>
                <a:schemeClr val="bg1"/>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Voltage (V)</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061183"/>
        <c:crosses val="autoZero"/>
        <c:crossBetween val="midCat"/>
        <c:majorUnit val="1"/>
        <c:minorUnit val="0.5"/>
      </c:valAx>
      <c:spPr>
        <a:solidFill>
          <a:schemeClr val="bg1">
            <a:lumMod val="8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4.png"/><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2</xdr:col>
      <xdr:colOff>725860</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95250"/>
          <a:ext cx="2297485"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5562</xdr:colOff>
      <xdr:row>69</xdr:row>
      <xdr:rowOff>5557</xdr:rowOff>
    </xdr:from>
    <xdr:to>
      <xdr:col>4</xdr:col>
      <xdr:colOff>257809</xdr:colOff>
      <xdr:row>89</xdr:row>
      <xdr:rowOff>43963</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533100" y="20323115"/>
          <a:ext cx="1834863" cy="3848406"/>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0</xdr:col>
          <xdr:colOff>76200</xdr:colOff>
          <xdr:row>0</xdr:row>
          <xdr:rowOff>85725</xdr:rowOff>
        </xdr:from>
        <xdr:to>
          <xdr:col>3</xdr:col>
          <xdr:colOff>409575</xdr:colOff>
          <xdr:row>2</xdr:row>
          <xdr:rowOff>114300</xdr:rowOff>
        </xdr:to>
        <xdr:sp macro="" textlink="">
          <xdr:nvSpPr>
            <xdr:cNvPr id="12291" name="Create_PDF_File"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518833</xdr:colOff>
      <xdr:row>6</xdr:row>
      <xdr:rowOff>114237</xdr:rowOff>
    </xdr:from>
    <xdr:to>
      <xdr:col>11</xdr:col>
      <xdr:colOff>512869</xdr:colOff>
      <xdr:row>6</xdr:row>
      <xdr:rowOff>115634</xdr:rowOff>
    </xdr:to>
    <xdr:grpSp>
      <xdr:nvGrpSpPr>
        <xdr:cNvPr id="50" name="Group 49">
          <a:extLst>
            <a:ext uri="{FF2B5EF4-FFF2-40B4-BE49-F238E27FC236}">
              <a16:creationId xmlns:a16="http://schemas.microsoft.com/office/drawing/2014/main" id="{00000000-0008-0000-0100-000032000000}"/>
            </a:ext>
          </a:extLst>
        </xdr:cNvPr>
        <xdr:cNvGrpSpPr>
          <a:grpSpLocks/>
        </xdr:cNvGrpSpPr>
      </xdr:nvGrpSpPr>
      <xdr:grpSpPr bwMode="auto">
        <a:xfrm>
          <a:off x="1044350" y="1487151"/>
          <a:ext cx="5249209" cy="1397"/>
          <a:chOff x="3210" y="36"/>
          <a:chExt cx="7690" cy="2"/>
        </a:xfrm>
      </xdr:grpSpPr>
      <xdr:sp macro="" textlink="">
        <xdr:nvSpPr>
          <xdr:cNvPr id="51" name="Freeform 1117">
            <a:extLst>
              <a:ext uri="{FF2B5EF4-FFF2-40B4-BE49-F238E27FC236}">
                <a16:creationId xmlns:a16="http://schemas.microsoft.com/office/drawing/2014/main" id="{00000000-0008-0000-0100-000033000000}"/>
              </a:ext>
            </a:extLst>
          </xdr:cNvPr>
          <xdr:cNvSpPr>
            <a:spLocks/>
          </xdr:cNvSpPr>
        </xdr:nvSpPr>
        <xdr:spPr bwMode="auto">
          <a:xfrm>
            <a:off x="3210" y="36"/>
            <a:ext cx="7690" cy="2"/>
          </a:xfrm>
          <a:custGeom>
            <a:avLst/>
            <a:gdLst>
              <a:gd name="T0" fmla="+- 0 3210 3210"/>
              <a:gd name="T1" fmla="*/ T0 w 7690"/>
              <a:gd name="T2" fmla="+- 0 10900 3210"/>
              <a:gd name="T3" fmla="*/ T2 w 7690"/>
            </a:gdLst>
            <a:ahLst/>
            <a:cxnLst>
              <a:cxn ang="0">
                <a:pos x="T1" y="0"/>
              </a:cxn>
              <a:cxn ang="0">
                <a:pos x="T3" y="0"/>
              </a:cxn>
            </a:cxnLst>
            <a:rect l="0" t="0" r="r" b="b"/>
            <a:pathLst>
              <a:path w="7690">
                <a:moveTo>
                  <a:pt x="0" y="0"/>
                </a:moveTo>
                <a:lnTo>
                  <a:pt x="7690" y="0"/>
                </a:lnTo>
              </a:path>
            </a:pathLst>
          </a:custGeom>
          <a:noFill/>
          <a:ln w="3175">
            <a:solidFill>
              <a:srgbClr val="003883"/>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fr-FR"/>
          </a:p>
        </xdr:txBody>
      </xdr:sp>
    </xdr:grpSp>
    <xdr:clientData/>
  </xdr:twoCellAnchor>
  <xdr:twoCellAnchor>
    <xdr:from>
      <xdr:col>0</xdr:col>
      <xdr:colOff>97694</xdr:colOff>
      <xdr:row>4</xdr:row>
      <xdr:rowOff>193430</xdr:rowOff>
    </xdr:from>
    <xdr:to>
      <xdr:col>1</xdr:col>
      <xdr:colOff>436247</xdr:colOff>
      <xdr:row>7</xdr:row>
      <xdr:rowOff>34875</xdr:rowOff>
    </xdr:to>
    <xdr:pic>
      <xdr:nvPicPr>
        <xdr:cNvPr id="52" name="Picture 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94" y="955430"/>
          <a:ext cx="866091"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xdr:row>
      <xdr:rowOff>14654</xdr:rowOff>
    </xdr:from>
    <xdr:to>
      <xdr:col>12</xdr:col>
      <xdr:colOff>0</xdr:colOff>
      <xdr:row>13</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0" y="2564423"/>
          <a:ext cx="6330462" cy="2271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280160" rtlCol="0" anchor="t"/>
        <a:lstStyle/>
        <a:p>
          <a:r>
            <a:rPr lang="fr-FR" sz="900">
              <a:latin typeface="Arial" panose="020B0604020202020204" pitchFamily="34" charset="0"/>
              <a:cs typeface="Arial" panose="020B0604020202020204" pitchFamily="34" charset="0"/>
            </a:rPr>
            <a:t>The FS85/FS84 device family is developed in compliance with ASIL D process, FS84 is ASIL B capable and FS85 is ASIL D capable. All device options are pin to pin and software compatible.</a:t>
          </a:r>
        </a:p>
        <a:p>
          <a:endParaRPr lang="fr-FR" sz="900">
            <a:latin typeface="Arial" panose="020B0604020202020204" pitchFamily="34" charset="0"/>
            <a:cs typeface="Arial" panose="020B0604020202020204" pitchFamily="34" charset="0"/>
          </a:endParaRPr>
        </a:p>
        <a:p>
          <a:r>
            <a:rPr lang="fr-FR" sz="900">
              <a:latin typeface="Arial" panose="020B0604020202020204" pitchFamily="34" charset="0"/>
              <a:cs typeface="Arial" panose="020B0604020202020204" pitchFamily="34" charset="0"/>
            </a:rPr>
            <a:t>The FS85/FS84 is an automotive functionally safe multi-output power supply integrated circuit, with focus on Radar, Vision, ADAS domain controller, Radio and Infotainment applications. It includes multiple switch mode and linear voltage regulators. It offers external frequency synchronization input and output, for optimized system EMC performance.</a:t>
          </a:r>
        </a:p>
        <a:p>
          <a:endParaRPr lang="fr-FR" sz="900">
            <a:latin typeface="Arial" panose="020B0604020202020204" pitchFamily="34" charset="0"/>
            <a:cs typeface="Arial" panose="020B0604020202020204" pitchFamily="34" charset="0"/>
          </a:endParaRPr>
        </a:p>
        <a:p>
          <a:r>
            <a:rPr lang="fr-FR" sz="900">
              <a:latin typeface="Arial" panose="020B0604020202020204" pitchFamily="34" charset="0"/>
              <a:cs typeface="Arial" panose="020B0604020202020204" pitchFamily="34" charset="0"/>
            </a:rPr>
            <a:t>The FS85/FS84 includes enhanced safety features, with fail-safe output, becoming a full part of a safety-oriented system partitioning, covering both ASIL B and ASIL D safety integrity level. It is developed in compliance with ISO 26262 standard. </a:t>
          </a:r>
        </a:p>
        <a:p>
          <a:endParaRPr lang="fr-FR" sz="900">
            <a:latin typeface="Arial" panose="020B0604020202020204" pitchFamily="34" charset="0"/>
            <a:cs typeface="Arial" panose="020B0604020202020204" pitchFamily="34" charset="0"/>
          </a:endParaRPr>
        </a:p>
        <a:p>
          <a:r>
            <a:rPr lang="fr-FR" sz="900">
              <a:latin typeface="Arial" panose="020B0604020202020204" pitchFamily="34" charset="0"/>
              <a:cs typeface="Arial" panose="020B0604020202020204" pitchFamily="34" charset="0"/>
            </a:rPr>
            <a:t>Several device versions are available, offering choice in number of output rails, output voltage setting, operating frequency and power up sequencing, to address multiple applications.</a:t>
          </a:r>
        </a:p>
        <a:p>
          <a:endParaRPr lang="fr-FR" sz="900">
            <a:latin typeface="Arial" panose="020B0604020202020204" pitchFamily="34" charset="0"/>
            <a:cs typeface="Arial" panose="020B0604020202020204" pitchFamily="34" charset="0"/>
          </a:endParaRPr>
        </a:p>
        <a:p>
          <a:r>
            <a:rPr lang="fr-FR" sz="900" i="1">
              <a:latin typeface="Arial" panose="020B0604020202020204" pitchFamily="34" charset="0"/>
              <a:cs typeface="Arial" panose="020B0604020202020204" pitchFamily="34" charset="0"/>
            </a:rPr>
            <a:t>Note: All parametric information is maintained in FS84_FS85 datasheet</a:t>
          </a:r>
        </a:p>
      </xdr:txBody>
    </xdr:sp>
    <xdr:clientData/>
  </xdr:twoCellAnchor>
  <xdr:twoCellAnchor>
    <xdr:from>
      <xdr:col>0</xdr:col>
      <xdr:colOff>1</xdr:colOff>
      <xdr:row>15</xdr:row>
      <xdr:rowOff>21851</xdr:rowOff>
    </xdr:from>
    <xdr:to>
      <xdr:col>12</xdr:col>
      <xdr:colOff>0</xdr:colOff>
      <xdr:row>16</xdr:row>
      <xdr:rowOff>0</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 y="5082007"/>
          <a:ext cx="6286499" cy="359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280160" rtlCol="0" anchor="t"/>
        <a:lstStyle/>
        <a:p>
          <a:r>
            <a:rPr lang="fr-FR" sz="900" i="0">
              <a:latin typeface="Arial" panose="020B0604020202020204" pitchFamily="34" charset="0"/>
              <a:cs typeface="Arial" panose="020B0604020202020204" pitchFamily="34" charset="0"/>
            </a:rPr>
            <a:t>• 60 V DC maximum input voltage for 12 V and 24 V applications</a:t>
          </a:r>
        </a:p>
        <a:p>
          <a:r>
            <a:rPr lang="fr-FR" sz="900" i="0">
              <a:latin typeface="Arial" panose="020B0604020202020204" pitchFamily="34" charset="0"/>
              <a:cs typeface="Arial" panose="020B0604020202020204" pitchFamily="34" charset="0"/>
            </a:rPr>
            <a:t>• VPRE synchronous buck controller with external MOSFETs. Configurable output voltage, switching frequency, and current capability up to 10 A peak.</a:t>
          </a:r>
        </a:p>
        <a:p>
          <a:r>
            <a:rPr lang="fr-FR" sz="900" i="0">
              <a:latin typeface="Arial" panose="020B0604020202020204" pitchFamily="34" charset="0"/>
              <a:cs typeface="Arial" panose="020B0604020202020204" pitchFamily="34" charset="0"/>
            </a:rPr>
            <a:t>• Low voltage integrated synchronous BUCK1 converter, dedicated to MCU core supply with SVS capability. Configurable output voltage and current capability up to 3.6 A peak.</a:t>
          </a:r>
        </a:p>
        <a:p>
          <a:r>
            <a:rPr lang="fr-FR" sz="900" b="1" i="0">
              <a:latin typeface="Arial" panose="020B0604020202020204" pitchFamily="34" charset="0"/>
              <a:cs typeface="Arial" panose="020B0604020202020204" pitchFamily="34" charset="0"/>
            </a:rPr>
            <a:t>• Based on device options:</a:t>
          </a:r>
          <a:r>
            <a:rPr lang="fr-FR" sz="900" i="0">
              <a:latin typeface="Arial" panose="020B0604020202020204" pitchFamily="34" charset="0"/>
              <a:cs typeface="Arial" panose="020B0604020202020204" pitchFamily="34" charset="0"/>
            </a:rPr>
            <a:t> low voltage integrated synchronous BUCK2 converter.</a:t>
          </a:r>
        </a:p>
        <a:p>
          <a:r>
            <a:rPr lang="fr-FR" sz="900" i="0">
              <a:latin typeface="Arial" panose="020B0604020202020204" pitchFamily="34" charset="0"/>
              <a:cs typeface="Arial" panose="020B0604020202020204" pitchFamily="34" charset="0"/>
            </a:rPr>
            <a:t>Configurable output voltage and current capability up to 3.6 A peak. Multi-phase capability with BUCK1 to extend the current capability up to 7.2 A peak on a single rail. Static voltage scaling capability.</a:t>
          </a:r>
        </a:p>
        <a:p>
          <a:r>
            <a:rPr lang="fr-FR" sz="900" b="1" i="0">
              <a:latin typeface="Arial" panose="020B0604020202020204" pitchFamily="34" charset="0"/>
              <a:cs typeface="Arial" panose="020B0604020202020204" pitchFamily="34" charset="0"/>
            </a:rPr>
            <a:t>• Based on device options:</a:t>
          </a:r>
          <a:r>
            <a:rPr lang="fr-FR" sz="900" i="0">
              <a:latin typeface="Arial" panose="020B0604020202020204" pitchFamily="34" charset="0"/>
              <a:cs typeface="Arial" panose="020B0604020202020204" pitchFamily="34" charset="0"/>
            </a:rPr>
            <a:t> low voltage integrated synchronous BUCK3 converter.</a:t>
          </a:r>
        </a:p>
        <a:p>
          <a:r>
            <a:rPr lang="fr-FR" sz="900" i="0">
              <a:latin typeface="Arial" panose="020B0604020202020204" pitchFamily="34" charset="0"/>
              <a:cs typeface="Arial" panose="020B0604020202020204" pitchFamily="34" charset="0"/>
            </a:rPr>
            <a:t>Configurable output voltage and current capability up to 3.6 A peak.</a:t>
          </a:r>
        </a:p>
        <a:p>
          <a:r>
            <a:rPr lang="fr-FR" sz="900" i="0">
              <a:latin typeface="Arial" panose="020B0604020202020204" pitchFamily="34" charset="0"/>
              <a:cs typeface="Arial" panose="020B0604020202020204" pitchFamily="34" charset="0"/>
            </a:rPr>
            <a:t>• BOOST converter with integrated low-side switch. Configurable output voltage and max input current up to 1.5 A peak.</a:t>
          </a:r>
        </a:p>
        <a:p>
          <a:r>
            <a:rPr lang="fr-FR" sz="900" i="0">
              <a:latin typeface="Arial" panose="020B0604020202020204" pitchFamily="34" charset="0"/>
              <a:cs typeface="Arial" panose="020B0604020202020204" pitchFamily="34" charset="0"/>
            </a:rPr>
            <a:t>• EMC optimization techniques including SMPS frequency synchronization, spread spectrum, slew rate control, manual frequency tuning</a:t>
          </a:r>
        </a:p>
        <a:p>
          <a:r>
            <a:rPr lang="fr-FR" sz="900" i="0">
              <a:latin typeface="Arial" panose="020B0604020202020204" pitchFamily="34" charset="0"/>
              <a:cs typeface="Arial" panose="020B0604020202020204" pitchFamily="34" charset="0"/>
            </a:rPr>
            <a:t>• 2x linear voltage regulators for MCU IOs and ADC supply, external physical layer.</a:t>
          </a:r>
        </a:p>
        <a:p>
          <a:r>
            <a:rPr lang="fr-FR" sz="900" i="0">
              <a:latin typeface="Arial" panose="020B0604020202020204" pitchFamily="34" charset="0"/>
              <a:cs typeface="Arial" panose="020B0604020202020204" pitchFamily="34" charset="0"/>
            </a:rPr>
            <a:t>Configurable output voltage and current capability up to 400 mA DC.</a:t>
          </a:r>
        </a:p>
        <a:p>
          <a:r>
            <a:rPr lang="fr-FR" sz="900" i="0">
              <a:latin typeface="Arial" panose="020B0604020202020204" pitchFamily="34" charset="0"/>
              <a:cs typeface="Arial" panose="020B0604020202020204" pitchFamily="34" charset="0"/>
            </a:rPr>
            <a:t>• Standby OFF mode with very low sleep current (10 </a:t>
          </a:r>
          <a:r>
            <a:rPr lang="el-GR" sz="900" i="0">
              <a:latin typeface="Arial" panose="020B0604020202020204" pitchFamily="34" charset="0"/>
              <a:cs typeface="Arial" panose="020B0604020202020204" pitchFamily="34" charset="0"/>
            </a:rPr>
            <a:t>μ</a:t>
          </a:r>
          <a:r>
            <a:rPr lang="fr-FR" sz="900" i="0">
              <a:latin typeface="Arial" panose="020B0604020202020204" pitchFamily="34" charset="0"/>
              <a:cs typeface="Arial" panose="020B0604020202020204" pitchFamily="34" charset="0"/>
            </a:rPr>
            <a:t>A typ)</a:t>
          </a:r>
        </a:p>
        <a:p>
          <a:r>
            <a:rPr lang="fr-FR" sz="900" i="0">
              <a:latin typeface="Arial" panose="020B0604020202020204" pitchFamily="34" charset="0"/>
              <a:cs typeface="Arial" panose="020B0604020202020204" pitchFamily="34" charset="0"/>
            </a:rPr>
            <a:t>• 2x input pins for wake-up detection and battery voltage sensing</a:t>
          </a:r>
        </a:p>
        <a:p>
          <a:r>
            <a:rPr lang="fr-FR" sz="900" i="0">
              <a:latin typeface="Arial" panose="020B0604020202020204" pitchFamily="34" charset="0"/>
              <a:cs typeface="Arial" panose="020B0604020202020204" pitchFamily="34" charset="0"/>
            </a:rPr>
            <a:t>• Device control via 32 bits SPI or I2C interface with CRC</a:t>
          </a:r>
        </a:p>
        <a:p>
          <a:r>
            <a:rPr lang="fr-FR" sz="900" i="0">
              <a:latin typeface="Arial" panose="020B0604020202020204" pitchFamily="34" charset="0"/>
              <a:cs typeface="Arial" panose="020B0604020202020204" pitchFamily="34" charset="0"/>
            </a:rPr>
            <a:t>• Power synchronization pin to operate 2x FS85 devices or FS85 plus an external PMIC</a:t>
          </a:r>
        </a:p>
        <a:p>
          <a:r>
            <a:rPr lang="fr-FR" sz="900" i="0">
              <a:latin typeface="Arial" panose="020B0604020202020204" pitchFamily="34" charset="0"/>
              <a:cs typeface="Arial" panose="020B0604020202020204" pitchFamily="34" charset="0"/>
            </a:rPr>
            <a:t>• Scalable portfolio from ASIL B to ASIL D with independent monitoring circuitry, dedicated interface for MCU monitoring, simple and challenger watchdog function, power good, reset and interrupt, built-in self-test, fail-safe output</a:t>
          </a:r>
        </a:p>
        <a:p>
          <a:r>
            <a:rPr lang="fr-FR" sz="900" i="0">
              <a:latin typeface="Arial" panose="020B0604020202020204" pitchFamily="34" charset="0"/>
              <a:cs typeface="Arial" panose="020B0604020202020204" pitchFamily="34" charset="0"/>
            </a:rPr>
            <a:t>• Configuration by OTP programming. Prototype enablement to support custom setting during project development in engineering mode.</a:t>
          </a:r>
        </a:p>
      </xdr:txBody>
    </xdr:sp>
    <xdr:clientData/>
  </xdr:twoCellAnchor>
  <xdr:twoCellAnchor>
    <xdr:from>
      <xdr:col>2</xdr:col>
      <xdr:colOff>16924</xdr:colOff>
      <xdr:row>5</xdr:row>
      <xdr:rowOff>19050</xdr:rowOff>
    </xdr:from>
    <xdr:to>
      <xdr:col>11</xdr:col>
      <xdr:colOff>513522</xdr:colOff>
      <xdr:row>6</xdr:row>
      <xdr:rowOff>76200</xdr:rowOff>
    </xdr:to>
    <xdr:sp macro="" textlink="N6">
      <xdr:nvSpPr>
        <xdr:cNvPr id="5" name="TextBox 4">
          <a:extLst>
            <a:ext uri="{FF2B5EF4-FFF2-40B4-BE49-F238E27FC236}">
              <a16:creationId xmlns:a16="http://schemas.microsoft.com/office/drawing/2014/main" id="{00000000-0008-0000-0100-000005000000}"/>
            </a:ext>
          </a:extLst>
        </xdr:cNvPr>
        <xdr:cNvSpPr txBox="1"/>
      </xdr:nvSpPr>
      <xdr:spPr>
        <a:xfrm>
          <a:off x="1060533" y="1162050"/>
          <a:ext cx="5192837" cy="289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1C96EB2-4589-40D3-8F61-0A9AF07CEFC9}" type="TxLink">
            <a:rPr lang="en-US" sz="1400" b="1" i="0" u="none" strike="noStrike">
              <a:solidFill>
                <a:srgbClr val="003883"/>
              </a:solidFill>
              <a:latin typeface="Arial" panose="020B0604020202020204" pitchFamily="34" charset="0"/>
              <a:ea typeface="+mn-ea"/>
              <a:cs typeface="Arial" panose="020B0604020202020204" pitchFamily="34" charset="0"/>
            </a:rPr>
            <a:pPr marL="0" indent="0"/>
            <a:t>Configuration report for FS8530 OTP program ID: A0 rev A</a:t>
          </a:fld>
          <a:endParaRPr lang="fr-FR" sz="1400" b="1" i="0" u="none" strike="noStrike">
            <a:solidFill>
              <a:srgbClr val="003883"/>
            </a:solidFill>
            <a:latin typeface="Arial" panose="020B0604020202020204" pitchFamily="34" charset="0"/>
            <a:ea typeface="+mn-ea"/>
            <a:cs typeface="Arial" panose="020B0604020202020204" pitchFamily="34" charset="0"/>
          </a:endParaRPr>
        </a:p>
      </xdr:txBody>
    </xdr:sp>
    <xdr:clientData/>
  </xdr:twoCellAnchor>
  <xdr:twoCellAnchor>
    <xdr:from>
      <xdr:col>10</xdr:col>
      <xdr:colOff>405848</xdr:colOff>
      <xdr:row>6</xdr:row>
      <xdr:rowOff>165495</xdr:rowOff>
    </xdr:from>
    <xdr:to>
      <xdr:col>11</xdr:col>
      <xdr:colOff>521494</xdr:colOff>
      <xdr:row>8</xdr:row>
      <xdr:rowOff>37588</xdr:rowOff>
    </xdr:to>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5623891" y="1540408"/>
          <a:ext cx="637451"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u="none" strike="noStrike">
              <a:solidFill>
                <a:srgbClr val="003883"/>
              </a:solidFill>
              <a:latin typeface="Arial" panose="020B0604020202020204" pitchFamily="34" charset="0"/>
              <a:cs typeface="Arial" panose="020B0604020202020204" pitchFamily="34" charset="0"/>
            </a:rPr>
            <a:t>Report</a:t>
          </a:r>
          <a:endParaRPr lang="en-US" sz="1400" b="1" i="0" u="none" strike="noStrike">
            <a:solidFill>
              <a:srgbClr val="003883"/>
            </a:solidFill>
            <a:latin typeface="Arial" panose="020B0604020202020204" pitchFamily="34" charset="0"/>
            <a:cs typeface="Arial" panose="020B0604020202020204" pitchFamily="34" charset="0"/>
          </a:endParaRPr>
        </a:p>
      </xdr:txBody>
    </xdr:sp>
    <xdr:clientData/>
  </xdr:twoCellAnchor>
  <xdr:twoCellAnchor>
    <xdr:from>
      <xdr:col>2</xdr:col>
      <xdr:colOff>16924</xdr:colOff>
      <xdr:row>4</xdr:row>
      <xdr:rowOff>47625</xdr:rowOff>
    </xdr:from>
    <xdr:to>
      <xdr:col>11</xdr:col>
      <xdr:colOff>496956</xdr:colOff>
      <xdr:row>5</xdr:row>
      <xdr:rowOff>85725</xdr:rowOff>
    </xdr:to>
    <xdr:sp macro="" textlink="N5">
      <xdr:nvSpPr>
        <xdr:cNvPr id="78" name="TextBox 77">
          <a:extLst>
            <a:ext uri="{FF2B5EF4-FFF2-40B4-BE49-F238E27FC236}">
              <a16:creationId xmlns:a16="http://schemas.microsoft.com/office/drawing/2014/main" id="{00000000-0008-0000-0100-00004E000000}"/>
            </a:ext>
          </a:extLst>
        </xdr:cNvPr>
        <xdr:cNvSpPr txBox="1"/>
      </xdr:nvSpPr>
      <xdr:spPr>
        <a:xfrm>
          <a:off x="1060533" y="809625"/>
          <a:ext cx="517627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306C33-41D3-4582-B546-15CC3C3F43D4}" type="TxLink">
            <a:rPr lang="en-US" sz="2400" b="1" i="0" u="none" strike="noStrike">
              <a:solidFill>
                <a:schemeClr val="tx2"/>
              </a:solidFill>
              <a:latin typeface="Arial" panose="020B0604020202020204" pitchFamily="34" charset="0"/>
              <a:ea typeface="+mn-ea"/>
              <a:cs typeface="Arial" panose="020B0604020202020204" pitchFamily="34" charset="0"/>
            </a:rPr>
            <a:pPr marL="0" indent="0"/>
            <a:t>PC33FS8530A0ES</a:t>
          </a:fld>
          <a:endParaRPr lang="fr-FR" sz="2400" b="1" i="0" u="none" strike="noStrike">
            <a:solidFill>
              <a:schemeClr val="tx2"/>
            </a:solidFill>
            <a:latin typeface="Arial" panose="020B0604020202020204" pitchFamily="34" charset="0"/>
            <a:ea typeface="+mn-ea"/>
            <a:cs typeface="Arial" panose="020B0604020202020204" pitchFamily="34" charset="0"/>
          </a:endParaRPr>
        </a:p>
      </xdr:txBody>
    </xdr:sp>
    <xdr:clientData/>
  </xdr:twoCellAnchor>
  <xdr:twoCellAnchor editAs="absolute">
    <xdr:from>
      <xdr:col>8</xdr:col>
      <xdr:colOff>367684</xdr:colOff>
      <xdr:row>16</xdr:row>
      <xdr:rowOff>59946</xdr:rowOff>
    </xdr:from>
    <xdr:to>
      <xdr:col>11</xdr:col>
      <xdr:colOff>328781</xdr:colOff>
      <xdr:row>19</xdr:row>
      <xdr:rowOff>154806</xdr:rowOff>
    </xdr:to>
    <xdr:pic>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2"/>
        <a:stretch>
          <a:fillRect/>
        </a:stretch>
      </xdr:blipFill>
      <xdr:spPr>
        <a:xfrm>
          <a:off x="4739920" y="9156582"/>
          <a:ext cx="1601639" cy="662177"/>
        </a:xfrm>
        <a:prstGeom prst="rect">
          <a:avLst/>
        </a:prstGeom>
      </xdr:spPr>
    </xdr:pic>
    <xdr:clientData/>
  </xdr:twoCellAnchor>
  <xdr:twoCellAnchor>
    <xdr:from>
      <xdr:col>0</xdr:col>
      <xdr:colOff>0</xdr:colOff>
      <xdr:row>25</xdr:row>
      <xdr:rowOff>9524</xdr:rowOff>
    </xdr:from>
    <xdr:to>
      <xdr:col>11</xdr:col>
      <xdr:colOff>2105024</xdr:colOff>
      <xdr:row>26</xdr:row>
      <xdr:rowOff>0</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0" y="11020424"/>
          <a:ext cx="6334124" cy="1047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280160" rtlCol="0" anchor="t"/>
        <a:lstStyle/>
        <a:p>
          <a:r>
            <a:rPr lang="fr-FR" sz="900" b="1" i="0" baseline="0">
              <a:solidFill>
                <a:schemeClr val="dk1"/>
              </a:solidFill>
              <a:effectLst/>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Radar</a:t>
          </a:r>
        </a:p>
        <a:p>
          <a:r>
            <a:rPr lang="fr-FR" sz="900" b="1" i="0" u="none" strike="noStrike" baseline="0">
              <a:solidFill>
                <a:schemeClr val="dk1"/>
              </a:solidFill>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Vision</a:t>
          </a:r>
        </a:p>
        <a:p>
          <a:r>
            <a:rPr lang="fr-FR" sz="900" b="1" i="0" u="none" strike="noStrike" baseline="0">
              <a:solidFill>
                <a:schemeClr val="dk1"/>
              </a:solidFill>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ADAS domain controller</a:t>
          </a:r>
        </a:p>
        <a:p>
          <a:r>
            <a:rPr lang="fr-FR" sz="900" b="1" i="0" u="none" strike="noStrike" baseline="0">
              <a:solidFill>
                <a:schemeClr val="dk1"/>
              </a:solidFill>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Radio</a:t>
          </a:r>
        </a:p>
        <a:p>
          <a:r>
            <a:rPr lang="fr-FR" sz="900" b="1" i="0" u="none" strike="noStrike" baseline="0">
              <a:solidFill>
                <a:schemeClr val="dk1"/>
              </a:solidFill>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V2x</a:t>
          </a:r>
        </a:p>
        <a:p>
          <a:r>
            <a:rPr lang="fr-FR" sz="900" b="1" i="0" u="none" strike="noStrike" baseline="0">
              <a:solidFill>
                <a:schemeClr val="dk1"/>
              </a:solidFill>
              <a:latin typeface="Arial" panose="020B0604020202020204" pitchFamily="34" charset="0"/>
              <a:ea typeface="+mn-ea"/>
              <a:cs typeface="Arial" panose="020B0604020202020204" pitchFamily="34" charset="0"/>
            </a:rPr>
            <a:t>• </a:t>
          </a:r>
          <a:r>
            <a:rPr lang="fr-FR" sz="900" b="0" i="0" u="none" strike="noStrike" baseline="0">
              <a:solidFill>
                <a:schemeClr val="dk1"/>
              </a:solidFill>
              <a:latin typeface="Arial" panose="020B0604020202020204" pitchFamily="34" charset="0"/>
              <a:ea typeface="+mn-ea"/>
              <a:cs typeface="Arial" panose="020B0604020202020204" pitchFamily="34" charset="0"/>
            </a:rPr>
            <a:t>Infotainment</a:t>
          </a:r>
          <a:endParaRPr lang="fr-FR" sz="600" i="0">
            <a:latin typeface="Arial" panose="020B0604020202020204" pitchFamily="34" charset="0"/>
            <a:cs typeface="Arial" panose="020B0604020202020204" pitchFamily="34" charset="0"/>
          </a:endParaRPr>
        </a:p>
      </xdr:txBody>
    </xdr:sp>
    <xdr:clientData/>
  </xdr:twoCellAnchor>
  <xdr:twoCellAnchor>
    <xdr:from>
      <xdr:col>3</xdr:col>
      <xdr:colOff>139968</xdr:colOff>
      <xdr:row>6</xdr:row>
      <xdr:rowOff>165495</xdr:rowOff>
    </xdr:from>
    <xdr:to>
      <xdr:col>6</xdr:col>
      <xdr:colOff>87690</xdr:colOff>
      <xdr:row>8</xdr:row>
      <xdr:rowOff>37588</xdr:rowOff>
    </xdr:to>
    <xdr:sp macro="" textlink="$N$9">
      <xdr:nvSpPr>
        <xdr:cNvPr id="87" name="TextBox 86">
          <a:extLst>
            <a:ext uri="{FF2B5EF4-FFF2-40B4-BE49-F238E27FC236}">
              <a16:creationId xmlns:a16="http://schemas.microsoft.com/office/drawing/2014/main" id="{00000000-0008-0000-0100-000057000000}"/>
            </a:ext>
          </a:extLst>
        </xdr:cNvPr>
        <xdr:cNvSpPr txBox="1"/>
      </xdr:nvSpPr>
      <xdr:spPr>
        <a:xfrm>
          <a:off x="1722583" y="1535630"/>
          <a:ext cx="1530338"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C01F4F7-D2CE-416A-90C4-02EE33460D3C}" type="TxLink">
            <a:rPr lang="en-US" sz="1000" b="1" i="0" u="none" strike="noStrike">
              <a:solidFill>
                <a:schemeClr val="tx2"/>
              </a:solidFill>
              <a:latin typeface="Arial" panose="020B0604020202020204" pitchFamily="34" charset="0"/>
              <a:ea typeface="+mn-ea"/>
              <a:cs typeface="Arial" panose="020B0604020202020204" pitchFamily="34" charset="0"/>
            </a:rPr>
            <a:pPr marL="0" indent="0"/>
            <a:t>5-Nov-2021</a:t>
          </a:fld>
          <a:endParaRPr lang="en-US" sz="800" b="1" i="0" u="none" strike="noStrike">
            <a:solidFill>
              <a:schemeClr val="tx2"/>
            </a:solidFill>
            <a:latin typeface="Arial" panose="020B0604020202020204" pitchFamily="34" charset="0"/>
            <a:ea typeface="+mn-ea"/>
            <a:cs typeface="Arial" panose="020B0604020202020204" pitchFamily="34" charset="0"/>
          </a:endParaRPr>
        </a:p>
      </xdr:txBody>
    </xdr:sp>
    <xdr:clientData/>
  </xdr:twoCellAnchor>
  <xdr:twoCellAnchor>
    <xdr:from>
      <xdr:col>0</xdr:col>
      <xdr:colOff>87923</xdr:colOff>
      <xdr:row>37</xdr:row>
      <xdr:rowOff>0</xdr:rowOff>
    </xdr:from>
    <xdr:to>
      <xdr:col>11</xdr:col>
      <xdr:colOff>410308</xdr:colOff>
      <xdr:row>57</xdr:row>
      <xdr:rowOff>102576</xdr:rowOff>
    </xdr:to>
    <xdr:graphicFrame macro="">
      <xdr:nvGraphicFramePr>
        <xdr:cNvPr id="88" name="Chart 87">
          <a:extLst>
            <a:ext uri="{FF2B5EF4-FFF2-40B4-BE49-F238E27FC236}">
              <a16:creationId xmlns:a16="http://schemas.microsoft.com/office/drawing/2014/main" id="{00000000-0008-0000-0100-00005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45872</xdr:colOff>
      <xdr:row>60</xdr:row>
      <xdr:rowOff>174023</xdr:rowOff>
    </xdr:from>
    <xdr:to>
      <xdr:col>11</xdr:col>
      <xdr:colOff>464359</xdr:colOff>
      <xdr:row>62</xdr:row>
      <xdr:rowOff>122511</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45872" y="19053230"/>
          <a:ext cx="6199177" cy="329488"/>
          <a:chOff x="38545" y="18733119"/>
          <a:chExt cx="6221410" cy="329488"/>
        </a:xfrm>
      </xdr:grpSpPr>
      <xdr:sp macro="" textlink="">
        <xdr:nvSpPr>
          <xdr:cNvPr id="95" name="TextBox 94">
            <a:extLst>
              <a:ext uri="{FF2B5EF4-FFF2-40B4-BE49-F238E27FC236}">
                <a16:creationId xmlns:a16="http://schemas.microsoft.com/office/drawing/2014/main" id="{00000000-0008-0000-0100-00005F00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96" name="TextBox 95">
            <a:extLst>
              <a:ext uri="{FF2B5EF4-FFF2-40B4-BE49-F238E27FC236}">
                <a16:creationId xmlns:a16="http://schemas.microsoft.com/office/drawing/2014/main" id="{00000000-0008-0000-0100-00006000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98" name="Straight Connector 97">
            <a:extLst>
              <a:ext uri="{FF2B5EF4-FFF2-40B4-BE49-F238E27FC236}">
                <a16:creationId xmlns:a16="http://schemas.microsoft.com/office/drawing/2014/main" id="{00000000-0008-0000-0100-00006200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99" name="TextBox 98">
            <a:extLst>
              <a:ext uri="{FF2B5EF4-FFF2-40B4-BE49-F238E27FC236}">
                <a16:creationId xmlns:a16="http://schemas.microsoft.com/office/drawing/2014/main" id="{00000000-0008-0000-0100-00006300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100" name="TextBox 99">
            <a:extLst>
              <a:ext uri="{FF2B5EF4-FFF2-40B4-BE49-F238E27FC236}">
                <a16:creationId xmlns:a16="http://schemas.microsoft.com/office/drawing/2014/main" id="{00000000-0008-0000-0100-00006400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103" name="TextBox 102">
            <a:extLst>
              <a:ext uri="{FF2B5EF4-FFF2-40B4-BE49-F238E27FC236}">
                <a16:creationId xmlns:a16="http://schemas.microsoft.com/office/drawing/2014/main" id="{00000000-0008-0000-0100-00006700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104" name="TextBox 103">
            <a:extLst>
              <a:ext uri="{FF2B5EF4-FFF2-40B4-BE49-F238E27FC236}">
                <a16:creationId xmlns:a16="http://schemas.microsoft.com/office/drawing/2014/main" id="{00000000-0008-0000-0100-00006800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3</xdr:col>
      <xdr:colOff>43654</xdr:colOff>
      <xdr:row>71</xdr:row>
      <xdr:rowOff>98348</xdr:rowOff>
    </xdr:from>
    <xdr:to>
      <xdr:col>9</xdr:col>
      <xdr:colOff>113228</xdr:colOff>
      <xdr:row>71</xdr:row>
      <xdr:rowOff>98348</xdr:rowOff>
    </xdr:to>
    <xdr:cxnSp macro="">
      <xdr:nvCxnSpPr>
        <xdr:cNvPr id="110" name="Straight Arrow Connector 109">
          <a:extLst>
            <a:ext uri="{FF2B5EF4-FFF2-40B4-BE49-F238E27FC236}">
              <a16:creationId xmlns:a16="http://schemas.microsoft.com/office/drawing/2014/main" id="{00000000-0008-0000-0100-00006E000000}"/>
            </a:ext>
          </a:extLst>
        </xdr:cNvPr>
        <xdr:cNvCxnSpPr/>
      </xdr:nvCxnSpPr>
      <xdr:spPr>
        <a:xfrm>
          <a:off x="1626269" y="20796906"/>
          <a:ext cx="3234805" cy="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73</xdr:row>
      <xdr:rowOff>175927</xdr:rowOff>
    </xdr:from>
    <xdr:to>
      <xdr:col>9</xdr:col>
      <xdr:colOff>113228</xdr:colOff>
      <xdr:row>73</xdr:row>
      <xdr:rowOff>175927</xdr:rowOff>
    </xdr:to>
    <xdr:cxnSp macro="">
      <xdr:nvCxnSpPr>
        <xdr:cNvPr id="111" name="Straight Arrow Connector 110">
          <a:extLst>
            <a:ext uri="{FF2B5EF4-FFF2-40B4-BE49-F238E27FC236}">
              <a16:creationId xmlns:a16="http://schemas.microsoft.com/office/drawing/2014/main" id="{00000000-0008-0000-0100-00006F000000}"/>
            </a:ext>
          </a:extLst>
        </xdr:cNvPr>
        <xdr:cNvCxnSpPr/>
      </xdr:nvCxnSpPr>
      <xdr:spPr>
        <a:xfrm>
          <a:off x="1626269" y="21255485"/>
          <a:ext cx="3234805" cy="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79</xdr:row>
      <xdr:rowOff>25580</xdr:rowOff>
    </xdr:from>
    <xdr:to>
      <xdr:col>9</xdr:col>
      <xdr:colOff>113228</xdr:colOff>
      <xdr:row>79</xdr:row>
      <xdr:rowOff>25580</xdr:rowOff>
    </xdr:to>
    <xdr:cxnSp macro="">
      <xdr:nvCxnSpPr>
        <xdr:cNvPr id="112" name="Straight Arrow Connector 111">
          <a:extLst>
            <a:ext uri="{FF2B5EF4-FFF2-40B4-BE49-F238E27FC236}">
              <a16:creationId xmlns:a16="http://schemas.microsoft.com/office/drawing/2014/main" id="{00000000-0008-0000-0100-000070000000}"/>
            </a:ext>
          </a:extLst>
        </xdr:cNvPr>
        <xdr:cNvCxnSpPr/>
      </xdr:nvCxnSpPr>
      <xdr:spPr>
        <a:xfrm>
          <a:off x="1626269" y="22248138"/>
          <a:ext cx="3234805"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85</xdr:row>
      <xdr:rowOff>59773</xdr:rowOff>
    </xdr:from>
    <xdr:to>
      <xdr:col>9</xdr:col>
      <xdr:colOff>113228</xdr:colOff>
      <xdr:row>85</xdr:row>
      <xdr:rowOff>59773</xdr:rowOff>
    </xdr:to>
    <xdr:cxnSp macro="">
      <xdr:nvCxnSpPr>
        <xdr:cNvPr id="113" name="Straight Arrow Connector 112">
          <a:extLst>
            <a:ext uri="{FF2B5EF4-FFF2-40B4-BE49-F238E27FC236}">
              <a16:creationId xmlns:a16="http://schemas.microsoft.com/office/drawing/2014/main" id="{00000000-0008-0000-0100-000071000000}"/>
            </a:ext>
          </a:extLst>
        </xdr:cNvPr>
        <xdr:cNvCxnSpPr/>
      </xdr:nvCxnSpPr>
      <xdr:spPr>
        <a:xfrm>
          <a:off x="1626269" y="24026138"/>
          <a:ext cx="3234805"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82</xdr:row>
      <xdr:rowOff>85803</xdr:rowOff>
    </xdr:from>
    <xdr:to>
      <xdr:col>9</xdr:col>
      <xdr:colOff>113228</xdr:colOff>
      <xdr:row>82</xdr:row>
      <xdr:rowOff>85803</xdr:rowOff>
    </xdr:to>
    <xdr:cxnSp macro="">
      <xdr:nvCxnSpPr>
        <xdr:cNvPr id="114" name="Straight Arrow Connector 113">
          <a:extLst>
            <a:ext uri="{FF2B5EF4-FFF2-40B4-BE49-F238E27FC236}">
              <a16:creationId xmlns:a16="http://schemas.microsoft.com/office/drawing/2014/main" id="{00000000-0008-0000-0100-000072000000}"/>
            </a:ext>
          </a:extLst>
        </xdr:cNvPr>
        <xdr:cNvCxnSpPr/>
      </xdr:nvCxnSpPr>
      <xdr:spPr>
        <a:xfrm>
          <a:off x="1626269" y="22879861"/>
          <a:ext cx="3234805"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87</xdr:row>
      <xdr:rowOff>137834</xdr:rowOff>
    </xdr:from>
    <xdr:to>
      <xdr:col>9</xdr:col>
      <xdr:colOff>113228</xdr:colOff>
      <xdr:row>87</xdr:row>
      <xdr:rowOff>137834</xdr:rowOff>
    </xdr:to>
    <xdr:cxnSp macro="">
      <xdr:nvCxnSpPr>
        <xdr:cNvPr id="115" name="Straight Arrow Connector 114">
          <a:extLst>
            <a:ext uri="{FF2B5EF4-FFF2-40B4-BE49-F238E27FC236}">
              <a16:creationId xmlns:a16="http://schemas.microsoft.com/office/drawing/2014/main" id="{00000000-0008-0000-0100-000073000000}"/>
            </a:ext>
          </a:extLst>
        </xdr:cNvPr>
        <xdr:cNvCxnSpPr/>
      </xdr:nvCxnSpPr>
      <xdr:spPr>
        <a:xfrm flipV="1">
          <a:off x="1626269" y="24485199"/>
          <a:ext cx="3234805"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43654</xdr:colOff>
      <xdr:row>76</xdr:row>
      <xdr:rowOff>36567</xdr:rowOff>
    </xdr:from>
    <xdr:to>
      <xdr:col>9</xdr:col>
      <xdr:colOff>113228</xdr:colOff>
      <xdr:row>76</xdr:row>
      <xdr:rowOff>36567</xdr:rowOff>
    </xdr:to>
    <xdr:cxnSp macro="">
      <xdr:nvCxnSpPr>
        <xdr:cNvPr id="116" name="Straight Arrow Connector 115">
          <a:extLst>
            <a:ext uri="{FF2B5EF4-FFF2-40B4-BE49-F238E27FC236}">
              <a16:creationId xmlns:a16="http://schemas.microsoft.com/office/drawing/2014/main" id="{00000000-0008-0000-0100-000074000000}"/>
            </a:ext>
          </a:extLst>
        </xdr:cNvPr>
        <xdr:cNvCxnSpPr/>
      </xdr:nvCxnSpPr>
      <xdr:spPr>
        <a:xfrm>
          <a:off x="1626269" y="21687625"/>
          <a:ext cx="3234805"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181282</xdr:colOff>
      <xdr:row>70</xdr:row>
      <xdr:rowOff>114706</xdr:rowOff>
    </xdr:from>
    <xdr:to>
      <xdr:col>3</xdr:col>
      <xdr:colOff>52073</xdr:colOff>
      <xdr:row>72</xdr:row>
      <xdr:rowOff>99466</xdr:rowOff>
    </xdr:to>
    <xdr:sp macro="" textlink="">
      <xdr:nvSpPr>
        <xdr:cNvPr id="117" name="Rectangle: Rounded Corners 116">
          <a:extLst>
            <a:ext uri="{FF2B5EF4-FFF2-40B4-BE49-F238E27FC236}">
              <a16:creationId xmlns:a16="http://schemas.microsoft.com/office/drawing/2014/main" id="{00000000-0008-0000-0100-000075000000}"/>
            </a:ext>
          </a:extLst>
        </xdr:cNvPr>
        <xdr:cNvSpPr/>
      </xdr:nvSpPr>
      <xdr:spPr>
        <a:xfrm>
          <a:off x="708820" y="20622764"/>
          <a:ext cx="925868" cy="365760"/>
        </a:xfrm>
        <a:prstGeom prst="roundRect">
          <a:avLst/>
        </a:prstGeom>
        <a:solidFill>
          <a:srgbClr val="58A5D7"/>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800" b="0">
              <a:solidFill>
                <a:sysClr val="windowText" lastClr="000000"/>
              </a:solidFill>
              <a:latin typeface="Arial" panose="020B0604020202020204" pitchFamily="34" charset="0"/>
              <a:cs typeface="Arial" panose="020B0604020202020204" pitchFamily="34" charset="0"/>
            </a:rPr>
            <a:t>VPRE</a:t>
          </a:r>
        </a:p>
      </xdr:txBody>
    </xdr:sp>
    <xdr:clientData/>
  </xdr:twoCellAnchor>
  <xdr:twoCellAnchor>
    <xdr:from>
      <xdr:col>1</xdr:col>
      <xdr:colOff>181282</xdr:colOff>
      <xdr:row>75</xdr:row>
      <xdr:rowOff>48184</xdr:rowOff>
    </xdr:from>
    <xdr:to>
      <xdr:col>3</xdr:col>
      <xdr:colOff>52073</xdr:colOff>
      <xdr:row>77</xdr:row>
      <xdr:rowOff>51232</xdr:rowOff>
    </xdr:to>
    <xdr:sp macro="" textlink="">
      <xdr:nvSpPr>
        <xdr:cNvPr id="118" name="Rectangle: Rounded Corners 117">
          <a:extLst>
            <a:ext uri="{FF2B5EF4-FFF2-40B4-BE49-F238E27FC236}">
              <a16:creationId xmlns:a16="http://schemas.microsoft.com/office/drawing/2014/main" id="{00000000-0008-0000-0100-000076000000}"/>
            </a:ext>
          </a:extLst>
        </xdr:cNvPr>
        <xdr:cNvSpPr/>
      </xdr:nvSpPr>
      <xdr:spPr>
        <a:xfrm>
          <a:off x="708820" y="22109549"/>
          <a:ext cx="925868" cy="384048"/>
        </a:xfrm>
        <a:prstGeom prst="roundRect">
          <a:avLst/>
        </a:prstGeom>
        <a:ln w="12700">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fr-FR" sz="800" b="0">
              <a:solidFill>
                <a:sysClr val="windowText" lastClr="000000"/>
              </a:solidFill>
              <a:latin typeface="Arial" panose="020B0604020202020204" pitchFamily="34" charset="0"/>
              <a:cs typeface="Arial" panose="020B0604020202020204" pitchFamily="34" charset="0"/>
            </a:rPr>
            <a:t>BUCK1</a:t>
          </a:r>
        </a:p>
        <a:p>
          <a:pPr algn="ctr"/>
          <a:r>
            <a:rPr lang="fr-FR" sz="800" b="0">
              <a:solidFill>
                <a:sysClr val="windowText" lastClr="000000"/>
              </a:solidFill>
              <a:latin typeface="Arial" panose="020B0604020202020204" pitchFamily="34" charset="0"/>
              <a:cs typeface="Arial" panose="020B0604020202020204" pitchFamily="34" charset="0"/>
            </a:rPr>
            <a:t>slot:</a:t>
          </a:r>
        </a:p>
      </xdr:txBody>
    </xdr:sp>
    <xdr:clientData/>
  </xdr:twoCellAnchor>
  <xdr:twoCellAnchor>
    <xdr:from>
      <xdr:col>1</xdr:col>
      <xdr:colOff>181282</xdr:colOff>
      <xdr:row>77</xdr:row>
      <xdr:rowOff>132154</xdr:rowOff>
    </xdr:from>
    <xdr:to>
      <xdr:col>3</xdr:col>
      <xdr:colOff>52073</xdr:colOff>
      <xdr:row>80</xdr:row>
      <xdr:rowOff>109294</xdr:rowOff>
    </xdr:to>
    <xdr:sp macro="" textlink="">
      <xdr:nvSpPr>
        <xdr:cNvPr id="119" name="Rectangle: Rounded Corners 118">
          <a:extLst>
            <a:ext uri="{FF2B5EF4-FFF2-40B4-BE49-F238E27FC236}">
              <a16:creationId xmlns:a16="http://schemas.microsoft.com/office/drawing/2014/main" id="{00000000-0008-0000-0100-000077000000}"/>
            </a:ext>
          </a:extLst>
        </xdr:cNvPr>
        <xdr:cNvSpPr/>
      </xdr:nvSpPr>
      <xdr:spPr>
        <a:xfrm>
          <a:off x="708820" y="21973712"/>
          <a:ext cx="925868" cy="548640"/>
        </a:xfrm>
        <a:prstGeom prst="roundRect">
          <a:avLst/>
        </a:prstGeom>
        <a:ln w="12700">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fr-FR" sz="800" b="0">
              <a:solidFill>
                <a:sysClr val="windowText" lastClr="000000"/>
              </a:solidFill>
              <a:latin typeface="Arial" panose="020B0604020202020204" pitchFamily="34" charset="0"/>
              <a:cs typeface="Arial" panose="020B0604020202020204" pitchFamily="34" charset="0"/>
            </a:rPr>
            <a:t>BUCK2</a:t>
          </a:r>
        </a:p>
        <a:p>
          <a:pPr algn="ctr"/>
          <a:r>
            <a:rPr lang="fr-FR" sz="800" b="0">
              <a:solidFill>
                <a:sysClr val="windowText" lastClr="000000"/>
              </a:solidFill>
              <a:latin typeface="Arial" panose="020B0604020202020204" pitchFamily="34" charset="0"/>
              <a:cs typeface="Arial" panose="020B0604020202020204" pitchFamily="34" charset="0"/>
            </a:rPr>
            <a:t>enable:</a:t>
          </a:r>
        </a:p>
        <a:p>
          <a:pPr algn="ctr"/>
          <a:r>
            <a:rPr lang="fr-FR" sz="800" b="0">
              <a:solidFill>
                <a:sysClr val="windowText" lastClr="000000"/>
              </a:solidFill>
              <a:latin typeface="Arial" panose="020B0604020202020204" pitchFamily="34" charset="0"/>
              <a:cs typeface="Arial" panose="020B0604020202020204" pitchFamily="34" charset="0"/>
            </a:rPr>
            <a:t>slot:</a:t>
          </a:r>
        </a:p>
      </xdr:txBody>
    </xdr:sp>
    <xdr:clientData/>
  </xdr:twoCellAnchor>
  <xdr:twoCellAnchor>
    <xdr:from>
      <xdr:col>1</xdr:col>
      <xdr:colOff>181282</xdr:colOff>
      <xdr:row>81</xdr:row>
      <xdr:rowOff>3350</xdr:rowOff>
    </xdr:from>
    <xdr:to>
      <xdr:col>3</xdr:col>
      <xdr:colOff>52073</xdr:colOff>
      <xdr:row>83</xdr:row>
      <xdr:rowOff>170990</xdr:rowOff>
    </xdr:to>
    <xdr:sp macro="" textlink="">
      <xdr:nvSpPr>
        <xdr:cNvPr id="120" name="Rectangle: Rounded Corners 119">
          <a:extLst>
            <a:ext uri="{FF2B5EF4-FFF2-40B4-BE49-F238E27FC236}">
              <a16:creationId xmlns:a16="http://schemas.microsoft.com/office/drawing/2014/main" id="{00000000-0008-0000-0100-000078000000}"/>
            </a:ext>
          </a:extLst>
        </xdr:cNvPr>
        <xdr:cNvSpPr/>
      </xdr:nvSpPr>
      <xdr:spPr>
        <a:xfrm>
          <a:off x="708820" y="22606908"/>
          <a:ext cx="925868" cy="548640"/>
        </a:xfrm>
        <a:prstGeom prst="roundRect">
          <a:avLst/>
        </a:prstGeom>
        <a:ln w="12700">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fr-FR" sz="800" b="0">
              <a:solidFill>
                <a:sysClr val="windowText" lastClr="000000"/>
              </a:solidFill>
              <a:latin typeface="Arial" panose="020B0604020202020204" pitchFamily="34" charset="0"/>
              <a:cs typeface="Arial" panose="020B0604020202020204" pitchFamily="34" charset="0"/>
            </a:rPr>
            <a:t>BUCK3</a:t>
          </a:r>
        </a:p>
        <a:p>
          <a:pPr algn="ctr"/>
          <a:r>
            <a:rPr lang="fr-FR" sz="800" b="0">
              <a:solidFill>
                <a:sysClr val="windowText" lastClr="000000"/>
              </a:solidFill>
              <a:latin typeface="Arial" panose="020B0604020202020204" pitchFamily="34" charset="0"/>
              <a:cs typeface="Arial" panose="020B0604020202020204" pitchFamily="34" charset="0"/>
            </a:rPr>
            <a:t>enable:</a:t>
          </a:r>
        </a:p>
        <a:p>
          <a:pPr algn="ctr"/>
          <a:r>
            <a:rPr lang="fr-FR" sz="800" b="0">
              <a:solidFill>
                <a:sysClr val="windowText" lastClr="000000"/>
              </a:solidFill>
              <a:latin typeface="Arial" panose="020B0604020202020204" pitchFamily="34" charset="0"/>
              <a:cs typeface="Arial" panose="020B0604020202020204" pitchFamily="34" charset="0"/>
            </a:rPr>
            <a:t>slot:</a:t>
          </a:r>
        </a:p>
      </xdr:txBody>
    </xdr:sp>
    <xdr:clientData/>
  </xdr:twoCellAnchor>
  <xdr:twoCellAnchor>
    <xdr:from>
      <xdr:col>1</xdr:col>
      <xdr:colOff>181282</xdr:colOff>
      <xdr:row>72</xdr:row>
      <xdr:rowOff>184022</xdr:rowOff>
    </xdr:from>
    <xdr:to>
      <xdr:col>3</xdr:col>
      <xdr:colOff>52073</xdr:colOff>
      <xdr:row>74</xdr:row>
      <xdr:rowOff>168782</xdr:rowOff>
    </xdr:to>
    <xdr:sp macro="" textlink="">
      <xdr:nvSpPr>
        <xdr:cNvPr id="121" name="Rectangle: Rounded Corners 120">
          <a:extLst>
            <a:ext uri="{FF2B5EF4-FFF2-40B4-BE49-F238E27FC236}">
              <a16:creationId xmlns:a16="http://schemas.microsoft.com/office/drawing/2014/main" id="{00000000-0008-0000-0100-000079000000}"/>
            </a:ext>
          </a:extLst>
        </xdr:cNvPr>
        <xdr:cNvSpPr/>
      </xdr:nvSpPr>
      <xdr:spPr>
        <a:xfrm>
          <a:off x="708820" y="21073080"/>
          <a:ext cx="925868" cy="365760"/>
        </a:xfrm>
        <a:prstGeom prst="roundRect">
          <a:avLst/>
        </a:prstGeom>
        <a:solidFill>
          <a:srgbClr val="58A5D7"/>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800" b="0">
              <a:solidFill>
                <a:sysClr val="windowText" lastClr="000000"/>
              </a:solidFill>
              <a:latin typeface="Arial" panose="020B0604020202020204" pitchFamily="34" charset="0"/>
              <a:cs typeface="Arial" panose="020B0604020202020204" pitchFamily="34" charset="0"/>
            </a:rPr>
            <a:t>VBOOST</a:t>
          </a:r>
        </a:p>
      </xdr:txBody>
    </xdr:sp>
    <xdr:clientData/>
  </xdr:twoCellAnchor>
  <xdr:twoCellAnchor>
    <xdr:from>
      <xdr:col>1</xdr:col>
      <xdr:colOff>181282</xdr:colOff>
      <xdr:row>86</xdr:row>
      <xdr:rowOff>134362</xdr:rowOff>
    </xdr:from>
    <xdr:to>
      <xdr:col>3</xdr:col>
      <xdr:colOff>52073</xdr:colOff>
      <xdr:row>88</xdr:row>
      <xdr:rowOff>137410</xdr:rowOff>
    </xdr:to>
    <xdr:sp macro="" textlink="">
      <xdr:nvSpPr>
        <xdr:cNvPr id="122" name="Rectangle: Rounded Corners 121">
          <a:extLst>
            <a:ext uri="{FF2B5EF4-FFF2-40B4-BE49-F238E27FC236}">
              <a16:creationId xmlns:a16="http://schemas.microsoft.com/office/drawing/2014/main" id="{00000000-0008-0000-0100-00007A000000}"/>
            </a:ext>
          </a:extLst>
        </xdr:cNvPr>
        <xdr:cNvSpPr/>
      </xdr:nvSpPr>
      <xdr:spPr>
        <a:xfrm>
          <a:off x="708820" y="24291227"/>
          <a:ext cx="925868" cy="384048"/>
        </a:xfrm>
        <a:prstGeom prst="roundRect">
          <a:avLst/>
        </a:prstGeom>
        <a:ln w="12700">
          <a:solidFill>
            <a:sysClr val="windowText" lastClr="00000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fr-FR" sz="800" b="0">
              <a:latin typeface="Arial" panose="020B0604020202020204" pitchFamily="34" charset="0"/>
              <a:cs typeface="Arial" panose="020B0604020202020204" pitchFamily="34" charset="0"/>
            </a:rPr>
            <a:t>LDO2</a:t>
          </a:r>
        </a:p>
        <a:p>
          <a:pPr algn="ctr"/>
          <a:r>
            <a:rPr lang="fr-FR" sz="800" b="0">
              <a:latin typeface="Arial" panose="020B0604020202020204" pitchFamily="34" charset="0"/>
              <a:cs typeface="Arial" panose="020B0604020202020204" pitchFamily="34" charset="0"/>
            </a:rPr>
            <a:t>slot:</a:t>
          </a:r>
        </a:p>
      </xdr:txBody>
    </xdr:sp>
    <xdr:clientData/>
  </xdr:twoCellAnchor>
  <xdr:twoCellAnchor>
    <xdr:from>
      <xdr:col>1</xdr:col>
      <xdr:colOff>181282</xdr:colOff>
      <xdr:row>84</xdr:row>
      <xdr:rowOff>50392</xdr:rowOff>
    </xdr:from>
    <xdr:to>
      <xdr:col>3</xdr:col>
      <xdr:colOff>52073</xdr:colOff>
      <xdr:row>86</xdr:row>
      <xdr:rowOff>53440</xdr:rowOff>
    </xdr:to>
    <xdr:sp macro="" textlink="">
      <xdr:nvSpPr>
        <xdr:cNvPr id="123" name="Rectangle: Rounded Corners 122">
          <a:extLst>
            <a:ext uri="{FF2B5EF4-FFF2-40B4-BE49-F238E27FC236}">
              <a16:creationId xmlns:a16="http://schemas.microsoft.com/office/drawing/2014/main" id="{00000000-0008-0000-0100-00007B000000}"/>
            </a:ext>
          </a:extLst>
        </xdr:cNvPr>
        <xdr:cNvSpPr/>
      </xdr:nvSpPr>
      <xdr:spPr>
        <a:xfrm>
          <a:off x="708820" y="23826257"/>
          <a:ext cx="925868" cy="384048"/>
        </a:xfrm>
        <a:prstGeom prst="roundRect">
          <a:avLst/>
        </a:prstGeom>
        <a:ln w="12700">
          <a:solidFill>
            <a:sysClr val="windowText" lastClr="00000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fr-FR" sz="800" b="0">
              <a:latin typeface="Arial" panose="020B0604020202020204" pitchFamily="34" charset="0"/>
              <a:cs typeface="Arial" panose="020B0604020202020204" pitchFamily="34" charset="0"/>
            </a:rPr>
            <a:t>LDO1</a:t>
          </a:r>
        </a:p>
        <a:p>
          <a:pPr algn="ctr"/>
          <a:r>
            <a:rPr lang="fr-FR" sz="800" b="0">
              <a:latin typeface="Arial" panose="020B0604020202020204" pitchFamily="34" charset="0"/>
              <a:cs typeface="Arial" panose="020B0604020202020204" pitchFamily="34" charset="0"/>
            </a:rPr>
            <a:t>slot:</a:t>
          </a:r>
        </a:p>
      </xdr:txBody>
    </xdr:sp>
    <xdr:clientData/>
  </xdr:twoCellAnchor>
  <xdr:twoCellAnchor>
    <xdr:from>
      <xdr:col>9</xdr:col>
      <xdr:colOff>156715</xdr:colOff>
      <xdr:row>70</xdr:row>
      <xdr:rowOff>63417</xdr:rowOff>
    </xdr:from>
    <xdr:to>
      <xdr:col>11</xdr:col>
      <xdr:colOff>27506</xdr:colOff>
      <xdr:row>72</xdr:row>
      <xdr:rowOff>139617</xdr:rowOff>
    </xdr:to>
    <xdr:sp macro="" textlink="H96">
      <xdr:nvSpPr>
        <xdr:cNvPr id="124" name="TextBox 123">
          <a:extLst>
            <a:ext uri="{FF2B5EF4-FFF2-40B4-BE49-F238E27FC236}">
              <a16:creationId xmlns:a16="http://schemas.microsoft.com/office/drawing/2014/main" id="{00000000-0008-0000-0100-00007C000000}"/>
            </a:ext>
          </a:extLst>
        </xdr:cNvPr>
        <xdr:cNvSpPr txBox="1"/>
      </xdr:nvSpPr>
      <xdr:spPr>
        <a:xfrm>
          <a:off x="4904561" y="21172282"/>
          <a:ext cx="925868"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AF87E37-4516-48E8-A5A0-0CC880320508}" type="TxLink">
            <a:rPr lang="en-US" sz="800" b="0" i="0" u="none" strike="noStrike">
              <a:solidFill>
                <a:schemeClr val="tx1"/>
              </a:solidFill>
              <a:latin typeface="Arial"/>
              <a:cs typeface="Arial"/>
            </a:rPr>
            <a:pPr algn="l"/>
            <a:t> 5.0V</a:t>
          </a:fld>
          <a:endParaRPr lang="fr-FR" sz="800" b="0">
            <a:solidFill>
              <a:schemeClr val="tx1"/>
            </a:solidFill>
          </a:endParaRPr>
        </a:p>
      </xdr:txBody>
    </xdr:sp>
    <xdr:clientData/>
  </xdr:twoCellAnchor>
  <xdr:twoCellAnchor>
    <xdr:from>
      <xdr:col>9</xdr:col>
      <xdr:colOff>156715</xdr:colOff>
      <xdr:row>75</xdr:row>
      <xdr:rowOff>1767</xdr:rowOff>
    </xdr:from>
    <xdr:to>
      <xdr:col>11</xdr:col>
      <xdr:colOff>23843</xdr:colOff>
      <xdr:row>77</xdr:row>
      <xdr:rowOff>77967</xdr:rowOff>
    </xdr:to>
    <xdr:sp macro="" textlink="H129">
      <xdr:nvSpPr>
        <xdr:cNvPr id="126" name="TextBox 125">
          <a:extLst>
            <a:ext uri="{FF2B5EF4-FFF2-40B4-BE49-F238E27FC236}">
              <a16:creationId xmlns:a16="http://schemas.microsoft.com/office/drawing/2014/main" id="{00000000-0008-0000-0100-00007E000000}"/>
            </a:ext>
          </a:extLst>
        </xdr:cNvPr>
        <xdr:cNvSpPr txBox="1"/>
      </xdr:nvSpPr>
      <xdr:spPr>
        <a:xfrm>
          <a:off x="4904561" y="22063132"/>
          <a:ext cx="92220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48A87D-7C7D-47FF-85FB-6468328E46BC}" type="TxLink">
            <a:rPr lang="en-US" sz="800" b="0" i="0" u="none" strike="noStrike">
              <a:solidFill>
                <a:schemeClr val="tx1"/>
              </a:solidFill>
              <a:latin typeface="Arial"/>
              <a:cs typeface="Arial"/>
            </a:rPr>
            <a:pPr algn="l"/>
            <a:t> 1.2V</a:t>
          </a:fld>
          <a:endParaRPr lang="fr-FR" sz="800" b="0">
            <a:solidFill>
              <a:schemeClr val="tx1"/>
            </a:solidFill>
          </a:endParaRPr>
        </a:p>
      </xdr:txBody>
    </xdr:sp>
    <xdr:clientData/>
  </xdr:twoCellAnchor>
  <xdr:twoCellAnchor>
    <xdr:from>
      <xdr:col>9</xdr:col>
      <xdr:colOff>156715</xdr:colOff>
      <xdr:row>84</xdr:row>
      <xdr:rowOff>19577</xdr:rowOff>
    </xdr:from>
    <xdr:to>
      <xdr:col>11</xdr:col>
      <xdr:colOff>23843</xdr:colOff>
      <xdr:row>86</xdr:row>
      <xdr:rowOff>95777</xdr:rowOff>
    </xdr:to>
    <xdr:sp macro="" textlink="H178">
      <xdr:nvSpPr>
        <xdr:cNvPr id="129" name="TextBox 128">
          <a:extLst>
            <a:ext uri="{FF2B5EF4-FFF2-40B4-BE49-F238E27FC236}">
              <a16:creationId xmlns:a16="http://schemas.microsoft.com/office/drawing/2014/main" id="{00000000-0008-0000-0100-000081000000}"/>
            </a:ext>
          </a:extLst>
        </xdr:cNvPr>
        <xdr:cNvSpPr txBox="1"/>
      </xdr:nvSpPr>
      <xdr:spPr>
        <a:xfrm>
          <a:off x="4904561" y="23795442"/>
          <a:ext cx="92220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BD9CA1B-25B6-414E-A0DB-F9959AB4E157}" type="TxLink">
            <a:rPr lang="en-US" sz="800" b="0" i="0" u="none" strike="noStrike">
              <a:solidFill>
                <a:schemeClr val="tx1"/>
              </a:solidFill>
              <a:latin typeface="Arial"/>
              <a:cs typeface="Arial"/>
            </a:rPr>
            <a:pPr algn="l"/>
            <a:t> 2.5V</a:t>
          </a:fld>
          <a:endParaRPr lang="fr-FR" sz="800" b="0">
            <a:solidFill>
              <a:schemeClr val="tx1"/>
            </a:solidFill>
          </a:endParaRPr>
        </a:p>
      </xdr:txBody>
    </xdr:sp>
    <xdr:clientData/>
  </xdr:twoCellAnchor>
  <xdr:twoCellAnchor>
    <xdr:from>
      <xdr:col>9</xdr:col>
      <xdr:colOff>156715</xdr:colOff>
      <xdr:row>86</xdr:row>
      <xdr:rowOff>99795</xdr:rowOff>
    </xdr:from>
    <xdr:to>
      <xdr:col>11</xdr:col>
      <xdr:colOff>27506</xdr:colOff>
      <xdr:row>88</xdr:row>
      <xdr:rowOff>175995</xdr:rowOff>
    </xdr:to>
    <xdr:sp macro="" textlink="H182">
      <xdr:nvSpPr>
        <xdr:cNvPr id="130" name="TextBox 129">
          <a:extLst>
            <a:ext uri="{FF2B5EF4-FFF2-40B4-BE49-F238E27FC236}">
              <a16:creationId xmlns:a16="http://schemas.microsoft.com/office/drawing/2014/main" id="{00000000-0008-0000-0100-000082000000}"/>
            </a:ext>
          </a:extLst>
        </xdr:cNvPr>
        <xdr:cNvSpPr txBox="1"/>
      </xdr:nvSpPr>
      <xdr:spPr>
        <a:xfrm>
          <a:off x="4904561" y="24256660"/>
          <a:ext cx="925868"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BE72BDD-45DD-4206-9115-C2EC58F3BA48}" type="TxLink">
            <a:rPr lang="en-US" sz="800" b="0" i="0" u="none" strike="noStrike">
              <a:solidFill>
                <a:schemeClr val="tx1"/>
              </a:solidFill>
              <a:latin typeface="Arial"/>
              <a:cs typeface="Arial"/>
            </a:rPr>
            <a:pPr algn="l"/>
            <a:t> 3.3V</a:t>
          </a:fld>
          <a:endParaRPr lang="fr-FR" sz="800" b="0">
            <a:solidFill>
              <a:schemeClr val="tx1"/>
            </a:solidFill>
          </a:endParaRPr>
        </a:p>
      </xdr:txBody>
    </xdr:sp>
    <xdr:clientData/>
  </xdr:twoCellAnchor>
  <xdr:twoCellAnchor>
    <xdr:from>
      <xdr:col>2</xdr:col>
      <xdr:colOff>158446</xdr:colOff>
      <xdr:row>78</xdr:row>
      <xdr:rowOff>76220</xdr:rowOff>
    </xdr:from>
    <xdr:to>
      <xdr:col>3</xdr:col>
      <xdr:colOff>93842</xdr:colOff>
      <xdr:row>79</xdr:row>
      <xdr:rowOff>160040</xdr:rowOff>
    </xdr:to>
    <xdr:sp macro="" textlink="H138">
      <xdr:nvSpPr>
        <xdr:cNvPr id="131" name="TextBox 130">
          <a:extLst>
            <a:ext uri="{FF2B5EF4-FFF2-40B4-BE49-F238E27FC236}">
              <a16:creationId xmlns:a16="http://schemas.microsoft.com/office/drawing/2014/main" id="{00000000-0008-0000-0100-000083000000}"/>
            </a:ext>
          </a:extLst>
        </xdr:cNvPr>
        <xdr:cNvSpPr txBox="1"/>
      </xdr:nvSpPr>
      <xdr:spPr>
        <a:xfrm>
          <a:off x="1213523" y="22108278"/>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A12890-701A-4EC9-9953-DD69E0E5AB04}" type="TxLink">
            <a:rPr lang="en-US" sz="800" b="0" i="0" u="none" strike="noStrike">
              <a:solidFill>
                <a:srgbClr val="000000"/>
              </a:solidFill>
              <a:latin typeface="Arial" panose="020B0604020202020204" pitchFamily="34" charset="0"/>
              <a:cs typeface="Arial" panose="020B0604020202020204" pitchFamily="34" charset="0"/>
            </a:rPr>
            <a:pPr algn="ctr"/>
            <a:t>Yes</a:t>
          </a:fld>
          <a:endParaRPr lang="fr-FR" sz="800" b="0">
            <a:latin typeface="Arial" panose="020B0604020202020204" pitchFamily="34" charset="0"/>
            <a:cs typeface="Arial" panose="020B0604020202020204" pitchFamily="34" charset="0"/>
          </a:endParaRPr>
        </a:p>
      </xdr:txBody>
    </xdr:sp>
    <xdr:clientData/>
  </xdr:twoCellAnchor>
  <xdr:twoCellAnchor>
    <xdr:from>
      <xdr:col>2</xdr:col>
      <xdr:colOff>158446</xdr:colOff>
      <xdr:row>81</xdr:row>
      <xdr:rowOff>141654</xdr:rowOff>
    </xdr:from>
    <xdr:to>
      <xdr:col>3</xdr:col>
      <xdr:colOff>93842</xdr:colOff>
      <xdr:row>83</xdr:row>
      <xdr:rowOff>34974</xdr:rowOff>
    </xdr:to>
    <xdr:sp macro="" textlink="H167">
      <xdr:nvSpPr>
        <xdr:cNvPr id="132" name="TextBox 131">
          <a:extLst>
            <a:ext uri="{FF2B5EF4-FFF2-40B4-BE49-F238E27FC236}">
              <a16:creationId xmlns:a16="http://schemas.microsoft.com/office/drawing/2014/main" id="{00000000-0008-0000-0100-000084000000}"/>
            </a:ext>
          </a:extLst>
        </xdr:cNvPr>
        <xdr:cNvSpPr txBox="1"/>
      </xdr:nvSpPr>
      <xdr:spPr>
        <a:xfrm>
          <a:off x="1213523" y="22745212"/>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29B95E-BC09-41FE-AE73-91A4B081BB73}" type="TxLink">
            <a:rPr lang="en-US" sz="800" b="0" i="0" u="none" strike="noStrike">
              <a:solidFill>
                <a:srgbClr val="000000"/>
              </a:solidFill>
              <a:latin typeface="Arial" panose="020B0604020202020204" pitchFamily="34" charset="0"/>
              <a:cs typeface="Arial" panose="020B0604020202020204" pitchFamily="34" charset="0"/>
            </a:rPr>
            <a:pPr algn="ctr"/>
            <a:t>Yes</a:t>
          </a:fld>
          <a:endParaRPr lang="fr-FR" sz="800" b="0">
            <a:latin typeface="Arial" panose="020B0604020202020204" pitchFamily="34" charset="0"/>
            <a:cs typeface="Arial" panose="020B0604020202020204" pitchFamily="34" charset="0"/>
          </a:endParaRPr>
        </a:p>
      </xdr:txBody>
    </xdr:sp>
    <xdr:clientData/>
  </xdr:twoCellAnchor>
  <xdr:twoCellAnchor>
    <xdr:from>
      <xdr:col>7</xdr:col>
      <xdr:colOff>234066</xdr:colOff>
      <xdr:row>76</xdr:row>
      <xdr:rowOff>168462</xdr:rowOff>
    </xdr:from>
    <xdr:to>
      <xdr:col>9</xdr:col>
      <xdr:colOff>230755</xdr:colOff>
      <xdr:row>78</xdr:row>
      <xdr:rowOff>69109</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3912687" y="22135083"/>
          <a:ext cx="1047723" cy="281647"/>
          <a:chOff x="1508692" y="21404410"/>
          <a:chExt cx="1047724" cy="281647"/>
        </a:xfrm>
      </xdr:grpSpPr>
      <xdr:sp macro="" textlink="H144">
        <xdr:nvSpPr>
          <xdr:cNvPr id="133" name="TextBox 132">
            <a:extLst>
              <a:ext uri="{FF2B5EF4-FFF2-40B4-BE49-F238E27FC236}">
                <a16:creationId xmlns:a16="http://schemas.microsoft.com/office/drawing/2014/main" id="{00000000-0008-0000-0100-000085000000}"/>
              </a:ext>
            </a:extLst>
          </xdr:cNvPr>
          <xdr:cNvSpPr txBox="1"/>
        </xdr:nvSpPr>
        <xdr:spPr>
          <a:xfrm>
            <a:off x="1896198" y="21411737"/>
            <a:ext cx="660218"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4CBA07-B12E-4E12-8C2D-0E2D09EA17EC}" type="TxLink">
              <a:rPr lang="en-US" sz="800" b="0" i="0" u="none" strike="noStrike">
                <a:solidFill>
                  <a:srgbClr val="000000"/>
                </a:solidFill>
                <a:latin typeface="Arial"/>
                <a:cs typeface="Arial"/>
              </a:rPr>
              <a:pPr algn="ctr"/>
              <a:t>No</a:t>
            </a:fld>
            <a:endParaRPr lang="fr-FR" sz="800" b="0"/>
          </a:p>
        </xdr:txBody>
      </xdr:sp>
      <xdr:sp macro="" textlink="">
        <xdr:nvSpPr>
          <xdr:cNvPr id="134" name="TextBox 133">
            <a:extLst>
              <a:ext uri="{FF2B5EF4-FFF2-40B4-BE49-F238E27FC236}">
                <a16:creationId xmlns:a16="http://schemas.microsoft.com/office/drawing/2014/main" id="{00000000-0008-0000-0100-000086000000}"/>
              </a:ext>
            </a:extLst>
          </xdr:cNvPr>
          <xdr:cNvSpPr txBox="1"/>
        </xdr:nvSpPr>
        <xdr:spPr>
          <a:xfrm>
            <a:off x="1508692" y="21404410"/>
            <a:ext cx="891032"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0" i="0" u="none" strike="noStrike">
                <a:solidFill>
                  <a:srgbClr val="000000"/>
                </a:solidFill>
                <a:latin typeface="Arial"/>
                <a:cs typeface="Arial"/>
              </a:rPr>
              <a:t>Multiphase:</a:t>
            </a:r>
          </a:p>
        </xdr:txBody>
      </xdr:sp>
    </xdr:grpSp>
    <xdr:clientData/>
  </xdr:twoCellAnchor>
  <xdr:twoCellAnchor>
    <xdr:from>
      <xdr:col>2</xdr:col>
      <xdr:colOff>158446</xdr:colOff>
      <xdr:row>75</xdr:row>
      <xdr:rowOff>176195</xdr:rowOff>
    </xdr:from>
    <xdr:to>
      <xdr:col>3</xdr:col>
      <xdr:colOff>93842</xdr:colOff>
      <xdr:row>77</xdr:row>
      <xdr:rowOff>69515</xdr:rowOff>
    </xdr:to>
    <xdr:sp macro="" textlink="N71">
      <xdr:nvSpPr>
        <xdr:cNvPr id="135" name="TextBox 134">
          <a:extLst>
            <a:ext uri="{FF2B5EF4-FFF2-40B4-BE49-F238E27FC236}">
              <a16:creationId xmlns:a16="http://schemas.microsoft.com/office/drawing/2014/main" id="{00000000-0008-0000-0100-000087000000}"/>
            </a:ext>
          </a:extLst>
        </xdr:cNvPr>
        <xdr:cNvSpPr txBox="1"/>
      </xdr:nvSpPr>
      <xdr:spPr>
        <a:xfrm>
          <a:off x="1213523" y="21636753"/>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7265C5-08F1-4D59-850D-23052B6DF877}" type="TxLink">
            <a:rPr lang="en-US" sz="800" b="0" i="0" u="none" strike="noStrike">
              <a:solidFill>
                <a:srgbClr val="000000"/>
              </a:solidFill>
              <a:latin typeface="Arial" panose="020B0604020202020204" pitchFamily="34" charset="0"/>
              <a:cs typeface="Arial" panose="020B0604020202020204" pitchFamily="34" charset="0"/>
            </a:rPr>
            <a:pPr algn="ctr"/>
            <a:t>2</a:t>
          </a:fld>
          <a:endParaRPr lang="fr-FR" sz="800" b="0">
            <a:latin typeface="Arial" panose="020B0604020202020204" pitchFamily="34" charset="0"/>
            <a:cs typeface="Arial" panose="020B0604020202020204" pitchFamily="34" charset="0"/>
          </a:endParaRPr>
        </a:p>
      </xdr:txBody>
    </xdr:sp>
    <xdr:clientData/>
  </xdr:twoCellAnchor>
  <xdr:twoCellAnchor>
    <xdr:from>
      <xdr:col>2</xdr:col>
      <xdr:colOff>158446</xdr:colOff>
      <xdr:row>79</xdr:row>
      <xdr:rowOff>6586</xdr:rowOff>
    </xdr:from>
    <xdr:to>
      <xdr:col>3</xdr:col>
      <xdr:colOff>93842</xdr:colOff>
      <xdr:row>80</xdr:row>
      <xdr:rowOff>90406</xdr:rowOff>
    </xdr:to>
    <xdr:sp macro="" textlink="N72">
      <xdr:nvSpPr>
        <xdr:cNvPr id="136" name="TextBox 135">
          <a:extLst>
            <a:ext uri="{FF2B5EF4-FFF2-40B4-BE49-F238E27FC236}">
              <a16:creationId xmlns:a16="http://schemas.microsoft.com/office/drawing/2014/main" id="{00000000-0008-0000-0100-000088000000}"/>
            </a:ext>
          </a:extLst>
        </xdr:cNvPr>
        <xdr:cNvSpPr txBox="1"/>
      </xdr:nvSpPr>
      <xdr:spPr>
        <a:xfrm>
          <a:off x="1213523" y="22229144"/>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7B5227-8BF3-47B2-B7F1-BBC3F43AB865}" type="TxLink">
            <a:rPr lang="en-US" sz="800" b="0" i="0" u="none" strike="noStrike">
              <a:solidFill>
                <a:srgbClr val="000000"/>
              </a:solidFill>
              <a:latin typeface="Arial" panose="020B0604020202020204" pitchFamily="34" charset="0"/>
              <a:cs typeface="Arial" panose="020B0604020202020204" pitchFamily="34" charset="0"/>
            </a:rPr>
            <a:pPr algn="ctr"/>
            <a:t>SPI</a:t>
          </a:fld>
          <a:endParaRPr lang="fr-FR" sz="800" b="0">
            <a:latin typeface="Arial" panose="020B0604020202020204" pitchFamily="34" charset="0"/>
            <a:cs typeface="Arial" panose="020B0604020202020204" pitchFamily="34" charset="0"/>
          </a:endParaRPr>
        </a:p>
      </xdr:txBody>
    </xdr:sp>
    <xdr:clientData/>
  </xdr:twoCellAnchor>
  <xdr:twoCellAnchor>
    <xdr:from>
      <xdr:col>2</xdr:col>
      <xdr:colOff>158446</xdr:colOff>
      <xdr:row>82</xdr:row>
      <xdr:rowOff>67165</xdr:rowOff>
    </xdr:from>
    <xdr:to>
      <xdr:col>3</xdr:col>
      <xdr:colOff>93842</xdr:colOff>
      <xdr:row>83</xdr:row>
      <xdr:rowOff>150985</xdr:rowOff>
    </xdr:to>
    <xdr:sp macro="" textlink="N73">
      <xdr:nvSpPr>
        <xdr:cNvPr id="137" name="TextBox 136">
          <a:extLst>
            <a:ext uri="{FF2B5EF4-FFF2-40B4-BE49-F238E27FC236}">
              <a16:creationId xmlns:a16="http://schemas.microsoft.com/office/drawing/2014/main" id="{00000000-0008-0000-0100-000089000000}"/>
            </a:ext>
          </a:extLst>
        </xdr:cNvPr>
        <xdr:cNvSpPr txBox="1"/>
      </xdr:nvSpPr>
      <xdr:spPr>
        <a:xfrm>
          <a:off x="1213523" y="22861223"/>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E2AD9A-34DB-4684-9619-D154A3B21452}" type="TxLink">
            <a:rPr lang="en-US" sz="800" b="0" i="0" u="none" strike="noStrike">
              <a:solidFill>
                <a:srgbClr val="000000"/>
              </a:solidFill>
              <a:latin typeface="Arial" panose="020B0604020202020204" pitchFamily="34" charset="0"/>
              <a:cs typeface="Arial" panose="020B0604020202020204" pitchFamily="34" charset="0"/>
            </a:rPr>
            <a:pPr algn="ctr"/>
            <a:t>2</a:t>
          </a:fld>
          <a:endParaRPr lang="fr-FR" sz="800" b="0">
            <a:latin typeface="Arial" panose="020B0604020202020204" pitchFamily="34" charset="0"/>
            <a:cs typeface="Arial" panose="020B0604020202020204" pitchFamily="34" charset="0"/>
          </a:endParaRPr>
        </a:p>
      </xdr:txBody>
    </xdr:sp>
    <xdr:clientData/>
  </xdr:twoCellAnchor>
  <xdr:twoCellAnchor>
    <xdr:from>
      <xdr:col>2</xdr:col>
      <xdr:colOff>158446</xdr:colOff>
      <xdr:row>84</xdr:row>
      <xdr:rowOff>155932</xdr:rowOff>
    </xdr:from>
    <xdr:to>
      <xdr:col>3</xdr:col>
      <xdr:colOff>93842</xdr:colOff>
      <xdr:row>86</xdr:row>
      <xdr:rowOff>49252</xdr:rowOff>
    </xdr:to>
    <xdr:sp macro="" textlink="N74">
      <xdr:nvSpPr>
        <xdr:cNvPr id="138" name="TextBox 137">
          <a:extLst>
            <a:ext uri="{FF2B5EF4-FFF2-40B4-BE49-F238E27FC236}">
              <a16:creationId xmlns:a16="http://schemas.microsoft.com/office/drawing/2014/main" id="{00000000-0008-0000-0100-00008A000000}"/>
            </a:ext>
          </a:extLst>
        </xdr:cNvPr>
        <xdr:cNvSpPr txBox="1"/>
      </xdr:nvSpPr>
      <xdr:spPr>
        <a:xfrm>
          <a:off x="1213523" y="23931797"/>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8E24EE-FB13-47CF-9AC9-CC4CF7E72110}" type="TxLink">
            <a:rPr lang="en-US" sz="800" b="0" i="0" u="none" strike="noStrike">
              <a:solidFill>
                <a:srgbClr val="000000"/>
              </a:solidFill>
              <a:latin typeface="Arial" panose="020B0604020202020204" pitchFamily="34" charset="0"/>
              <a:cs typeface="Arial" panose="020B0604020202020204" pitchFamily="34" charset="0"/>
            </a:rPr>
            <a:pPr algn="ctr"/>
            <a:t>SPI</a:t>
          </a:fld>
          <a:endParaRPr lang="fr-FR" sz="800" b="0">
            <a:latin typeface="Arial" panose="020B0604020202020204" pitchFamily="34" charset="0"/>
            <a:cs typeface="Arial" panose="020B0604020202020204" pitchFamily="34" charset="0"/>
          </a:endParaRPr>
        </a:p>
      </xdr:txBody>
    </xdr:sp>
    <xdr:clientData/>
  </xdr:twoCellAnchor>
  <xdr:twoCellAnchor>
    <xdr:from>
      <xdr:col>2</xdr:col>
      <xdr:colOff>158446</xdr:colOff>
      <xdr:row>87</xdr:row>
      <xdr:rowOff>50295</xdr:rowOff>
    </xdr:from>
    <xdr:to>
      <xdr:col>3</xdr:col>
      <xdr:colOff>93842</xdr:colOff>
      <xdr:row>88</xdr:row>
      <xdr:rowOff>134115</xdr:rowOff>
    </xdr:to>
    <xdr:sp macro="" textlink="N75">
      <xdr:nvSpPr>
        <xdr:cNvPr id="139" name="TextBox 138">
          <a:extLst>
            <a:ext uri="{FF2B5EF4-FFF2-40B4-BE49-F238E27FC236}">
              <a16:creationId xmlns:a16="http://schemas.microsoft.com/office/drawing/2014/main" id="{00000000-0008-0000-0100-00008B000000}"/>
            </a:ext>
          </a:extLst>
        </xdr:cNvPr>
        <xdr:cNvSpPr txBox="1"/>
      </xdr:nvSpPr>
      <xdr:spPr>
        <a:xfrm>
          <a:off x="1213523" y="23796853"/>
          <a:ext cx="4629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8B9AF8-0461-425A-BC10-3A4A5DCAC106}" type="TxLink">
            <a:rPr lang="en-US" sz="800" b="0" i="0" u="none" strike="noStrike">
              <a:solidFill>
                <a:srgbClr val="000000"/>
              </a:solidFill>
              <a:latin typeface="Arial" panose="020B0604020202020204" pitchFamily="34" charset="0"/>
              <a:cs typeface="Arial" panose="020B0604020202020204" pitchFamily="34" charset="0"/>
            </a:rPr>
            <a:pPr algn="ctr"/>
            <a:t>SPI</a:t>
          </a:fld>
          <a:endParaRPr lang="fr-FR" sz="800" b="0">
            <a:latin typeface="Arial" panose="020B0604020202020204" pitchFamily="34" charset="0"/>
            <a:cs typeface="Arial" panose="020B0604020202020204" pitchFamily="34" charset="0"/>
          </a:endParaRPr>
        </a:p>
      </xdr:txBody>
    </xdr:sp>
    <xdr:clientData/>
  </xdr:twoCellAnchor>
  <xdr:twoCellAnchor>
    <xdr:from>
      <xdr:col>7</xdr:col>
      <xdr:colOff>17482</xdr:colOff>
      <xdr:row>76</xdr:row>
      <xdr:rowOff>33652</xdr:rowOff>
    </xdr:from>
    <xdr:to>
      <xdr:col>7</xdr:col>
      <xdr:colOff>291802</xdr:colOff>
      <xdr:row>79</xdr:row>
      <xdr:rowOff>19936</xdr:rowOff>
    </xdr:to>
    <xdr:sp macro="" textlink="">
      <xdr:nvSpPr>
        <xdr:cNvPr id="140" name="Right Brace 139">
          <a:extLst>
            <a:ext uri="{FF2B5EF4-FFF2-40B4-BE49-F238E27FC236}">
              <a16:creationId xmlns:a16="http://schemas.microsoft.com/office/drawing/2014/main" id="{00000000-0008-0000-0100-00008C000000}"/>
            </a:ext>
          </a:extLst>
        </xdr:cNvPr>
        <xdr:cNvSpPr/>
      </xdr:nvSpPr>
      <xdr:spPr>
        <a:xfrm>
          <a:off x="3710251" y="21684710"/>
          <a:ext cx="274320" cy="557784"/>
        </a:xfrm>
        <a:prstGeom prst="rightBrace">
          <a:avLst/>
        </a:prstGeom>
        <a:ln w="12700">
          <a:solidFill>
            <a:sysClr val="windowText" lastClr="000000"/>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700">
            <a:latin typeface="Arial" panose="020B0604020202020204" pitchFamily="34" charset="0"/>
            <a:cs typeface="Arial" panose="020B0604020202020204" pitchFamily="34" charset="0"/>
          </a:endParaRPr>
        </a:p>
      </xdr:txBody>
    </xdr:sp>
    <xdr:clientData/>
  </xdr:twoCellAnchor>
  <xdr:twoCellAnchor>
    <xdr:from>
      <xdr:col>1</xdr:col>
      <xdr:colOff>18700</xdr:colOff>
      <xdr:row>69</xdr:row>
      <xdr:rowOff>25266</xdr:rowOff>
    </xdr:from>
    <xdr:to>
      <xdr:col>4</xdr:col>
      <xdr:colOff>242043</xdr:colOff>
      <xdr:row>70</xdr:row>
      <xdr:rowOff>64680</xdr:rowOff>
    </xdr:to>
    <xdr:sp macro="" textlink="N5">
      <xdr:nvSpPr>
        <xdr:cNvPr id="12" name="TextBox 11">
          <a:extLst>
            <a:ext uri="{FF2B5EF4-FFF2-40B4-BE49-F238E27FC236}">
              <a16:creationId xmlns:a16="http://schemas.microsoft.com/office/drawing/2014/main" id="{00000000-0008-0000-0100-00000C000000}"/>
            </a:ext>
          </a:extLst>
        </xdr:cNvPr>
        <xdr:cNvSpPr txBox="1"/>
      </xdr:nvSpPr>
      <xdr:spPr>
        <a:xfrm>
          <a:off x="546238" y="20342824"/>
          <a:ext cx="1805959" cy="229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87FEFD-D16E-4145-803E-1CE5BDBE3CA5}" type="TxLink">
            <a:rPr lang="en-US" sz="1000" b="1" i="0" u="none" strike="noStrike">
              <a:solidFill>
                <a:srgbClr val="000000"/>
              </a:solidFill>
              <a:latin typeface="Arial" panose="020B0604020202020204" pitchFamily="34" charset="0"/>
              <a:cs typeface="Arial" panose="020B0604020202020204" pitchFamily="34" charset="0"/>
            </a:rPr>
            <a:pPr algn="ctr"/>
            <a:t>PC33FS8530A0ES</a:t>
          </a:fld>
          <a:endParaRPr lang="fr-FR" sz="1000" b="1">
            <a:latin typeface="Arial" panose="020B0604020202020204" pitchFamily="34" charset="0"/>
            <a:cs typeface="Arial" panose="020B0604020202020204" pitchFamily="34" charset="0"/>
          </a:endParaRPr>
        </a:p>
      </xdr:txBody>
    </xdr:sp>
    <xdr:clientData/>
  </xdr:twoCellAnchor>
  <xdr:twoCellAnchor editAs="oneCell">
    <xdr:from>
      <xdr:col>0</xdr:col>
      <xdr:colOff>102577</xdr:colOff>
      <xdr:row>316</xdr:row>
      <xdr:rowOff>68733</xdr:rowOff>
    </xdr:from>
    <xdr:to>
      <xdr:col>5</xdr:col>
      <xdr:colOff>403406</xdr:colOff>
      <xdr:row>320</xdr:row>
      <xdr:rowOff>173095</xdr:rowOff>
    </xdr:to>
    <xdr:sp macro="" textlink="">
      <xdr:nvSpPr>
        <xdr:cNvPr id="193" name="TextBox 192">
          <a:extLst>
            <a:ext uri="{FF2B5EF4-FFF2-40B4-BE49-F238E27FC236}">
              <a16:creationId xmlns:a16="http://schemas.microsoft.com/office/drawing/2014/main" id="{00000000-0008-0000-0100-0000C1000000}"/>
            </a:ext>
          </a:extLst>
        </xdr:cNvPr>
        <xdr:cNvSpPr txBox="1"/>
      </xdr:nvSpPr>
      <xdr:spPr>
        <a:xfrm>
          <a:off x="102577" y="60948137"/>
          <a:ext cx="2928361" cy="866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 rtlCol="0" anchor="t"/>
        <a:lstStyle/>
        <a:p>
          <a:r>
            <a:rPr lang="en-US" sz="750" b="1" i="0" u="none" strike="noStrike" baseline="0">
              <a:solidFill>
                <a:schemeClr val="dk1"/>
              </a:solidFill>
              <a:latin typeface="Arial" panose="020B0604020202020204" pitchFamily="34" charset="0"/>
              <a:ea typeface="+mn-ea"/>
              <a:cs typeface="Arial" panose="020B0604020202020204" pitchFamily="34" charset="0"/>
            </a:rPr>
            <a:t>Draft </a:t>
          </a:r>
          <a:r>
            <a:rPr lang="en-US" sz="750" b="0" i="0" u="none" strike="noStrike" baseline="0">
              <a:solidFill>
                <a:schemeClr val="dk1"/>
              </a:solidFill>
              <a:latin typeface="Arial" panose="020B0604020202020204" pitchFamily="34" charset="0"/>
              <a:ea typeface="+mn-ea"/>
              <a:cs typeface="Arial" panose="020B0604020202020204" pitchFamily="34" charset="0"/>
            </a:rPr>
            <a:t>— The document is a draft version only. The content is still under internal review and subject to formal approval, which may result in modifications or additions. NXP Semiconductors does not give any representations or warra nties as to the accuracy or completeness of information included herein and shall have no liability for the consequences of use of such information.</a:t>
          </a:r>
          <a:endParaRPr lang="en-US" sz="750">
            <a:latin typeface="Arial" panose="020B0604020202020204" pitchFamily="34" charset="0"/>
            <a:cs typeface="Arial" panose="020B0604020202020204" pitchFamily="34" charset="0"/>
          </a:endParaRPr>
        </a:p>
      </xdr:txBody>
    </xdr:sp>
    <xdr:clientData/>
  </xdr:twoCellAnchor>
  <xdr:twoCellAnchor editAs="oneCell">
    <xdr:from>
      <xdr:col>6</xdr:col>
      <xdr:colOff>111702</xdr:colOff>
      <xdr:row>315</xdr:row>
      <xdr:rowOff>91106</xdr:rowOff>
    </xdr:from>
    <xdr:to>
      <xdr:col>11</xdr:col>
      <xdr:colOff>417635</xdr:colOff>
      <xdr:row>349</xdr:row>
      <xdr:rowOff>139797</xdr:rowOff>
    </xdr:to>
    <xdr:sp macro="" textlink="">
      <xdr:nvSpPr>
        <xdr:cNvPr id="194" name="TextBox 193">
          <a:extLst>
            <a:ext uri="{FF2B5EF4-FFF2-40B4-BE49-F238E27FC236}">
              <a16:creationId xmlns:a16="http://schemas.microsoft.com/office/drawing/2014/main" id="{00000000-0008-0000-0100-0000C2000000}"/>
            </a:ext>
          </a:extLst>
        </xdr:cNvPr>
        <xdr:cNvSpPr txBox="1"/>
      </xdr:nvSpPr>
      <xdr:spPr>
        <a:xfrm>
          <a:off x="3276933" y="60780010"/>
          <a:ext cx="2943625" cy="651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Ins="18288" rtlCol="0" anchor="t"/>
        <a:lstStyle/>
        <a:p>
          <a:r>
            <a:rPr lang="en-US" sz="750" b="0" i="0" u="none" strike="noStrike" baseline="0">
              <a:solidFill>
                <a:schemeClr val="dk1"/>
              </a:solidFill>
              <a:latin typeface="Arial" panose="020B0604020202020204" pitchFamily="34" charset="0"/>
              <a:ea typeface="+mn-ea"/>
              <a:cs typeface="Arial" panose="020B0604020202020204" pitchFamily="34" charset="0"/>
            </a:rPr>
            <a:t>their applications and products. NXP Semiconductors does not accept any liability related to any default, damage, costs or problem which is based on any weakness or default in the customer’s applications or products, or the application or use by customer’s third party customer(s). Customer is responsible for doing all necessary testing for the customer’s applications and products using NXP Semiconductors products in order to avoid a default of the applications and the products or of the application or use by customer’s third party customer(s). NXP does not accept any liability in this respect.</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Limiting values </a:t>
          </a:r>
          <a:r>
            <a:rPr lang="en-US" sz="750" b="0" i="0" u="none" strike="noStrike" baseline="0">
              <a:solidFill>
                <a:schemeClr val="dk1"/>
              </a:solidFill>
              <a:latin typeface="Arial" panose="020B0604020202020204" pitchFamily="34" charset="0"/>
              <a:ea typeface="+mn-ea"/>
              <a:cs typeface="Arial" panose="020B0604020202020204" pitchFamily="34" charset="0"/>
            </a:rPr>
            <a:t>— Stress above one or more limiting values (as defined in the Absolute Maximum Ratings System of IEC 60134) will cause permanent damage to the device. Limiting values are stress ratings only and (proper) operation of the device at these or any other conditions above those given in the Recommended operating conditions section (if present) or the Characteristics sections of this document is not warranted. Constant or repeated exposure to limiting values will permanently and irreversibly affect the quality and reliability of the device.</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Terms and conditions of commercial sale </a:t>
          </a:r>
          <a:r>
            <a:rPr lang="en-US" sz="750" b="0" i="0" u="none" strike="noStrike" baseline="0">
              <a:solidFill>
                <a:schemeClr val="dk1"/>
              </a:solidFill>
              <a:latin typeface="Arial" panose="020B0604020202020204" pitchFamily="34" charset="0"/>
              <a:ea typeface="+mn-ea"/>
              <a:cs typeface="Arial" panose="020B0604020202020204" pitchFamily="34" charset="0"/>
            </a:rPr>
            <a:t>— NXP Semiconductors products are sold subject to the general terms and conditions of commercial sale, as published at http://www.nxp.com/profile/terms, unless otherwise agreed in a valid written individual agreement. In case an individual agreement is concluded only the terms and conditions of the respective agreement shall apply. NXP Semiconductors hereby expressly objects to applying the customer’s general terms and conditions with regard to the purchase of NXP Semiconductors products by customer.</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No offer to sell or license </a:t>
          </a:r>
          <a:r>
            <a:rPr lang="en-US" sz="750" b="0" i="0" u="none" strike="noStrike" baseline="0">
              <a:solidFill>
                <a:schemeClr val="dk1"/>
              </a:solidFill>
              <a:latin typeface="Arial" panose="020B0604020202020204" pitchFamily="34" charset="0"/>
              <a:ea typeface="+mn-ea"/>
              <a:cs typeface="Arial" panose="020B0604020202020204" pitchFamily="34" charset="0"/>
            </a:rPr>
            <a:t>— Nothing in this document may be interpreted or construed as an offer to sell products that is open for acceptance or the grant, conveyance or implication of any license under any copyrights, patents or other industrial or intellectual property rights.</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Suitability for use in automotive applications </a:t>
          </a:r>
          <a:r>
            <a:rPr lang="en-US" sz="750" b="0" i="0" u="none" strike="noStrike" baseline="0">
              <a:solidFill>
                <a:schemeClr val="dk1"/>
              </a:solidFill>
              <a:latin typeface="Arial" panose="020B0604020202020204" pitchFamily="34" charset="0"/>
              <a:ea typeface="+mn-ea"/>
              <a:cs typeface="Arial" panose="020B0604020202020204" pitchFamily="34" charset="0"/>
            </a:rPr>
            <a:t>— This NXP  Semiconductors product has been qualified for use in automotive applications. Unless otherwise agreed in writing, the product is not designed, authorized or warranted to be suitable for use in life support, life-critical or safety-critical systems or equipment, nor in applications where failure or malfunction of an NXP Semiconductors product can reasonably be expected to result in personal injury, death or severe property or environmental damage. NXP Semiconductors and its suppliers accept no liability for inclusion and/or use of NXP Semiconductors products in such equipment or applications and therefore such inclusion and/or use is at the customer's own risk.</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Export control </a:t>
          </a:r>
          <a:r>
            <a:rPr lang="en-US" sz="750" b="0" i="0" u="none" strike="noStrike" baseline="0">
              <a:solidFill>
                <a:schemeClr val="dk1"/>
              </a:solidFill>
              <a:latin typeface="Arial" panose="020B0604020202020204" pitchFamily="34" charset="0"/>
              <a:ea typeface="+mn-ea"/>
              <a:cs typeface="Arial" panose="020B0604020202020204" pitchFamily="34" charset="0"/>
            </a:rPr>
            <a:t>— This document as well as the item(s) described herein may be subject to export control regulations. Export might require a prior authorization from competent authorities.</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Translations </a:t>
          </a:r>
          <a:r>
            <a:rPr lang="en-US" sz="750" b="0" i="0" u="none" strike="noStrike" baseline="0">
              <a:solidFill>
                <a:schemeClr val="dk1"/>
              </a:solidFill>
              <a:latin typeface="Arial" panose="020B0604020202020204" pitchFamily="34" charset="0"/>
              <a:ea typeface="+mn-ea"/>
              <a:cs typeface="Arial" panose="020B0604020202020204" pitchFamily="34" charset="0"/>
            </a:rPr>
            <a:t>— A non-English (translated) version of a document is for reference only. The English version shall prevail in case of any discrepancy between the translated and English versions.</a:t>
          </a:r>
          <a:endParaRPr lang="en-US" sz="750">
            <a:latin typeface="Arial" panose="020B0604020202020204" pitchFamily="34" charset="0"/>
            <a:cs typeface="Arial" panose="020B0604020202020204" pitchFamily="34" charset="0"/>
          </a:endParaRPr>
        </a:p>
      </xdr:txBody>
    </xdr:sp>
    <xdr:clientData/>
  </xdr:twoCellAnchor>
  <xdr:twoCellAnchor editAs="oneCell">
    <xdr:from>
      <xdr:col>0</xdr:col>
      <xdr:colOff>74547</xdr:colOff>
      <xdr:row>315</xdr:row>
      <xdr:rowOff>62059</xdr:rowOff>
    </xdr:from>
    <xdr:to>
      <xdr:col>5</xdr:col>
      <xdr:colOff>481106</xdr:colOff>
      <xdr:row>316</xdr:row>
      <xdr:rowOff>112123</xdr:rowOff>
    </xdr:to>
    <xdr:sp macro="" textlink="">
      <xdr:nvSpPr>
        <xdr:cNvPr id="195" name="TextBox 194">
          <a:extLst>
            <a:ext uri="{FF2B5EF4-FFF2-40B4-BE49-F238E27FC236}">
              <a16:creationId xmlns:a16="http://schemas.microsoft.com/office/drawing/2014/main" id="{00000000-0008-0000-0100-0000C3000000}"/>
            </a:ext>
          </a:extLst>
        </xdr:cNvPr>
        <xdr:cNvSpPr txBox="1"/>
      </xdr:nvSpPr>
      <xdr:spPr>
        <a:xfrm>
          <a:off x="74547" y="57626189"/>
          <a:ext cx="3015581" cy="240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8.1 Definitions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lientData/>
  </xdr:twoCellAnchor>
  <xdr:twoCellAnchor editAs="oneCell">
    <xdr:from>
      <xdr:col>0</xdr:col>
      <xdr:colOff>109903</xdr:colOff>
      <xdr:row>323</xdr:row>
      <xdr:rowOff>31874</xdr:rowOff>
    </xdr:from>
    <xdr:to>
      <xdr:col>5</xdr:col>
      <xdr:colOff>383902</xdr:colOff>
      <xdr:row>354</xdr:row>
      <xdr:rowOff>25403</xdr:rowOff>
    </xdr:to>
    <xdr:sp macro="" textlink="">
      <xdr:nvSpPr>
        <xdr:cNvPr id="196" name="TextBox 195">
          <a:extLst>
            <a:ext uri="{FF2B5EF4-FFF2-40B4-BE49-F238E27FC236}">
              <a16:creationId xmlns:a16="http://schemas.microsoft.com/office/drawing/2014/main" id="{00000000-0008-0000-0100-0000C4000000}"/>
            </a:ext>
          </a:extLst>
        </xdr:cNvPr>
        <xdr:cNvSpPr txBox="1"/>
      </xdr:nvSpPr>
      <xdr:spPr>
        <a:xfrm>
          <a:off x="109903" y="62244778"/>
          <a:ext cx="2911691" cy="5906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 rtlCol="0" anchor="t"/>
        <a:lstStyle/>
        <a:p>
          <a:r>
            <a:rPr lang="en-US" sz="750" b="1" i="0" u="none" strike="noStrike" baseline="0">
              <a:solidFill>
                <a:schemeClr val="dk1"/>
              </a:solidFill>
              <a:latin typeface="Arial" panose="020B0604020202020204" pitchFamily="34" charset="0"/>
              <a:ea typeface="+mn-ea"/>
              <a:cs typeface="Arial" panose="020B0604020202020204" pitchFamily="34" charset="0"/>
            </a:rPr>
            <a:t>Limited warranty and liability </a:t>
          </a:r>
          <a:r>
            <a:rPr lang="en-US" sz="750" b="0" i="0" u="none" strike="noStrike" baseline="0">
              <a:solidFill>
                <a:schemeClr val="dk1"/>
              </a:solidFill>
              <a:latin typeface="Arial" panose="020B0604020202020204" pitchFamily="34" charset="0"/>
              <a:ea typeface="+mn-ea"/>
              <a:cs typeface="Arial" panose="020B0604020202020204" pitchFamily="34" charset="0"/>
            </a:rPr>
            <a:t>— Information in this document is believed to be accurate and reliable. However, NXP Semiconductors does not give any representations or warranties, expressed or implied, as to the accuracy or completeness of such information and shall have no liability for the consequences of use of such information. NXP Semiconductors takes no responsibility for the content in this document if provided by an information source outside of NXP Semiconductors. In no event shall NXP Semiconductors be liable for any indirect, incidental, punitive, special or consequential damages (including - without limitation - lost profits, lost savings, business interruption, costs related to the removal or replacement of any products or rework charges) whether or not such damages are based on tort (including negligence), warranty, breach of contract or any other legal theory. Notwithstanding any damages that customer might incur for any reason whatsoever, NXP Semiconductors’ aggregate and cumulative liability towards customer for the products described herein shall be limited in accordance with the Terms and conditions of commercial sale of NXP Semiconductors.</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Right to make changes </a:t>
          </a:r>
          <a:r>
            <a:rPr lang="en-US" sz="750" b="0" i="0" u="none" strike="noStrike" baseline="0">
              <a:solidFill>
                <a:schemeClr val="dk1"/>
              </a:solidFill>
              <a:latin typeface="Arial" panose="020B0604020202020204" pitchFamily="34" charset="0"/>
              <a:ea typeface="+mn-ea"/>
              <a:cs typeface="Arial" panose="020B0604020202020204" pitchFamily="34" charset="0"/>
            </a:rPr>
            <a:t>— NXP Semiconductors reserves the right to make changes to information published in this document, including  ithout limitation specifications and product descriptions, at any time and without notice. This document supersedes and replaces all information supplied prior to the publication hereof.</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Suitability for use </a:t>
          </a:r>
          <a:r>
            <a:rPr lang="en-US" sz="750" b="0" i="0" u="none" strike="noStrike" baseline="0">
              <a:solidFill>
                <a:schemeClr val="dk1"/>
              </a:solidFill>
              <a:latin typeface="Arial" panose="020B0604020202020204" pitchFamily="34" charset="0"/>
              <a:ea typeface="+mn-ea"/>
              <a:cs typeface="Arial" panose="020B0604020202020204" pitchFamily="34" charset="0"/>
            </a:rPr>
            <a:t>— NXP Semiconductors products are not designed, authorized or warranted to be suitable for use in life support, life-critical or safety-critical systems or equipment, nor in applications where failure or malfunction of an NXP Semiconductors product can reasonably be expected to result in personal injury, death or severe property or environmental damage. NXP Semiconductors and its suppliers accept no liability for inclusion and/or use of NXP Semiconductors products in such equipment or applications and therefore such inclusion and/or use is at the customer’s own risk.</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Applications </a:t>
          </a:r>
          <a:r>
            <a:rPr lang="en-US" sz="750" b="0" i="0" u="none" strike="noStrike" baseline="0">
              <a:solidFill>
                <a:schemeClr val="dk1"/>
              </a:solidFill>
              <a:latin typeface="Arial" panose="020B0604020202020204" pitchFamily="34" charset="0"/>
              <a:ea typeface="+mn-ea"/>
              <a:cs typeface="Arial" panose="020B0604020202020204" pitchFamily="34" charset="0"/>
            </a:rPr>
            <a:t>— Applications that are described herein for any of these products are for illustrative purposes only. NXP Semiconductors makes no representation or warranty that such applications will be suitable for the specified use without further testing or modification. Customers are responsible for the design and operation of their applications and products using NXP Semiconductors products, and NXP Semiconductors accepts no liability for any assistance with applications or customer product design. It is customer’s sole responsibility to determine whether the NXP Semiconductors product is suitable and fit for the customer’s applications and products planned, as well as for the planned application and use of customer’s third party customer(s). Customers should provide appropriate design and operating safeguards to minimize the risks associated with</a:t>
          </a:r>
          <a:endParaRPr lang="en-US" sz="750">
            <a:latin typeface="Arial" panose="020B0604020202020204" pitchFamily="34" charset="0"/>
            <a:cs typeface="Arial" panose="020B0604020202020204" pitchFamily="34" charset="0"/>
          </a:endParaRPr>
        </a:p>
      </xdr:txBody>
    </xdr:sp>
    <xdr:clientData/>
  </xdr:twoCellAnchor>
  <xdr:twoCellAnchor editAs="oneCell">
    <xdr:from>
      <xdr:col>0</xdr:col>
      <xdr:colOff>74547</xdr:colOff>
      <xdr:row>322</xdr:row>
      <xdr:rowOff>4066</xdr:rowOff>
    </xdr:from>
    <xdr:to>
      <xdr:col>5</xdr:col>
      <xdr:colOff>481106</xdr:colOff>
      <xdr:row>323</xdr:row>
      <xdr:rowOff>61909</xdr:rowOff>
    </xdr:to>
    <xdr:sp macro="" textlink="">
      <xdr:nvSpPr>
        <xdr:cNvPr id="197" name="TextBox 196">
          <a:extLst>
            <a:ext uri="{FF2B5EF4-FFF2-40B4-BE49-F238E27FC236}">
              <a16:creationId xmlns:a16="http://schemas.microsoft.com/office/drawing/2014/main" id="{00000000-0008-0000-0100-0000C5000000}"/>
            </a:ext>
          </a:extLst>
        </xdr:cNvPr>
        <xdr:cNvSpPr txBox="1"/>
      </xdr:nvSpPr>
      <xdr:spPr>
        <a:xfrm>
          <a:off x="74547" y="58901696"/>
          <a:ext cx="3015581" cy="241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8.2 Disclaimers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lientData/>
  </xdr:twoCellAnchor>
  <xdr:twoCellAnchor editAs="oneCell">
    <xdr:from>
      <xdr:col>6</xdr:col>
      <xdr:colOff>111702</xdr:colOff>
      <xdr:row>349</xdr:row>
      <xdr:rowOff>108804</xdr:rowOff>
    </xdr:from>
    <xdr:to>
      <xdr:col>11</xdr:col>
      <xdr:colOff>520280</xdr:colOff>
      <xdr:row>350</xdr:row>
      <xdr:rowOff>172840</xdr:rowOff>
    </xdr:to>
    <xdr:sp macro="" textlink="">
      <xdr:nvSpPr>
        <xdr:cNvPr id="198" name="TextBox 197">
          <a:extLst>
            <a:ext uri="{FF2B5EF4-FFF2-40B4-BE49-F238E27FC236}">
              <a16:creationId xmlns:a16="http://schemas.microsoft.com/office/drawing/2014/main" id="{00000000-0008-0000-0100-0000C6000000}"/>
            </a:ext>
          </a:extLst>
        </xdr:cNvPr>
        <xdr:cNvSpPr txBox="1"/>
      </xdr:nvSpPr>
      <xdr:spPr>
        <a:xfrm>
          <a:off x="3242528" y="64149934"/>
          <a:ext cx="3006170" cy="240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8.3</a:t>
          </a:r>
          <a:r>
            <a:rPr lang="en-US" sz="1400" b="1" i="0" u="none" strike="noStrike" baseline="0">
              <a:ln>
                <a:noFill/>
              </a:ln>
              <a:solidFill>
                <a:srgbClr val="003883"/>
              </a:solidFill>
              <a:latin typeface="Arial" panose="020B0604020202020204" pitchFamily="34" charset="0"/>
              <a:cs typeface="Arial" panose="020B0604020202020204" pitchFamily="34" charset="0"/>
            </a:rPr>
            <a:t> Trademarks</a:t>
          </a:r>
        </a:p>
      </xdr:txBody>
    </xdr:sp>
    <xdr:clientData/>
  </xdr:twoCellAnchor>
  <xdr:twoCellAnchor editAs="oneCell">
    <xdr:from>
      <xdr:col>6</xdr:col>
      <xdr:colOff>111702</xdr:colOff>
      <xdr:row>350</xdr:row>
      <xdr:rowOff>134528</xdr:rowOff>
    </xdr:from>
    <xdr:to>
      <xdr:col>11</xdr:col>
      <xdr:colOff>480663</xdr:colOff>
      <xdr:row>353</xdr:row>
      <xdr:rowOff>174838</xdr:rowOff>
    </xdr:to>
    <xdr:sp macro="" textlink="">
      <xdr:nvSpPr>
        <xdr:cNvPr id="199" name="TextBox 198">
          <a:extLst>
            <a:ext uri="{FF2B5EF4-FFF2-40B4-BE49-F238E27FC236}">
              <a16:creationId xmlns:a16="http://schemas.microsoft.com/office/drawing/2014/main" id="{00000000-0008-0000-0100-0000C7000000}"/>
            </a:ext>
          </a:extLst>
        </xdr:cNvPr>
        <xdr:cNvSpPr txBox="1"/>
      </xdr:nvSpPr>
      <xdr:spPr>
        <a:xfrm>
          <a:off x="3242528" y="64366158"/>
          <a:ext cx="2960203" cy="6054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Ins="18288" rtlCol="0" anchor="t"/>
        <a:lstStyle/>
        <a:p>
          <a:r>
            <a:rPr lang="en-US" sz="750" b="0" i="0" u="none" strike="noStrike" baseline="0">
              <a:solidFill>
                <a:schemeClr val="dk1"/>
              </a:solidFill>
              <a:latin typeface="Arial" panose="020B0604020202020204" pitchFamily="34" charset="0"/>
              <a:ea typeface="+mn-ea"/>
              <a:cs typeface="Arial" panose="020B0604020202020204" pitchFamily="34" charset="0"/>
            </a:rPr>
            <a:t>Notice: All referenced brands, product names, service names and trademarks are the property of their respective owners.</a:t>
          </a:r>
        </a:p>
        <a:p>
          <a:endParaRPr lang="en-US" sz="750" b="0" i="0" u="none" strike="noStrike" baseline="0">
            <a:solidFill>
              <a:schemeClr val="dk1"/>
            </a:solidFill>
            <a:latin typeface="Arial" panose="020B0604020202020204" pitchFamily="34" charset="0"/>
            <a:ea typeface="+mn-ea"/>
            <a:cs typeface="Arial" panose="020B0604020202020204" pitchFamily="34" charset="0"/>
          </a:endParaRPr>
        </a:p>
        <a:p>
          <a:r>
            <a:rPr lang="en-US" sz="750" b="1" i="0" u="none" strike="noStrike" baseline="0">
              <a:solidFill>
                <a:schemeClr val="dk1"/>
              </a:solidFill>
              <a:latin typeface="Arial" panose="020B0604020202020204" pitchFamily="34" charset="0"/>
              <a:ea typeface="+mn-ea"/>
              <a:cs typeface="Arial" panose="020B0604020202020204" pitchFamily="34" charset="0"/>
            </a:rPr>
            <a:t>NXP </a:t>
          </a:r>
          <a:r>
            <a:rPr lang="en-US" sz="750" b="0" i="0" u="none" strike="noStrike" baseline="0">
              <a:solidFill>
                <a:schemeClr val="dk1"/>
              </a:solidFill>
              <a:latin typeface="Arial" panose="020B0604020202020204" pitchFamily="34" charset="0"/>
              <a:ea typeface="+mn-ea"/>
              <a:cs typeface="Arial" panose="020B0604020202020204" pitchFamily="34" charset="0"/>
            </a:rPr>
            <a:t>— is a trademark of NXP B.V.</a:t>
          </a:r>
          <a:endParaRPr lang="en-US" sz="750">
            <a:latin typeface="Arial" panose="020B0604020202020204" pitchFamily="34" charset="0"/>
            <a:cs typeface="Arial" panose="020B0604020202020204" pitchFamily="34" charset="0"/>
          </a:endParaRPr>
        </a:p>
      </xdr:txBody>
    </xdr:sp>
    <xdr:clientData/>
  </xdr:twoCellAnchor>
  <xdr:twoCellAnchor>
    <xdr:from>
      <xdr:col>0</xdr:col>
      <xdr:colOff>0</xdr:colOff>
      <xdr:row>365</xdr:row>
      <xdr:rowOff>24851</xdr:rowOff>
    </xdr:from>
    <xdr:to>
      <xdr:col>11</xdr:col>
      <xdr:colOff>513522</xdr:colOff>
      <xdr:row>366</xdr:row>
      <xdr:rowOff>24851</xdr:rowOff>
    </xdr:to>
    <xdr:sp macro="" textlink="">
      <xdr:nvSpPr>
        <xdr:cNvPr id="214" name="TextBox 213">
          <a:extLst>
            <a:ext uri="{FF2B5EF4-FFF2-40B4-BE49-F238E27FC236}">
              <a16:creationId xmlns:a16="http://schemas.microsoft.com/office/drawing/2014/main" id="{00000000-0008-0000-0100-0000D6000000}"/>
            </a:ext>
          </a:extLst>
        </xdr:cNvPr>
        <xdr:cNvSpPr txBox="1"/>
      </xdr:nvSpPr>
      <xdr:spPr>
        <a:xfrm>
          <a:off x="0" y="66583894"/>
          <a:ext cx="6253370" cy="172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1. General description ....................................................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2. Features and benefits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3. Applications ................................................................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4. Odering information ....................................................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5. Power up sequence summary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6. Hardware configuration diagram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7. OTP configuration .......................................................</a:t>
          </a:r>
        </a:p>
        <a:p>
          <a:pPr marL="0" marR="0" lvl="0" indent="0" defTabSz="914400" eaLnBrk="1" fontAlgn="auto" latinLnBrk="0" hangingPunct="1">
            <a:lnSpc>
              <a:spcPct val="100000"/>
            </a:lnSpc>
            <a:spcBef>
              <a:spcPts val="0"/>
            </a:spcBef>
            <a:spcAft>
              <a:spcPts val="0"/>
            </a:spcAft>
            <a:buClrTx/>
            <a:buSzTx/>
            <a:buFontTx/>
            <a:buNone/>
            <a:tabLst/>
            <a:defRPr/>
          </a:pPr>
          <a:r>
            <a:rPr lang="fr-FR" sz="1000" b="1" i="0" baseline="0">
              <a:solidFill>
                <a:schemeClr val="dk1"/>
              </a:solidFill>
              <a:effectLst/>
              <a:latin typeface="Arial" panose="020B0604020202020204" pitchFamily="34" charset="0"/>
              <a:ea typeface="+mn-ea"/>
              <a:cs typeface="Arial" panose="020B0604020202020204" pitchFamily="34" charset="0"/>
            </a:rPr>
            <a:t>8. Legal information .........................................................</a:t>
          </a:r>
        </a:p>
      </xdr:txBody>
    </xdr:sp>
    <xdr:clientData/>
  </xdr:twoCellAnchor>
  <xdr:twoCellAnchor>
    <xdr:from>
      <xdr:col>6</xdr:col>
      <xdr:colOff>124878</xdr:colOff>
      <xdr:row>365</xdr:row>
      <xdr:rowOff>24850</xdr:rowOff>
    </xdr:from>
    <xdr:to>
      <xdr:col>7</xdr:col>
      <xdr:colOff>83466</xdr:colOff>
      <xdr:row>366</xdr:row>
      <xdr:rowOff>21139</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290109" y="66948965"/>
          <a:ext cx="486126" cy="14909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1">
              <a:latin typeface="Arial" panose="020B0604020202020204" pitchFamily="34" charset="0"/>
              <a:cs typeface="Arial" panose="020B0604020202020204" pitchFamily="34" charset="0"/>
            </a:rPr>
            <a:t>1</a:t>
          </a:r>
        </a:p>
        <a:p>
          <a:r>
            <a:rPr lang="fr-FR" sz="1000" b="1">
              <a:latin typeface="Arial" panose="020B0604020202020204" pitchFamily="34" charset="0"/>
              <a:cs typeface="Arial" panose="020B0604020202020204" pitchFamily="34" charset="0"/>
            </a:rPr>
            <a:t>1</a:t>
          </a:r>
        </a:p>
        <a:p>
          <a:r>
            <a:rPr lang="fr-FR" sz="1000" b="1">
              <a:latin typeface="Arial" panose="020B0604020202020204" pitchFamily="34" charset="0"/>
              <a:cs typeface="Arial" panose="020B0604020202020204" pitchFamily="34" charset="0"/>
            </a:rPr>
            <a:t>2</a:t>
          </a:r>
        </a:p>
        <a:p>
          <a:r>
            <a:rPr lang="fr-FR" sz="1000" b="1">
              <a:latin typeface="Arial" panose="020B0604020202020204" pitchFamily="34" charset="0"/>
              <a:cs typeface="Arial" panose="020B0604020202020204" pitchFamily="34" charset="0"/>
            </a:rPr>
            <a:t>2</a:t>
          </a:r>
        </a:p>
        <a:p>
          <a:r>
            <a:rPr lang="fr-FR" sz="1000" b="1">
              <a:latin typeface="Arial" panose="020B0604020202020204" pitchFamily="34" charset="0"/>
              <a:cs typeface="Arial" panose="020B0604020202020204" pitchFamily="34" charset="0"/>
            </a:rPr>
            <a:t>2</a:t>
          </a:r>
        </a:p>
        <a:p>
          <a:r>
            <a:rPr lang="fr-FR" sz="1000" b="1">
              <a:latin typeface="Arial" panose="020B0604020202020204" pitchFamily="34" charset="0"/>
              <a:cs typeface="Arial" panose="020B0604020202020204" pitchFamily="34" charset="0"/>
            </a:rPr>
            <a:t>3</a:t>
          </a:r>
        </a:p>
        <a:p>
          <a:r>
            <a:rPr lang="fr-FR" sz="1000" b="1">
              <a:latin typeface="Arial" panose="020B0604020202020204" pitchFamily="34" charset="0"/>
              <a:cs typeface="Arial" panose="020B0604020202020204" pitchFamily="34" charset="0"/>
            </a:rPr>
            <a:t>3</a:t>
          </a:r>
        </a:p>
        <a:p>
          <a:r>
            <a:rPr lang="fr-FR" sz="1000" b="1">
              <a:latin typeface="Arial" panose="020B0604020202020204" pitchFamily="34" charset="0"/>
              <a:cs typeface="Arial" panose="020B0604020202020204" pitchFamily="34" charset="0"/>
            </a:rPr>
            <a:t>8</a:t>
          </a:r>
        </a:p>
        <a:p>
          <a:endParaRPr lang="fr-FR" sz="1000" b="1">
            <a:latin typeface="Arial" panose="020B0604020202020204" pitchFamily="34" charset="0"/>
            <a:cs typeface="Arial" panose="020B0604020202020204" pitchFamily="34" charset="0"/>
          </a:endParaRPr>
        </a:p>
      </xdr:txBody>
    </xdr:sp>
    <xdr:clientData/>
  </xdr:twoCellAnchor>
  <xdr:twoCellAnchor>
    <xdr:from>
      <xdr:col>0</xdr:col>
      <xdr:colOff>43962</xdr:colOff>
      <xdr:row>306</xdr:row>
      <xdr:rowOff>175846</xdr:rowOff>
    </xdr:from>
    <xdr:to>
      <xdr:col>11</xdr:col>
      <xdr:colOff>462449</xdr:colOff>
      <xdr:row>308</xdr:row>
      <xdr:rowOff>124334</xdr:rowOff>
    </xdr:to>
    <xdr:grpSp>
      <xdr:nvGrpSpPr>
        <xdr:cNvPr id="262" name="Group 261">
          <a:extLst>
            <a:ext uri="{FF2B5EF4-FFF2-40B4-BE49-F238E27FC236}">
              <a16:creationId xmlns:a16="http://schemas.microsoft.com/office/drawing/2014/main" id="{00000000-0008-0000-0100-000006010000}"/>
            </a:ext>
          </a:extLst>
        </xdr:cNvPr>
        <xdr:cNvGrpSpPr/>
      </xdr:nvGrpSpPr>
      <xdr:grpSpPr>
        <a:xfrm>
          <a:off x="43962" y="66653777"/>
          <a:ext cx="6199177" cy="329488"/>
          <a:chOff x="38545" y="18733119"/>
          <a:chExt cx="6221410" cy="329488"/>
        </a:xfrm>
      </xdr:grpSpPr>
      <xdr:sp macro="" textlink="">
        <xdr:nvSpPr>
          <xdr:cNvPr id="263" name="TextBox 262">
            <a:extLst>
              <a:ext uri="{FF2B5EF4-FFF2-40B4-BE49-F238E27FC236}">
                <a16:creationId xmlns:a16="http://schemas.microsoft.com/office/drawing/2014/main" id="{00000000-0008-0000-0100-00000701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264" name="TextBox 263">
            <a:extLst>
              <a:ext uri="{FF2B5EF4-FFF2-40B4-BE49-F238E27FC236}">
                <a16:creationId xmlns:a16="http://schemas.microsoft.com/office/drawing/2014/main" id="{00000000-0008-0000-0100-00000801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265" name="Straight Connector 264">
            <a:extLst>
              <a:ext uri="{FF2B5EF4-FFF2-40B4-BE49-F238E27FC236}">
                <a16:creationId xmlns:a16="http://schemas.microsoft.com/office/drawing/2014/main" id="{00000000-0008-0000-0100-00000901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266" name="TextBox 265">
            <a:extLst>
              <a:ext uri="{FF2B5EF4-FFF2-40B4-BE49-F238E27FC236}">
                <a16:creationId xmlns:a16="http://schemas.microsoft.com/office/drawing/2014/main" id="{00000000-0008-0000-0100-00000A01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267" name="TextBox 266">
            <a:extLst>
              <a:ext uri="{FF2B5EF4-FFF2-40B4-BE49-F238E27FC236}">
                <a16:creationId xmlns:a16="http://schemas.microsoft.com/office/drawing/2014/main" id="{00000000-0008-0000-0100-00000B01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268" name="TextBox 267">
            <a:extLst>
              <a:ext uri="{FF2B5EF4-FFF2-40B4-BE49-F238E27FC236}">
                <a16:creationId xmlns:a16="http://schemas.microsoft.com/office/drawing/2014/main" id="{00000000-0008-0000-0100-00000C01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269" name="TextBox 268">
            <a:extLst>
              <a:ext uri="{FF2B5EF4-FFF2-40B4-BE49-F238E27FC236}">
                <a16:creationId xmlns:a16="http://schemas.microsoft.com/office/drawing/2014/main" id="{00000000-0008-0000-0100-00000D01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43962</xdr:colOff>
      <xdr:row>356</xdr:row>
      <xdr:rowOff>175846</xdr:rowOff>
    </xdr:from>
    <xdr:to>
      <xdr:col>11</xdr:col>
      <xdr:colOff>462449</xdr:colOff>
      <xdr:row>358</xdr:row>
      <xdr:rowOff>124334</xdr:rowOff>
    </xdr:to>
    <xdr:grpSp>
      <xdr:nvGrpSpPr>
        <xdr:cNvPr id="270" name="Group 269">
          <a:extLst>
            <a:ext uri="{FF2B5EF4-FFF2-40B4-BE49-F238E27FC236}">
              <a16:creationId xmlns:a16="http://schemas.microsoft.com/office/drawing/2014/main" id="{00000000-0008-0000-0100-00000E010000}"/>
            </a:ext>
          </a:extLst>
        </xdr:cNvPr>
        <xdr:cNvGrpSpPr/>
      </xdr:nvGrpSpPr>
      <xdr:grpSpPr>
        <a:xfrm>
          <a:off x="43962" y="76218191"/>
          <a:ext cx="6199177" cy="329488"/>
          <a:chOff x="38545" y="18733119"/>
          <a:chExt cx="6221410" cy="329488"/>
        </a:xfrm>
      </xdr:grpSpPr>
      <xdr:sp macro="" textlink="">
        <xdr:nvSpPr>
          <xdr:cNvPr id="271" name="TextBox 270">
            <a:extLst>
              <a:ext uri="{FF2B5EF4-FFF2-40B4-BE49-F238E27FC236}">
                <a16:creationId xmlns:a16="http://schemas.microsoft.com/office/drawing/2014/main" id="{00000000-0008-0000-0100-00000F01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272" name="TextBox 271">
            <a:extLst>
              <a:ext uri="{FF2B5EF4-FFF2-40B4-BE49-F238E27FC236}">
                <a16:creationId xmlns:a16="http://schemas.microsoft.com/office/drawing/2014/main" id="{00000000-0008-0000-0100-00001001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273" name="Straight Connector 272">
            <a:extLst>
              <a:ext uri="{FF2B5EF4-FFF2-40B4-BE49-F238E27FC236}">
                <a16:creationId xmlns:a16="http://schemas.microsoft.com/office/drawing/2014/main" id="{00000000-0008-0000-0100-00001101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274" name="TextBox 273">
            <a:extLst>
              <a:ext uri="{FF2B5EF4-FFF2-40B4-BE49-F238E27FC236}">
                <a16:creationId xmlns:a16="http://schemas.microsoft.com/office/drawing/2014/main" id="{00000000-0008-0000-0100-00001201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275" name="TextBox 274">
            <a:extLst>
              <a:ext uri="{FF2B5EF4-FFF2-40B4-BE49-F238E27FC236}">
                <a16:creationId xmlns:a16="http://schemas.microsoft.com/office/drawing/2014/main" id="{00000000-0008-0000-0100-00001301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276" name="TextBox 275">
            <a:extLst>
              <a:ext uri="{FF2B5EF4-FFF2-40B4-BE49-F238E27FC236}">
                <a16:creationId xmlns:a16="http://schemas.microsoft.com/office/drawing/2014/main" id="{00000000-0008-0000-0100-00001401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277" name="TextBox 276">
            <a:extLst>
              <a:ext uri="{FF2B5EF4-FFF2-40B4-BE49-F238E27FC236}">
                <a16:creationId xmlns:a16="http://schemas.microsoft.com/office/drawing/2014/main" id="{00000000-0008-0000-0100-00001501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20</xdr:row>
      <xdr:rowOff>65943</xdr:rowOff>
    </xdr:from>
    <xdr:to>
      <xdr:col>11</xdr:col>
      <xdr:colOff>462312</xdr:colOff>
      <xdr:row>23</xdr:row>
      <xdr:rowOff>1073</xdr:rowOff>
    </xdr:to>
    <xdr:grpSp>
      <xdr:nvGrpSpPr>
        <xdr:cNvPr id="291" name="Group 290">
          <a:extLst>
            <a:ext uri="{FF2B5EF4-FFF2-40B4-BE49-F238E27FC236}">
              <a16:creationId xmlns:a16="http://schemas.microsoft.com/office/drawing/2014/main" id="{00000000-0008-0000-0100-000023010000}"/>
            </a:ext>
          </a:extLst>
        </xdr:cNvPr>
        <xdr:cNvGrpSpPr/>
      </xdr:nvGrpSpPr>
      <xdr:grpSpPr>
        <a:xfrm>
          <a:off x="51289" y="10004788"/>
          <a:ext cx="6191713" cy="506630"/>
          <a:chOff x="66548" y="19210276"/>
          <a:chExt cx="6213946" cy="506630"/>
        </a:xfrm>
      </xdr:grpSpPr>
      <xdr:sp macro="" textlink="">
        <xdr:nvSpPr>
          <xdr:cNvPr id="292" name="TextBox 291">
            <a:extLst>
              <a:ext uri="{FF2B5EF4-FFF2-40B4-BE49-F238E27FC236}">
                <a16:creationId xmlns:a16="http://schemas.microsoft.com/office/drawing/2014/main" id="{00000000-0008-0000-0100-00002401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293" name="Straight Connector 292">
            <a:extLst>
              <a:ext uri="{FF2B5EF4-FFF2-40B4-BE49-F238E27FC236}">
                <a16:creationId xmlns:a16="http://schemas.microsoft.com/office/drawing/2014/main" id="{00000000-0008-0000-0100-00002501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294" name="TextBox 293">
            <a:extLst>
              <a:ext uri="{FF2B5EF4-FFF2-40B4-BE49-F238E27FC236}">
                <a16:creationId xmlns:a16="http://schemas.microsoft.com/office/drawing/2014/main" id="{00000000-0008-0000-0100-00002601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295" name="TextBox 294">
            <a:extLst>
              <a:ext uri="{FF2B5EF4-FFF2-40B4-BE49-F238E27FC236}">
                <a16:creationId xmlns:a16="http://schemas.microsoft.com/office/drawing/2014/main" id="{00000000-0008-0000-0100-00002701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113</xdr:row>
      <xdr:rowOff>65943</xdr:rowOff>
    </xdr:from>
    <xdr:to>
      <xdr:col>11</xdr:col>
      <xdr:colOff>462312</xdr:colOff>
      <xdr:row>117</xdr:row>
      <xdr:rowOff>1073</xdr:rowOff>
    </xdr:to>
    <xdr:grpSp>
      <xdr:nvGrpSpPr>
        <xdr:cNvPr id="296" name="Group 295">
          <a:extLst>
            <a:ext uri="{FF2B5EF4-FFF2-40B4-BE49-F238E27FC236}">
              <a16:creationId xmlns:a16="http://schemas.microsoft.com/office/drawing/2014/main" id="{00000000-0008-0000-0100-000028010000}"/>
            </a:ext>
          </a:extLst>
        </xdr:cNvPr>
        <xdr:cNvGrpSpPr/>
      </xdr:nvGrpSpPr>
      <xdr:grpSpPr>
        <a:xfrm>
          <a:off x="51289" y="29028512"/>
          <a:ext cx="6191713" cy="697130"/>
          <a:chOff x="66548" y="19210276"/>
          <a:chExt cx="6213946" cy="506630"/>
        </a:xfrm>
      </xdr:grpSpPr>
      <xdr:sp macro="" textlink="">
        <xdr:nvSpPr>
          <xdr:cNvPr id="297" name="TextBox 296">
            <a:extLst>
              <a:ext uri="{FF2B5EF4-FFF2-40B4-BE49-F238E27FC236}">
                <a16:creationId xmlns:a16="http://schemas.microsoft.com/office/drawing/2014/main" id="{00000000-0008-0000-0100-00002901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298" name="Straight Connector 297">
            <a:extLst>
              <a:ext uri="{FF2B5EF4-FFF2-40B4-BE49-F238E27FC236}">
                <a16:creationId xmlns:a16="http://schemas.microsoft.com/office/drawing/2014/main" id="{00000000-0008-0000-0100-00002A01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299" name="TextBox 298">
            <a:extLst>
              <a:ext uri="{FF2B5EF4-FFF2-40B4-BE49-F238E27FC236}">
                <a16:creationId xmlns:a16="http://schemas.microsoft.com/office/drawing/2014/main" id="{00000000-0008-0000-0100-00002B01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300" name="TextBox 299">
            <a:extLst>
              <a:ext uri="{FF2B5EF4-FFF2-40B4-BE49-F238E27FC236}">
                <a16:creationId xmlns:a16="http://schemas.microsoft.com/office/drawing/2014/main" id="{00000000-0008-0000-0100-00002C01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209</xdr:row>
      <xdr:rowOff>65943</xdr:rowOff>
    </xdr:from>
    <xdr:to>
      <xdr:col>11</xdr:col>
      <xdr:colOff>462312</xdr:colOff>
      <xdr:row>212</xdr:row>
      <xdr:rowOff>1073</xdr:rowOff>
    </xdr:to>
    <xdr:grpSp>
      <xdr:nvGrpSpPr>
        <xdr:cNvPr id="306" name="Group 305">
          <a:extLst>
            <a:ext uri="{FF2B5EF4-FFF2-40B4-BE49-F238E27FC236}">
              <a16:creationId xmlns:a16="http://schemas.microsoft.com/office/drawing/2014/main" id="{00000000-0008-0000-0100-000032010000}"/>
            </a:ext>
          </a:extLst>
        </xdr:cNvPr>
        <xdr:cNvGrpSpPr/>
      </xdr:nvGrpSpPr>
      <xdr:grpSpPr>
        <a:xfrm>
          <a:off x="51289" y="48065374"/>
          <a:ext cx="6191713" cy="506630"/>
          <a:chOff x="66548" y="19210276"/>
          <a:chExt cx="6213946" cy="506630"/>
        </a:xfrm>
      </xdr:grpSpPr>
      <xdr:sp macro="" textlink="">
        <xdr:nvSpPr>
          <xdr:cNvPr id="307" name="TextBox 306">
            <a:extLst>
              <a:ext uri="{FF2B5EF4-FFF2-40B4-BE49-F238E27FC236}">
                <a16:creationId xmlns:a16="http://schemas.microsoft.com/office/drawing/2014/main" id="{00000000-0008-0000-0100-00003301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308" name="Straight Connector 307">
            <a:extLst>
              <a:ext uri="{FF2B5EF4-FFF2-40B4-BE49-F238E27FC236}">
                <a16:creationId xmlns:a16="http://schemas.microsoft.com/office/drawing/2014/main" id="{00000000-0008-0000-0100-00003401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309" name="TextBox 308">
            <a:extLst>
              <a:ext uri="{FF2B5EF4-FFF2-40B4-BE49-F238E27FC236}">
                <a16:creationId xmlns:a16="http://schemas.microsoft.com/office/drawing/2014/main" id="{00000000-0008-0000-0100-00003501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310" name="TextBox 309">
            <a:extLst>
              <a:ext uri="{FF2B5EF4-FFF2-40B4-BE49-F238E27FC236}">
                <a16:creationId xmlns:a16="http://schemas.microsoft.com/office/drawing/2014/main" id="{00000000-0008-0000-0100-00003601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309</xdr:row>
      <xdr:rowOff>65943</xdr:rowOff>
    </xdr:from>
    <xdr:to>
      <xdr:col>11</xdr:col>
      <xdr:colOff>462312</xdr:colOff>
      <xdr:row>312</xdr:row>
      <xdr:rowOff>1073</xdr:rowOff>
    </xdr:to>
    <xdr:grpSp>
      <xdr:nvGrpSpPr>
        <xdr:cNvPr id="316" name="Group 315">
          <a:extLst>
            <a:ext uri="{FF2B5EF4-FFF2-40B4-BE49-F238E27FC236}">
              <a16:creationId xmlns:a16="http://schemas.microsoft.com/office/drawing/2014/main" id="{00000000-0008-0000-0100-00003C010000}"/>
            </a:ext>
          </a:extLst>
        </xdr:cNvPr>
        <xdr:cNvGrpSpPr/>
      </xdr:nvGrpSpPr>
      <xdr:grpSpPr>
        <a:xfrm>
          <a:off x="51289" y="67115374"/>
          <a:ext cx="6191713" cy="506630"/>
          <a:chOff x="66548" y="19210276"/>
          <a:chExt cx="6213946" cy="506630"/>
        </a:xfrm>
      </xdr:grpSpPr>
      <xdr:sp macro="" textlink="">
        <xdr:nvSpPr>
          <xdr:cNvPr id="317" name="TextBox 316">
            <a:extLst>
              <a:ext uri="{FF2B5EF4-FFF2-40B4-BE49-F238E27FC236}">
                <a16:creationId xmlns:a16="http://schemas.microsoft.com/office/drawing/2014/main" id="{00000000-0008-0000-0100-00003D01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318" name="Straight Connector 317">
            <a:extLst>
              <a:ext uri="{FF2B5EF4-FFF2-40B4-BE49-F238E27FC236}">
                <a16:creationId xmlns:a16="http://schemas.microsoft.com/office/drawing/2014/main" id="{00000000-0008-0000-0100-00003E01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319" name="TextBox 318">
            <a:extLst>
              <a:ext uri="{FF2B5EF4-FFF2-40B4-BE49-F238E27FC236}">
                <a16:creationId xmlns:a16="http://schemas.microsoft.com/office/drawing/2014/main" id="{00000000-0008-0000-0100-00003F01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320" name="TextBox 319">
            <a:extLst>
              <a:ext uri="{FF2B5EF4-FFF2-40B4-BE49-F238E27FC236}">
                <a16:creationId xmlns:a16="http://schemas.microsoft.com/office/drawing/2014/main" id="{00000000-0008-0000-0100-00004001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359</xdr:row>
      <xdr:rowOff>65943</xdr:rowOff>
    </xdr:from>
    <xdr:to>
      <xdr:col>11</xdr:col>
      <xdr:colOff>462312</xdr:colOff>
      <xdr:row>362</xdr:row>
      <xdr:rowOff>1073</xdr:rowOff>
    </xdr:to>
    <xdr:grpSp>
      <xdr:nvGrpSpPr>
        <xdr:cNvPr id="321" name="Group 320">
          <a:extLst>
            <a:ext uri="{FF2B5EF4-FFF2-40B4-BE49-F238E27FC236}">
              <a16:creationId xmlns:a16="http://schemas.microsoft.com/office/drawing/2014/main" id="{00000000-0008-0000-0100-000041010000}"/>
            </a:ext>
          </a:extLst>
        </xdr:cNvPr>
        <xdr:cNvGrpSpPr/>
      </xdr:nvGrpSpPr>
      <xdr:grpSpPr>
        <a:xfrm>
          <a:off x="51289" y="76679788"/>
          <a:ext cx="6191713" cy="506630"/>
          <a:chOff x="66548" y="19210276"/>
          <a:chExt cx="6213946" cy="506630"/>
        </a:xfrm>
      </xdr:grpSpPr>
      <xdr:sp macro="" textlink="">
        <xdr:nvSpPr>
          <xdr:cNvPr id="322" name="TextBox 321">
            <a:extLst>
              <a:ext uri="{FF2B5EF4-FFF2-40B4-BE49-F238E27FC236}">
                <a16:creationId xmlns:a16="http://schemas.microsoft.com/office/drawing/2014/main" id="{00000000-0008-0000-0100-00004201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323" name="Straight Connector 322">
            <a:extLst>
              <a:ext uri="{FF2B5EF4-FFF2-40B4-BE49-F238E27FC236}">
                <a16:creationId xmlns:a16="http://schemas.microsoft.com/office/drawing/2014/main" id="{00000000-0008-0000-0100-00004301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324" name="TextBox 323">
            <a:extLst>
              <a:ext uri="{FF2B5EF4-FFF2-40B4-BE49-F238E27FC236}">
                <a16:creationId xmlns:a16="http://schemas.microsoft.com/office/drawing/2014/main" id="{00000000-0008-0000-0100-00004401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325" name="TextBox 324">
            <a:extLst>
              <a:ext uri="{FF2B5EF4-FFF2-40B4-BE49-F238E27FC236}">
                <a16:creationId xmlns:a16="http://schemas.microsoft.com/office/drawing/2014/main" id="{00000000-0008-0000-0100-00004501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87923</xdr:colOff>
      <xdr:row>12</xdr:row>
      <xdr:rowOff>14657</xdr:rowOff>
    </xdr:from>
    <xdr:to>
      <xdr:col>11</xdr:col>
      <xdr:colOff>411480</xdr:colOff>
      <xdr:row>12</xdr:row>
      <xdr:rowOff>14657</xdr:rowOff>
    </xdr:to>
    <xdr:cxnSp macro="">
      <xdr:nvCxnSpPr>
        <xdr:cNvPr id="326" name="Straight Connector 325">
          <a:extLst>
            <a:ext uri="{FF2B5EF4-FFF2-40B4-BE49-F238E27FC236}">
              <a16:creationId xmlns:a16="http://schemas.microsoft.com/office/drawing/2014/main" id="{00000000-0008-0000-0100-000046010000}"/>
            </a:ext>
          </a:extLst>
        </xdr:cNvPr>
        <xdr:cNvCxnSpPr/>
      </xdr:nvCxnSpPr>
      <xdr:spPr>
        <a:xfrm>
          <a:off x="87923" y="2564426"/>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87923</xdr:colOff>
      <xdr:row>15</xdr:row>
      <xdr:rowOff>7327</xdr:rowOff>
    </xdr:from>
    <xdr:to>
      <xdr:col>11</xdr:col>
      <xdr:colOff>411480</xdr:colOff>
      <xdr:row>15</xdr:row>
      <xdr:rowOff>7327</xdr:rowOff>
    </xdr:to>
    <xdr:cxnSp macro="">
      <xdr:nvCxnSpPr>
        <xdr:cNvPr id="327" name="Straight Connector 326">
          <a:extLst>
            <a:ext uri="{FF2B5EF4-FFF2-40B4-BE49-F238E27FC236}">
              <a16:creationId xmlns:a16="http://schemas.microsoft.com/office/drawing/2014/main" id="{00000000-0008-0000-0100-000047010000}"/>
            </a:ext>
          </a:extLst>
        </xdr:cNvPr>
        <xdr:cNvCxnSpPr/>
      </xdr:nvCxnSpPr>
      <xdr:spPr>
        <a:xfrm>
          <a:off x="87923" y="5070231"/>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80597</xdr:colOff>
      <xdr:row>25</xdr:row>
      <xdr:rowOff>15386</xdr:rowOff>
    </xdr:from>
    <xdr:to>
      <xdr:col>11</xdr:col>
      <xdr:colOff>404154</xdr:colOff>
      <xdr:row>25</xdr:row>
      <xdr:rowOff>15386</xdr:rowOff>
    </xdr:to>
    <xdr:cxnSp macro="">
      <xdr:nvCxnSpPr>
        <xdr:cNvPr id="329" name="Straight Connector 328">
          <a:extLst>
            <a:ext uri="{FF2B5EF4-FFF2-40B4-BE49-F238E27FC236}">
              <a16:creationId xmlns:a16="http://schemas.microsoft.com/office/drawing/2014/main" id="{00000000-0008-0000-0100-000049010000}"/>
            </a:ext>
          </a:extLst>
        </xdr:cNvPr>
        <xdr:cNvCxnSpPr/>
      </xdr:nvCxnSpPr>
      <xdr:spPr>
        <a:xfrm>
          <a:off x="80597" y="10829924"/>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80597</xdr:colOff>
      <xdr:row>28</xdr:row>
      <xdr:rowOff>14654</xdr:rowOff>
    </xdr:from>
    <xdr:to>
      <xdr:col>11</xdr:col>
      <xdr:colOff>404154</xdr:colOff>
      <xdr:row>28</xdr:row>
      <xdr:rowOff>14654</xdr:rowOff>
    </xdr:to>
    <xdr:cxnSp macro="">
      <xdr:nvCxnSpPr>
        <xdr:cNvPr id="330" name="Straight Connector 329">
          <a:extLst>
            <a:ext uri="{FF2B5EF4-FFF2-40B4-BE49-F238E27FC236}">
              <a16:creationId xmlns:a16="http://schemas.microsoft.com/office/drawing/2014/main" id="{00000000-0008-0000-0100-00004A010000}"/>
            </a:ext>
          </a:extLst>
        </xdr:cNvPr>
        <xdr:cNvCxnSpPr/>
      </xdr:nvCxnSpPr>
      <xdr:spPr>
        <a:xfrm>
          <a:off x="80597" y="12170019"/>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80597</xdr:colOff>
      <xdr:row>36</xdr:row>
      <xdr:rowOff>13188</xdr:rowOff>
    </xdr:from>
    <xdr:to>
      <xdr:col>11</xdr:col>
      <xdr:colOff>404154</xdr:colOff>
      <xdr:row>36</xdr:row>
      <xdr:rowOff>13188</xdr:rowOff>
    </xdr:to>
    <xdr:cxnSp macro="">
      <xdr:nvCxnSpPr>
        <xdr:cNvPr id="331" name="Straight Connector 330">
          <a:extLst>
            <a:ext uri="{FF2B5EF4-FFF2-40B4-BE49-F238E27FC236}">
              <a16:creationId xmlns:a16="http://schemas.microsoft.com/office/drawing/2014/main" id="{00000000-0008-0000-0100-00004B010000}"/>
            </a:ext>
          </a:extLst>
        </xdr:cNvPr>
        <xdr:cNvCxnSpPr/>
      </xdr:nvCxnSpPr>
      <xdr:spPr>
        <a:xfrm>
          <a:off x="80597" y="14007611"/>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80595</xdr:colOff>
      <xdr:row>68</xdr:row>
      <xdr:rowOff>14654</xdr:rowOff>
    </xdr:from>
    <xdr:to>
      <xdr:col>11</xdr:col>
      <xdr:colOff>404152</xdr:colOff>
      <xdr:row>68</xdr:row>
      <xdr:rowOff>14654</xdr:rowOff>
    </xdr:to>
    <xdr:cxnSp macro="">
      <xdr:nvCxnSpPr>
        <xdr:cNvPr id="332" name="Straight Connector 331">
          <a:extLst>
            <a:ext uri="{FF2B5EF4-FFF2-40B4-BE49-F238E27FC236}">
              <a16:creationId xmlns:a16="http://schemas.microsoft.com/office/drawing/2014/main" id="{00000000-0008-0000-0100-00004C010000}"/>
            </a:ext>
          </a:extLst>
        </xdr:cNvPr>
        <xdr:cNvCxnSpPr/>
      </xdr:nvCxnSpPr>
      <xdr:spPr>
        <a:xfrm>
          <a:off x="80595" y="201417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80595</xdr:colOff>
      <xdr:row>92</xdr:row>
      <xdr:rowOff>14654</xdr:rowOff>
    </xdr:from>
    <xdr:to>
      <xdr:col>11</xdr:col>
      <xdr:colOff>404152</xdr:colOff>
      <xdr:row>92</xdr:row>
      <xdr:rowOff>14654</xdr:rowOff>
    </xdr:to>
    <xdr:cxnSp macro="">
      <xdr:nvCxnSpPr>
        <xdr:cNvPr id="333" name="Straight Connector 332">
          <a:extLst>
            <a:ext uri="{FF2B5EF4-FFF2-40B4-BE49-F238E27FC236}">
              <a16:creationId xmlns:a16="http://schemas.microsoft.com/office/drawing/2014/main" id="{00000000-0008-0000-0100-00004D010000}"/>
            </a:ext>
          </a:extLst>
        </xdr:cNvPr>
        <xdr:cNvCxnSpPr/>
      </xdr:nvCxnSpPr>
      <xdr:spPr>
        <a:xfrm>
          <a:off x="80595" y="24559846"/>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87923</xdr:colOff>
      <xdr:row>315</xdr:row>
      <xdr:rowOff>14654</xdr:rowOff>
    </xdr:from>
    <xdr:to>
      <xdr:col>11</xdr:col>
      <xdr:colOff>411480</xdr:colOff>
      <xdr:row>315</xdr:row>
      <xdr:rowOff>14654</xdr:rowOff>
    </xdr:to>
    <xdr:cxnSp macro="">
      <xdr:nvCxnSpPr>
        <xdr:cNvPr id="334" name="Straight Connector 333">
          <a:extLst>
            <a:ext uri="{FF2B5EF4-FFF2-40B4-BE49-F238E27FC236}">
              <a16:creationId xmlns:a16="http://schemas.microsoft.com/office/drawing/2014/main" id="{00000000-0008-0000-0100-00004E010000}"/>
            </a:ext>
          </a:extLst>
        </xdr:cNvPr>
        <xdr:cNvCxnSpPr/>
      </xdr:nvCxnSpPr>
      <xdr:spPr>
        <a:xfrm>
          <a:off x="87923" y="60703558"/>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80596</xdr:colOff>
      <xdr:row>364</xdr:row>
      <xdr:rowOff>0</xdr:rowOff>
    </xdr:from>
    <xdr:to>
      <xdr:col>11</xdr:col>
      <xdr:colOff>404153</xdr:colOff>
      <xdr:row>364</xdr:row>
      <xdr:rowOff>0</xdr:rowOff>
    </xdr:to>
    <xdr:cxnSp macro="">
      <xdr:nvCxnSpPr>
        <xdr:cNvPr id="335" name="Straight Connector 334">
          <a:extLst>
            <a:ext uri="{FF2B5EF4-FFF2-40B4-BE49-F238E27FC236}">
              <a16:creationId xmlns:a16="http://schemas.microsoft.com/office/drawing/2014/main" id="{00000000-0008-0000-0100-00004F010000}"/>
            </a:ext>
          </a:extLst>
        </xdr:cNvPr>
        <xdr:cNvCxnSpPr/>
      </xdr:nvCxnSpPr>
      <xdr:spPr>
        <a:xfrm>
          <a:off x="80596" y="66696981"/>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51289</xdr:colOff>
      <xdr:row>63</xdr:row>
      <xdr:rowOff>65943</xdr:rowOff>
    </xdr:from>
    <xdr:to>
      <xdr:col>11</xdr:col>
      <xdr:colOff>462312</xdr:colOff>
      <xdr:row>66</xdr:row>
      <xdr:rowOff>1073</xdr:rowOff>
    </xdr:to>
    <xdr:grpSp>
      <xdr:nvGrpSpPr>
        <xdr:cNvPr id="180" name="Group 179">
          <a:extLst>
            <a:ext uri="{FF2B5EF4-FFF2-40B4-BE49-F238E27FC236}">
              <a16:creationId xmlns:a16="http://schemas.microsoft.com/office/drawing/2014/main" id="{00000000-0008-0000-0100-0000B4000000}"/>
            </a:ext>
          </a:extLst>
        </xdr:cNvPr>
        <xdr:cNvGrpSpPr/>
      </xdr:nvGrpSpPr>
      <xdr:grpSpPr>
        <a:xfrm>
          <a:off x="51289" y="19516650"/>
          <a:ext cx="6191713" cy="506630"/>
          <a:chOff x="66548" y="19210276"/>
          <a:chExt cx="6213946" cy="506630"/>
        </a:xfrm>
      </xdr:grpSpPr>
      <xdr:sp macro="" textlink="">
        <xdr:nvSpPr>
          <xdr:cNvPr id="181" name="TextBox 180">
            <a:extLst>
              <a:ext uri="{FF2B5EF4-FFF2-40B4-BE49-F238E27FC236}">
                <a16:creationId xmlns:a16="http://schemas.microsoft.com/office/drawing/2014/main" id="{00000000-0008-0000-0100-0000B500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182" name="Straight Connector 181">
            <a:extLst>
              <a:ext uri="{FF2B5EF4-FFF2-40B4-BE49-F238E27FC236}">
                <a16:creationId xmlns:a16="http://schemas.microsoft.com/office/drawing/2014/main" id="{00000000-0008-0000-0100-0000B600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183" name="TextBox 182">
            <a:extLst>
              <a:ext uri="{FF2B5EF4-FFF2-40B4-BE49-F238E27FC236}">
                <a16:creationId xmlns:a16="http://schemas.microsoft.com/office/drawing/2014/main" id="{00000000-0008-0000-0100-0000B700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184" name="TextBox 183">
            <a:extLst>
              <a:ext uri="{FF2B5EF4-FFF2-40B4-BE49-F238E27FC236}">
                <a16:creationId xmlns:a16="http://schemas.microsoft.com/office/drawing/2014/main" id="{00000000-0008-0000-0100-0000B800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51289</xdr:colOff>
      <xdr:row>161</xdr:row>
      <xdr:rowOff>65943</xdr:rowOff>
    </xdr:from>
    <xdr:to>
      <xdr:col>11</xdr:col>
      <xdr:colOff>462312</xdr:colOff>
      <xdr:row>163</xdr:row>
      <xdr:rowOff>67015</xdr:rowOff>
    </xdr:to>
    <xdr:grpSp>
      <xdr:nvGrpSpPr>
        <xdr:cNvPr id="208" name="Group 207">
          <a:extLst>
            <a:ext uri="{FF2B5EF4-FFF2-40B4-BE49-F238E27FC236}">
              <a16:creationId xmlns:a16="http://schemas.microsoft.com/office/drawing/2014/main" id="{00000000-0008-0000-0100-0000D0000000}"/>
            </a:ext>
          </a:extLst>
        </xdr:cNvPr>
        <xdr:cNvGrpSpPr/>
      </xdr:nvGrpSpPr>
      <xdr:grpSpPr>
        <a:xfrm>
          <a:off x="51289" y="38546943"/>
          <a:ext cx="6191713" cy="382072"/>
          <a:chOff x="66548" y="19210276"/>
          <a:chExt cx="6213946" cy="506630"/>
        </a:xfrm>
      </xdr:grpSpPr>
      <xdr:sp macro="" textlink="">
        <xdr:nvSpPr>
          <xdr:cNvPr id="209" name="TextBox 208">
            <a:extLst>
              <a:ext uri="{FF2B5EF4-FFF2-40B4-BE49-F238E27FC236}">
                <a16:creationId xmlns:a16="http://schemas.microsoft.com/office/drawing/2014/main" id="{00000000-0008-0000-0100-0000D100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210" name="Straight Connector 209">
            <a:extLst>
              <a:ext uri="{FF2B5EF4-FFF2-40B4-BE49-F238E27FC236}">
                <a16:creationId xmlns:a16="http://schemas.microsoft.com/office/drawing/2014/main" id="{00000000-0008-0000-0100-0000D200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211" name="TextBox 210">
            <a:extLst>
              <a:ext uri="{FF2B5EF4-FFF2-40B4-BE49-F238E27FC236}">
                <a16:creationId xmlns:a16="http://schemas.microsoft.com/office/drawing/2014/main" id="{00000000-0008-0000-0100-0000D300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212" name="TextBox 211">
            <a:extLst>
              <a:ext uri="{FF2B5EF4-FFF2-40B4-BE49-F238E27FC236}">
                <a16:creationId xmlns:a16="http://schemas.microsoft.com/office/drawing/2014/main" id="{00000000-0008-0000-0100-0000D400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43962</xdr:colOff>
      <xdr:row>206</xdr:row>
      <xdr:rowOff>175846</xdr:rowOff>
    </xdr:from>
    <xdr:to>
      <xdr:col>11</xdr:col>
      <xdr:colOff>462449</xdr:colOff>
      <xdr:row>208</xdr:row>
      <xdr:rowOff>124334</xdr:rowOff>
    </xdr:to>
    <xdr:grpSp>
      <xdr:nvGrpSpPr>
        <xdr:cNvPr id="222" name="Group 221">
          <a:extLst>
            <a:ext uri="{FF2B5EF4-FFF2-40B4-BE49-F238E27FC236}">
              <a16:creationId xmlns:a16="http://schemas.microsoft.com/office/drawing/2014/main" id="{00000000-0008-0000-0100-0000DE000000}"/>
            </a:ext>
          </a:extLst>
        </xdr:cNvPr>
        <xdr:cNvGrpSpPr/>
      </xdr:nvGrpSpPr>
      <xdr:grpSpPr>
        <a:xfrm>
          <a:off x="43962" y="47603777"/>
          <a:ext cx="6199177" cy="329488"/>
          <a:chOff x="38545" y="18733119"/>
          <a:chExt cx="6221410" cy="329488"/>
        </a:xfrm>
      </xdr:grpSpPr>
      <xdr:sp macro="" textlink="">
        <xdr:nvSpPr>
          <xdr:cNvPr id="223" name="TextBox 222">
            <a:extLst>
              <a:ext uri="{FF2B5EF4-FFF2-40B4-BE49-F238E27FC236}">
                <a16:creationId xmlns:a16="http://schemas.microsoft.com/office/drawing/2014/main" id="{00000000-0008-0000-0100-0000DF00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224" name="TextBox 223">
            <a:extLst>
              <a:ext uri="{FF2B5EF4-FFF2-40B4-BE49-F238E27FC236}">
                <a16:creationId xmlns:a16="http://schemas.microsoft.com/office/drawing/2014/main" id="{00000000-0008-0000-0100-0000E000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225" name="Straight Connector 224">
            <a:extLst>
              <a:ext uri="{FF2B5EF4-FFF2-40B4-BE49-F238E27FC236}">
                <a16:creationId xmlns:a16="http://schemas.microsoft.com/office/drawing/2014/main" id="{00000000-0008-0000-0100-0000E100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226" name="TextBox 225">
            <a:extLst>
              <a:ext uri="{FF2B5EF4-FFF2-40B4-BE49-F238E27FC236}">
                <a16:creationId xmlns:a16="http://schemas.microsoft.com/office/drawing/2014/main" id="{00000000-0008-0000-0100-0000E200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227" name="TextBox 226">
            <a:extLst>
              <a:ext uri="{FF2B5EF4-FFF2-40B4-BE49-F238E27FC236}">
                <a16:creationId xmlns:a16="http://schemas.microsoft.com/office/drawing/2014/main" id="{00000000-0008-0000-0100-0000E300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228" name="TextBox 227">
            <a:extLst>
              <a:ext uri="{FF2B5EF4-FFF2-40B4-BE49-F238E27FC236}">
                <a16:creationId xmlns:a16="http://schemas.microsoft.com/office/drawing/2014/main" id="{00000000-0008-0000-0100-0000E400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229" name="TextBox 228">
            <a:extLst>
              <a:ext uri="{FF2B5EF4-FFF2-40B4-BE49-F238E27FC236}">
                <a16:creationId xmlns:a16="http://schemas.microsoft.com/office/drawing/2014/main" id="{00000000-0008-0000-0100-0000E500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43962</xdr:colOff>
      <xdr:row>158</xdr:row>
      <xdr:rowOff>175846</xdr:rowOff>
    </xdr:from>
    <xdr:to>
      <xdr:col>11</xdr:col>
      <xdr:colOff>462449</xdr:colOff>
      <xdr:row>160</xdr:row>
      <xdr:rowOff>124334</xdr:rowOff>
    </xdr:to>
    <xdr:grpSp>
      <xdr:nvGrpSpPr>
        <xdr:cNvPr id="246" name="Group 245">
          <a:extLst>
            <a:ext uri="{FF2B5EF4-FFF2-40B4-BE49-F238E27FC236}">
              <a16:creationId xmlns:a16="http://schemas.microsoft.com/office/drawing/2014/main" id="{00000000-0008-0000-0100-0000F6000000}"/>
            </a:ext>
          </a:extLst>
        </xdr:cNvPr>
        <xdr:cNvGrpSpPr/>
      </xdr:nvGrpSpPr>
      <xdr:grpSpPr>
        <a:xfrm>
          <a:off x="43962" y="38085346"/>
          <a:ext cx="6199177" cy="329488"/>
          <a:chOff x="38545" y="18733119"/>
          <a:chExt cx="6221410" cy="329488"/>
        </a:xfrm>
      </xdr:grpSpPr>
      <xdr:sp macro="" textlink="">
        <xdr:nvSpPr>
          <xdr:cNvPr id="247" name="TextBox 246">
            <a:extLst>
              <a:ext uri="{FF2B5EF4-FFF2-40B4-BE49-F238E27FC236}">
                <a16:creationId xmlns:a16="http://schemas.microsoft.com/office/drawing/2014/main" id="{00000000-0008-0000-0100-0000F700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248" name="TextBox 247">
            <a:extLst>
              <a:ext uri="{FF2B5EF4-FFF2-40B4-BE49-F238E27FC236}">
                <a16:creationId xmlns:a16="http://schemas.microsoft.com/office/drawing/2014/main" id="{00000000-0008-0000-0100-0000F800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249" name="Straight Connector 248">
            <a:extLst>
              <a:ext uri="{FF2B5EF4-FFF2-40B4-BE49-F238E27FC236}">
                <a16:creationId xmlns:a16="http://schemas.microsoft.com/office/drawing/2014/main" id="{00000000-0008-0000-0100-0000F900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250" name="TextBox 249">
            <a:extLst>
              <a:ext uri="{FF2B5EF4-FFF2-40B4-BE49-F238E27FC236}">
                <a16:creationId xmlns:a16="http://schemas.microsoft.com/office/drawing/2014/main" id="{00000000-0008-0000-0100-0000FA00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251" name="TextBox 250">
            <a:extLst>
              <a:ext uri="{FF2B5EF4-FFF2-40B4-BE49-F238E27FC236}">
                <a16:creationId xmlns:a16="http://schemas.microsoft.com/office/drawing/2014/main" id="{00000000-0008-0000-0100-0000FB00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252" name="TextBox 251">
            <a:extLst>
              <a:ext uri="{FF2B5EF4-FFF2-40B4-BE49-F238E27FC236}">
                <a16:creationId xmlns:a16="http://schemas.microsoft.com/office/drawing/2014/main" id="{00000000-0008-0000-0100-0000FC00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253" name="TextBox 252">
            <a:extLst>
              <a:ext uri="{FF2B5EF4-FFF2-40B4-BE49-F238E27FC236}">
                <a16:creationId xmlns:a16="http://schemas.microsoft.com/office/drawing/2014/main" id="{00000000-0008-0000-0100-0000FD00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43962</xdr:colOff>
      <xdr:row>110</xdr:row>
      <xdr:rowOff>175846</xdr:rowOff>
    </xdr:from>
    <xdr:to>
      <xdr:col>11</xdr:col>
      <xdr:colOff>462449</xdr:colOff>
      <xdr:row>112</xdr:row>
      <xdr:rowOff>124334</xdr:rowOff>
    </xdr:to>
    <xdr:grpSp>
      <xdr:nvGrpSpPr>
        <xdr:cNvPr id="286" name="Group 285">
          <a:extLst>
            <a:ext uri="{FF2B5EF4-FFF2-40B4-BE49-F238E27FC236}">
              <a16:creationId xmlns:a16="http://schemas.microsoft.com/office/drawing/2014/main" id="{00000000-0008-0000-0100-00001E010000}"/>
            </a:ext>
          </a:extLst>
        </xdr:cNvPr>
        <xdr:cNvGrpSpPr/>
      </xdr:nvGrpSpPr>
      <xdr:grpSpPr>
        <a:xfrm>
          <a:off x="43962" y="28566915"/>
          <a:ext cx="6199177" cy="329488"/>
          <a:chOff x="38545" y="18733119"/>
          <a:chExt cx="6221410" cy="329488"/>
        </a:xfrm>
      </xdr:grpSpPr>
      <xdr:sp macro="" textlink="">
        <xdr:nvSpPr>
          <xdr:cNvPr id="287" name="TextBox 286">
            <a:extLst>
              <a:ext uri="{FF2B5EF4-FFF2-40B4-BE49-F238E27FC236}">
                <a16:creationId xmlns:a16="http://schemas.microsoft.com/office/drawing/2014/main" id="{00000000-0008-0000-0100-00001F01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288" name="TextBox 287">
            <a:extLst>
              <a:ext uri="{FF2B5EF4-FFF2-40B4-BE49-F238E27FC236}">
                <a16:creationId xmlns:a16="http://schemas.microsoft.com/office/drawing/2014/main" id="{00000000-0008-0000-0100-00002001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289" name="Straight Connector 288">
            <a:extLst>
              <a:ext uri="{FF2B5EF4-FFF2-40B4-BE49-F238E27FC236}">
                <a16:creationId xmlns:a16="http://schemas.microsoft.com/office/drawing/2014/main" id="{00000000-0008-0000-0100-00002101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290" name="TextBox 289">
            <a:extLst>
              <a:ext uri="{FF2B5EF4-FFF2-40B4-BE49-F238E27FC236}">
                <a16:creationId xmlns:a16="http://schemas.microsoft.com/office/drawing/2014/main" id="{00000000-0008-0000-0100-00002201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311" name="TextBox 310">
            <a:extLst>
              <a:ext uri="{FF2B5EF4-FFF2-40B4-BE49-F238E27FC236}">
                <a16:creationId xmlns:a16="http://schemas.microsoft.com/office/drawing/2014/main" id="{00000000-0008-0000-0100-00003701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312" name="TextBox 311">
            <a:extLst>
              <a:ext uri="{FF2B5EF4-FFF2-40B4-BE49-F238E27FC236}">
                <a16:creationId xmlns:a16="http://schemas.microsoft.com/office/drawing/2014/main" id="{00000000-0008-0000-0100-00003801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313" name="TextBox 312">
            <a:extLst>
              <a:ext uri="{FF2B5EF4-FFF2-40B4-BE49-F238E27FC236}">
                <a16:creationId xmlns:a16="http://schemas.microsoft.com/office/drawing/2014/main" id="{00000000-0008-0000-0100-00003901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5</xdr:col>
      <xdr:colOff>135940</xdr:colOff>
      <xdr:row>392</xdr:row>
      <xdr:rowOff>14651</xdr:rowOff>
    </xdr:from>
    <xdr:to>
      <xdr:col>11</xdr:col>
      <xdr:colOff>417635</xdr:colOff>
      <xdr:row>397</xdr:row>
      <xdr:rowOff>68516</xdr:rowOff>
    </xdr:to>
    <xdr:grpSp>
      <xdr:nvGrpSpPr>
        <xdr:cNvPr id="314" name="Group 313">
          <a:extLst>
            <a:ext uri="{FF2B5EF4-FFF2-40B4-BE49-F238E27FC236}">
              <a16:creationId xmlns:a16="http://schemas.microsoft.com/office/drawing/2014/main" id="{00000000-0008-0000-0100-00003A010000}"/>
            </a:ext>
          </a:extLst>
        </xdr:cNvPr>
        <xdr:cNvGrpSpPr/>
      </xdr:nvGrpSpPr>
      <xdr:grpSpPr>
        <a:xfrm>
          <a:off x="2763526" y="84301048"/>
          <a:ext cx="3434799" cy="940675"/>
          <a:chOff x="2955659" y="81074173"/>
          <a:chExt cx="3450068" cy="931853"/>
        </a:xfrm>
      </xdr:grpSpPr>
      <xdr:sp macro="" textlink="">
        <xdr:nvSpPr>
          <xdr:cNvPr id="315" name="TextBox 314">
            <a:extLst>
              <a:ext uri="{FF2B5EF4-FFF2-40B4-BE49-F238E27FC236}">
                <a16:creationId xmlns:a16="http://schemas.microsoft.com/office/drawing/2014/main" id="{00000000-0008-0000-0100-00003B010000}"/>
              </a:ext>
            </a:extLst>
          </xdr:cNvPr>
          <xdr:cNvSpPr txBox="1"/>
        </xdr:nvSpPr>
        <xdr:spPr>
          <a:xfrm>
            <a:off x="2977431" y="81378644"/>
            <a:ext cx="3428296" cy="62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 rtlCol="0" anchor="t"/>
          <a:lstStyle/>
          <a:p>
            <a:r>
              <a:rPr lang="en-US" sz="800" b="1" i="0" u="none" strike="noStrike" baseline="0">
                <a:solidFill>
                  <a:schemeClr val="dk1"/>
                </a:solidFill>
                <a:latin typeface="+mn-lt"/>
                <a:ea typeface="+mn-ea"/>
                <a:cs typeface="+mn-cs"/>
              </a:rPr>
              <a:t>© NXP B.V. 2019. 		                             All rights reserved.</a:t>
            </a:r>
          </a:p>
          <a:p>
            <a:endParaRPr lang="en-US" sz="800" b="0" i="0" u="none" strike="noStrike" baseline="0">
              <a:solidFill>
                <a:schemeClr val="dk1"/>
              </a:solidFill>
              <a:latin typeface="+mn-lt"/>
              <a:ea typeface="+mn-ea"/>
              <a:cs typeface="+mn-cs"/>
            </a:endParaRPr>
          </a:p>
          <a:p>
            <a:r>
              <a:rPr lang="en-US" sz="800" b="0" i="0" u="none" strike="noStrike" baseline="0">
                <a:solidFill>
                  <a:schemeClr val="dk1"/>
                </a:solidFill>
                <a:latin typeface="+mn-lt"/>
                <a:ea typeface="+mn-ea"/>
                <a:cs typeface="+mn-cs"/>
              </a:rPr>
              <a:t>For more information, please visit: http://www.nxp.com</a:t>
            </a:r>
          </a:p>
          <a:p>
            <a:r>
              <a:rPr lang="en-US" sz="800" b="0" i="0" u="none" strike="noStrike" baseline="0">
                <a:solidFill>
                  <a:schemeClr val="dk1"/>
                </a:solidFill>
                <a:latin typeface="+mn-lt"/>
                <a:ea typeface="+mn-ea"/>
                <a:cs typeface="+mn-cs"/>
              </a:rPr>
              <a:t>For sales office addresses, please send an email to: salesaddresses@nxp.com</a:t>
            </a:r>
          </a:p>
        </xdr:txBody>
      </xdr:sp>
      <xdr:grpSp>
        <xdr:nvGrpSpPr>
          <xdr:cNvPr id="328" name="Group 327">
            <a:extLst>
              <a:ext uri="{FF2B5EF4-FFF2-40B4-BE49-F238E27FC236}">
                <a16:creationId xmlns:a16="http://schemas.microsoft.com/office/drawing/2014/main" id="{00000000-0008-0000-0100-000048010000}"/>
              </a:ext>
            </a:extLst>
          </xdr:cNvPr>
          <xdr:cNvGrpSpPr/>
        </xdr:nvGrpSpPr>
        <xdr:grpSpPr>
          <a:xfrm>
            <a:off x="2955659" y="81074173"/>
            <a:ext cx="3450068" cy="348155"/>
            <a:chOff x="2955659" y="81074173"/>
            <a:chExt cx="3450068" cy="348155"/>
          </a:xfrm>
        </xdr:grpSpPr>
        <xdr:sp macro="" textlink="">
          <xdr:nvSpPr>
            <xdr:cNvPr id="336" name="TextBox 335">
              <a:extLst>
                <a:ext uri="{FF2B5EF4-FFF2-40B4-BE49-F238E27FC236}">
                  <a16:creationId xmlns:a16="http://schemas.microsoft.com/office/drawing/2014/main" id="{00000000-0008-0000-0100-000050010000}"/>
                </a:ext>
              </a:extLst>
            </xdr:cNvPr>
            <xdr:cNvSpPr txBox="1"/>
          </xdr:nvSpPr>
          <xdr:spPr>
            <a:xfrm>
              <a:off x="2955659" y="81074173"/>
              <a:ext cx="3450068" cy="348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 rtlCol="0" anchor="ctr"/>
            <a:lstStyle/>
            <a:p>
              <a:r>
                <a:rPr lang="en-US" sz="700" b="0" i="0" baseline="0">
                  <a:solidFill>
                    <a:schemeClr val="dk1"/>
                  </a:solidFill>
                  <a:effectLst/>
                  <a:latin typeface="Arial" panose="020B0604020202020204" pitchFamily="34" charset="0"/>
                  <a:ea typeface="+mn-ea"/>
                  <a:cs typeface="Arial" panose="020B0604020202020204" pitchFamily="34" charset="0"/>
                </a:rPr>
                <a:t>Please be aware that important notices concerning this document and the product(s)</a:t>
              </a:r>
              <a:endParaRPr lang="en-US" sz="700">
                <a:effectLst/>
                <a:latin typeface="Arial" panose="020B0604020202020204" pitchFamily="34" charset="0"/>
                <a:cs typeface="Arial" panose="020B0604020202020204" pitchFamily="34" charset="0"/>
              </a:endParaRPr>
            </a:p>
            <a:p>
              <a:r>
                <a:rPr lang="en-US" sz="700" b="0" i="0" baseline="0">
                  <a:solidFill>
                    <a:schemeClr val="dk1"/>
                  </a:solidFill>
                  <a:effectLst/>
                  <a:latin typeface="Arial" panose="020B0604020202020204" pitchFamily="34" charset="0"/>
                  <a:ea typeface="+mn-ea"/>
                  <a:cs typeface="Arial" panose="020B0604020202020204" pitchFamily="34" charset="0"/>
                </a:rPr>
                <a:t>described herein, have been included in section 'Legal information'.</a:t>
              </a:r>
              <a:endParaRPr lang="en-US" sz="700">
                <a:effectLst/>
                <a:latin typeface="Arial" panose="020B0604020202020204" pitchFamily="34" charset="0"/>
                <a:cs typeface="Arial" panose="020B0604020202020204" pitchFamily="34" charset="0"/>
              </a:endParaRPr>
            </a:p>
          </xdr:txBody>
        </xdr:sp>
        <xdr:cxnSp macro="">
          <xdr:nvCxnSpPr>
            <xdr:cNvPr id="337" name="Straight Connector 336">
              <a:extLst>
                <a:ext uri="{FF2B5EF4-FFF2-40B4-BE49-F238E27FC236}">
                  <a16:creationId xmlns:a16="http://schemas.microsoft.com/office/drawing/2014/main" id="{00000000-0008-0000-0100-000051010000}"/>
                </a:ext>
              </a:extLst>
            </xdr:cNvPr>
            <xdr:cNvCxnSpPr/>
          </xdr:nvCxnSpPr>
          <xdr:spPr>
            <a:xfrm>
              <a:off x="2982874" y="81112276"/>
              <a:ext cx="3322777" cy="0"/>
            </a:xfrm>
            <a:prstGeom prst="line">
              <a:avLst/>
            </a:prstGeom>
            <a:ln w="12700">
              <a:solidFill>
                <a:sysClr val="windowText" lastClr="000000"/>
              </a:solidFill>
            </a:ln>
            <a:effectLst/>
          </xdr:spPr>
          <xdr:style>
            <a:lnRef idx="2">
              <a:schemeClr val="accent1"/>
            </a:lnRef>
            <a:fillRef idx="0">
              <a:schemeClr val="accent1"/>
            </a:fillRef>
            <a:effectRef idx="1">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100-000052010000}"/>
                </a:ext>
              </a:extLst>
            </xdr:cNvPr>
            <xdr:cNvCxnSpPr/>
          </xdr:nvCxnSpPr>
          <xdr:spPr>
            <a:xfrm>
              <a:off x="2977431" y="81395070"/>
              <a:ext cx="3328220" cy="0"/>
            </a:xfrm>
            <a:prstGeom prst="line">
              <a:avLst/>
            </a:prstGeom>
            <a:ln w="12700">
              <a:solidFill>
                <a:sysClr val="windowText" lastClr="000000"/>
              </a:solidFill>
            </a:ln>
            <a:effectLst/>
          </xdr:spPr>
          <xdr:style>
            <a:lnRef idx="2">
              <a:schemeClr val="accent1"/>
            </a:lnRef>
            <a:fillRef idx="0">
              <a:schemeClr val="accent1"/>
            </a:fillRef>
            <a:effectRef idx="1">
              <a:schemeClr val="accent1"/>
            </a:effectRef>
            <a:fontRef idx="minor">
              <a:schemeClr val="tx1"/>
            </a:fontRef>
          </xdr:style>
        </xdr:cxnSp>
      </xdr:grpSp>
    </xdr:grpSp>
    <xdr:clientData/>
  </xdr:twoCellAnchor>
  <xdr:twoCellAnchor>
    <xdr:from>
      <xdr:col>2</xdr:col>
      <xdr:colOff>21982</xdr:colOff>
      <xdr:row>4</xdr:row>
      <xdr:rowOff>73268</xdr:rowOff>
    </xdr:from>
    <xdr:to>
      <xdr:col>2</xdr:col>
      <xdr:colOff>21982</xdr:colOff>
      <xdr:row>7</xdr:row>
      <xdr:rowOff>189033</xdr:rowOff>
    </xdr:to>
    <xdr:cxnSp macro="">
      <xdr:nvCxnSpPr>
        <xdr:cNvPr id="172" name="Straight Connector 171">
          <a:extLst>
            <a:ext uri="{FF2B5EF4-FFF2-40B4-BE49-F238E27FC236}">
              <a16:creationId xmlns:a16="http://schemas.microsoft.com/office/drawing/2014/main" id="{00000000-0008-0000-0100-0000AC000000}"/>
            </a:ext>
          </a:extLst>
        </xdr:cNvPr>
        <xdr:cNvCxnSpPr/>
      </xdr:nvCxnSpPr>
      <xdr:spPr>
        <a:xfrm flipV="1">
          <a:off x="1077059" y="835268"/>
          <a:ext cx="0" cy="914400"/>
        </a:xfrm>
        <a:prstGeom prst="line">
          <a:avLst/>
        </a:prstGeom>
        <a:ln w="76200">
          <a:solidFill>
            <a:srgbClr val="00388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156715</xdr:colOff>
      <xdr:row>72</xdr:row>
      <xdr:rowOff>131884</xdr:rowOff>
    </xdr:from>
    <xdr:to>
      <xdr:col>11</xdr:col>
      <xdr:colOff>23843</xdr:colOff>
      <xdr:row>75</xdr:row>
      <xdr:rowOff>17584</xdr:rowOff>
    </xdr:to>
    <xdr:sp macro="" textlink="N78">
      <xdr:nvSpPr>
        <xdr:cNvPr id="165" name="TextBox 164">
          <a:extLst>
            <a:ext uri="{FF2B5EF4-FFF2-40B4-BE49-F238E27FC236}">
              <a16:creationId xmlns:a16="http://schemas.microsoft.com/office/drawing/2014/main" id="{00000000-0008-0000-0100-0000A5000000}"/>
            </a:ext>
          </a:extLst>
        </xdr:cNvPr>
        <xdr:cNvSpPr txBox="1"/>
      </xdr:nvSpPr>
      <xdr:spPr>
        <a:xfrm>
          <a:off x="4904561" y="21621749"/>
          <a:ext cx="92220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84C92CA-39A9-4B46-8CFF-CB4AE39EA6AB}" type="TxLink">
            <a:rPr lang="en-US" sz="800" b="0" i="0" u="none" strike="noStrike">
              <a:solidFill>
                <a:srgbClr val="000000"/>
              </a:solidFill>
              <a:latin typeface="Arial" panose="020B0604020202020204" pitchFamily="34" charset="0"/>
              <a:cs typeface="Arial" panose="020B0604020202020204" pitchFamily="34" charset="0"/>
            </a:rPr>
            <a:pPr algn="l"/>
            <a:t> 5.00V</a:t>
          </a:fld>
          <a:endParaRPr lang="fr-FR" sz="400" b="0">
            <a:solidFill>
              <a:schemeClr val="tx1"/>
            </a:solidFill>
            <a:latin typeface="Arial" panose="020B0604020202020204" pitchFamily="34" charset="0"/>
            <a:cs typeface="Arial" panose="020B0604020202020204" pitchFamily="34" charset="0"/>
          </a:endParaRPr>
        </a:p>
      </xdr:txBody>
    </xdr:sp>
    <xdr:clientData/>
  </xdr:twoCellAnchor>
  <xdr:twoCellAnchor>
    <xdr:from>
      <xdr:col>9</xdr:col>
      <xdr:colOff>156715</xdr:colOff>
      <xdr:row>77</xdr:row>
      <xdr:rowOff>182665</xdr:rowOff>
    </xdr:from>
    <xdr:to>
      <xdr:col>11</xdr:col>
      <xdr:colOff>23843</xdr:colOff>
      <xdr:row>80</xdr:row>
      <xdr:rowOff>68365</xdr:rowOff>
    </xdr:to>
    <xdr:sp macro="" textlink="N79">
      <xdr:nvSpPr>
        <xdr:cNvPr id="166" name="TextBox 165">
          <a:extLst>
            <a:ext uri="{FF2B5EF4-FFF2-40B4-BE49-F238E27FC236}">
              <a16:creationId xmlns:a16="http://schemas.microsoft.com/office/drawing/2014/main" id="{00000000-0008-0000-0100-0000A6000000}"/>
            </a:ext>
          </a:extLst>
        </xdr:cNvPr>
        <xdr:cNvSpPr txBox="1"/>
      </xdr:nvSpPr>
      <xdr:spPr>
        <a:xfrm>
          <a:off x="4904561" y="22625030"/>
          <a:ext cx="92220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3F46B35-62CF-4A66-97F6-0DCA9041C4DD}" type="TxLink">
            <a:rPr lang="en-US" sz="800" b="0" i="0" u="none" strike="noStrike">
              <a:solidFill>
                <a:srgbClr val="000000"/>
              </a:solidFill>
              <a:latin typeface="Arial" panose="020B0604020202020204" pitchFamily="34" charset="0"/>
              <a:cs typeface="Arial" panose="020B0604020202020204" pitchFamily="34" charset="0"/>
            </a:rPr>
            <a:pPr algn="l"/>
            <a:t> 1.25V</a:t>
          </a:fld>
          <a:endParaRPr lang="fr-FR" sz="400" b="0">
            <a:solidFill>
              <a:schemeClr val="tx1"/>
            </a:solidFill>
            <a:latin typeface="Arial" panose="020B0604020202020204" pitchFamily="34" charset="0"/>
            <a:cs typeface="Arial" panose="020B0604020202020204" pitchFamily="34" charset="0"/>
          </a:endParaRPr>
        </a:p>
      </xdr:txBody>
    </xdr:sp>
    <xdr:clientData/>
  </xdr:twoCellAnchor>
  <xdr:twoCellAnchor>
    <xdr:from>
      <xdr:col>9</xdr:col>
      <xdr:colOff>156715</xdr:colOff>
      <xdr:row>81</xdr:row>
      <xdr:rowOff>50401</xdr:rowOff>
    </xdr:from>
    <xdr:to>
      <xdr:col>11</xdr:col>
      <xdr:colOff>23843</xdr:colOff>
      <xdr:row>83</xdr:row>
      <xdr:rowOff>126601</xdr:rowOff>
    </xdr:to>
    <xdr:sp macro="" textlink="N80">
      <xdr:nvSpPr>
        <xdr:cNvPr id="167" name="TextBox 166">
          <a:extLst>
            <a:ext uri="{FF2B5EF4-FFF2-40B4-BE49-F238E27FC236}">
              <a16:creationId xmlns:a16="http://schemas.microsoft.com/office/drawing/2014/main" id="{00000000-0008-0000-0100-0000A7000000}"/>
            </a:ext>
          </a:extLst>
        </xdr:cNvPr>
        <xdr:cNvSpPr txBox="1"/>
      </xdr:nvSpPr>
      <xdr:spPr>
        <a:xfrm>
          <a:off x="4904561" y="23254766"/>
          <a:ext cx="92220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104BC23-5457-44DE-8467-BDB7FB80DC62}" type="TxLink">
            <a:rPr lang="en-US" sz="800" b="0" i="0" u="none" strike="noStrike">
              <a:solidFill>
                <a:srgbClr val="000000"/>
              </a:solidFill>
              <a:latin typeface="Arial" panose="020B0604020202020204" pitchFamily="34" charset="0"/>
              <a:cs typeface="Arial" panose="020B0604020202020204" pitchFamily="34" charset="0"/>
            </a:rPr>
            <a:pPr algn="l"/>
            <a:t> 3.3V</a:t>
          </a:fld>
          <a:endParaRPr lang="fr-FR" sz="400" b="0">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58615</xdr:colOff>
      <xdr:row>256</xdr:row>
      <xdr:rowOff>175847</xdr:rowOff>
    </xdr:from>
    <xdr:to>
      <xdr:col>11</xdr:col>
      <xdr:colOff>477102</xdr:colOff>
      <xdr:row>258</xdr:row>
      <xdr:rowOff>124335</xdr:rowOff>
    </xdr:to>
    <xdr:grpSp>
      <xdr:nvGrpSpPr>
        <xdr:cNvPr id="160" name="Group 159">
          <a:extLst>
            <a:ext uri="{FF2B5EF4-FFF2-40B4-BE49-F238E27FC236}">
              <a16:creationId xmlns:a16="http://schemas.microsoft.com/office/drawing/2014/main" id="{00000000-0008-0000-0100-0000A0000000}"/>
            </a:ext>
          </a:extLst>
        </xdr:cNvPr>
        <xdr:cNvGrpSpPr/>
      </xdr:nvGrpSpPr>
      <xdr:grpSpPr>
        <a:xfrm>
          <a:off x="58615" y="57128778"/>
          <a:ext cx="6199177" cy="329488"/>
          <a:chOff x="38545" y="18733119"/>
          <a:chExt cx="6221410" cy="329488"/>
        </a:xfrm>
      </xdr:grpSpPr>
      <xdr:sp macro="" textlink="">
        <xdr:nvSpPr>
          <xdr:cNvPr id="161" name="TextBox 160">
            <a:extLst>
              <a:ext uri="{FF2B5EF4-FFF2-40B4-BE49-F238E27FC236}">
                <a16:creationId xmlns:a16="http://schemas.microsoft.com/office/drawing/2014/main" id="{00000000-0008-0000-0100-0000A1000000}"/>
              </a:ext>
            </a:extLst>
          </xdr:cNvPr>
          <xdr:cNvSpPr txBox="1"/>
        </xdr:nvSpPr>
        <xdr:spPr>
          <a:xfrm>
            <a:off x="1755686" y="18733119"/>
            <a:ext cx="2776586" cy="170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600" b="0" i="0" u="none" strike="noStrike">
                <a:solidFill>
                  <a:sysClr val="windowText" lastClr="000000"/>
                </a:solidFill>
                <a:latin typeface="Arial" panose="020B0604020202020204" pitchFamily="34" charset="0"/>
                <a:cs typeface="Arial" panose="020B0604020202020204" pitchFamily="34" charset="0"/>
              </a:rPr>
              <a:t> All information provided in this document is subjected to legal disclaimers.</a:t>
            </a:r>
          </a:p>
        </xdr:txBody>
      </xdr:sp>
      <xdr:sp macro="" textlink="H73">
        <xdr:nvSpPr>
          <xdr:cNvPr id="162" name="TextBox 161">
            <a:extLst>
              <a:ext uri="{FF2B5EF4-FFF2-40B4-BE49-F238E27FC236}">
                <a16:creationId xmlns:a16="http://schemas.microsoft.com/office/drawing/2014/main" id="{00000000-0008-0000-0100-0000A2000000}"/>
              </a:ext>
            </a:extLst>
          </xdr:cNvPr>
          <xdr:cNvSpPr txBox="1"/>
        </xdr:nvSpPr>
        <xdr:spPr>
          <a:xfrm>
            <a:off x="4830904" y="18744326"/>
            <a:ext cx="1429051"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b="0" i="0" u="none" strike="noStrike" baseline="0">
                <a:solidFill>
                  <a:schemeClr val="dk1"/>
                </a:solidFill>
                <a:latin typeface="Arial" panose="020B0604020202020204" pitchFamily="34" charset="0"/>
                <a:ea typeface="+mn-ea"/>
                <a:cs typeface="Arial" panose="020B0604020202020204" pitchFamily="34" charset="0"/>
              </a:rPr>
              <a:t>© NXP B.V. 2019. All rights reserved.</a:t>
            </a:r>
            <a:endParaRPr lang="en-US" sz="600">
              <a:latin typeface="Arial" panose="020B0604020202020204" pitchFamily="34" charset="0"/>
              <a:cs typeface="Arial" panose="020B0604020202020204" pitchFamily="34" charset="0"/>
            </a:endParaRPr>
          </a:p>
        </xdr:txBody>
      </xdr:sp>
      <xdr:cxnSp macro="">
        <xdr:nvCxnSpPr>
          <xdr:cNvPr id="163" name="Straight Connector 162">
            <a:extLst>
              <a:ext uri="{FF2B5EF4-FFF2-40B4-BE49-F238E27FC236}">
                <a16:creationId xmlns:a16="http://schemas.microsoft.com/office/drawing/2014/main" id="{00000000-0008-0000-0100-0000A3000000}"/>
              </a:ext>
            </a:extLst>
          </xdr:cNvPr>
          <xdr:cNvCxnSpPr/>
        </xdr:nvCxnSpPr>
        <xdr:spPr>
          <a:xfrm>
            <a:off x="108190" y="18894812"/>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61">
        <xdr:nvSpPr>
          <xdr:cNvPr id="164" name="TextBox 163">
            <a:extLst>
              <a:ext uri="{FF2B5EF4-FFF2-40B4-BE49-F238E27FC236}">
                <a16:creationId xmlns:a16="http://schemas.microsoft.com/office/drawing/2014/main" id="{00000000-0008-0000-0100-0000A4000000}"/>
              </a:ext>
            </a:extLst>
          </xdr:cNvPr>
          <xdr:cNvSpPr txBox="1"/>
        </xdr:nvSpPr>
        <xdr:spPr>
          <a:xfrm>
            <a:off x="48168" y="18737757"/>
            <a:ext cx="1436076" cy="161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2D4209-350C-4078-8DEE-4F3E1DFA059F}" type="TxLink">
              <a:rPr lang="en-US" sz="600" b="0" i="0" u="none" strike="noStrike">
                <a:solidFill>
                  <a:srgbClr val="000000"/>
                </a:solidFill>
                <a:latin typeface="Arial" panose="020B0604020202020204" pitchFamily="34" charset="0"/>
                <a:cs typeface="Arial" panose="020B0604020202020204" pitchFamily="34" charset="0"/>
              </a:rPr>
              <a:pPr algn="l"/>
              <a:t>R_PC33FS8530A0ES</a:t>
            </a:fld>
            <a:endParaRPr lang="en-US" sz="600" b="0" i="0" u="none" strike="noStrike">
              <a:solidFill>
                <a:sysClr val="windowText" lastClr="000000"/>
              </a:solidFill>
              <a:latin typeface="Arial" panose="020B0604020202020204" pitchFamily="34" charset="0"/>
              <a:cs typeface="Arial" panose="020B0604020202020204" pitchFamily="34" charset="0"/>
            </a:endParaRPr>
          </a:p>
        </xdr:txBody>
      </xdr:sp>
      <xdr:sp macro="" textlink="">
        <xdr:nvSpPr>
          <xdr:cNvPr id="168" name="TextBox 167">
            <a:extLst>
              <a:ext uri="{FF2B5EF4-FFF2-40B4-BE49-F238E27FC236}">
                <a16:creationId xmlns:a16="http://schemas.microsoft.com/office/drawing/2014/main" id="{00000000-0008-0000-0100-0000A8000000}"/>
              </a:ext>
            </a:extLst>
          </xdr:cNvPr>
          <xdr:cNvSpPr txBox="1"/>
        </xdr:nvSpPr>
        <xdr:spPr>
          <a:xfrm>
            <a:off x="38545" y="18885952"/>
            <a:ext cx="854639" cy="176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003883"/>
                </a:solidFill>
                <a:latin typeface="Arial" panose="020B0604020202020204" pitchFamily="34" charset="0"/>
                <a:cs typeface="Arial" panose="020B0604020202020204" pitchFamily="34" charset="0"/>
              </a:rPr>
              <a:t>Report</a:t>
            </a:r>
          </a:p>
        </xdr:txBody>
      </xdr:sp>
      <xdr:sp macro="" textlink="">
        <xdr:nvSpPr>
          <xdr:cNvPr id="169" name="TextBox 168">
            <a:extLst>
              <a:ext uri="{FF2B5EF4-FFF2-40B4-BE49-F238E27FC236}">
                <a16:creationId xmlns:a16="http://schemas.microsoft.com/office/drawing/2014/main" id="{00000000-0008-0000-0100-0000A9000000}"/>
              </a:ext>
            </a:extLst>
          </xdr:cNvPr>
          <xdr:cNvSpPr txBox="1"/>
        </xdr:nvSpPr>
        <xdr:spPr>
          <a:xfrm>
            <a:off x="1979787" y="18879727"/>
            <a:ext cx="84731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n-US" sz="1000" b="1" i="0" u="none" strike="noStrike">
                <a:solidFill>
                  <a:srgbClr val="003883"/>
                </a:solidFill>
                <a:latin typeface="Arial" panose="020B0604020202020204" pitchFamily="34" charset="0"/>
                <a:cs typeface="Arial" panose="020B0604020202020204" pitchFamily="34" charset="0"/>
              </a:rPr>
              <a:t>Rev 1.0 —</a:t>
            </a:r>
            <a:endParaRPr lang="en-US" sz="1400" b="1" i="0" u="none" strike="noStrike">
              <a:solidFill>
                <a:srgbClr val="003883"/>
              </a:solidFill>
              <a:latin typeface="Arial" panose="020B0604020202020204" pitchFamily="34" charset="0"/>
              <a:cs typeface="Arial" panose="020B0604020202020204" pitchFamily="34" charset="0"/>
            </a:endParaRPr>
          </a:p>
        </xdr:txBody>
      </xdr:sp>
      <xdr:sp macro="" textlink="N7">
        <xdr:nvSpPr>
          <xdr:cNvPr id="170" name="TextBox 169">
            <a:extLst>
              <a:ext uri="{FF2B5EF4-FFF2-40B4-BE49-F238E27FC236}">
                <a16:creationId xmlns:a16="http://schemas.microsoft.com/office/drawing/2014/main" id="{00000000-0008-0000-0100-0000AA000000}"/>
              </a:ext>
            </a:extLst>
          </xdr:cNvPr>
          <xdr:cNvSpPr txBox="1"/>
        </xdr:nvSpPr>
        <xdr:spPr>
          <a:xfrm>
            <a:off x="2662359" y="18879727"/>
            <a:ext cx="1528633"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marL="0" indent="0"/>
            <a:fld id="{49A70CFF-3ADF-4961-A0C2-C570AF91D49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t> </a:t>
            </a:fld>
            <a:endParaRPr lang="en-US" sz="10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65942</xdr:colOff>
      <xdr:row>259</xdr:row>
      <xdr:rowOff>65944</xdr:rowOff>
    </xdr:from>
    <xdr:to>
      <xdr:col>11</xdr:col>
      <xdr:colOff>476965</xdr:colOff>
      <xdr:row>262</xdr:row>
      <xdr:rowOff>1074</xdr:rowOff>
    </xdr:to>
    <xdr:grpSp>
      <xdr:nvGrpSpPr>
        <xdr:cNvPr id="171" name="Group 170">
          <a:extLst>
            <a:ext uri="{FF2B5EF4-FFF2-40B4-BE49-F238E27FC236}">
              <a16:creationId xmlns:a16="http://schemas.microsoft.com/office/drawing/2014/main" id="{00000000-0008-0000-0100-0000AB000000}"/>
            </a:ext>
          </a:extLst>
        </xdr:cNvPr>
        <xdr:cNvGrpSpPr/>
      </xdr:nvGrpSpPr>
      <xdr:grpSpPr>
        <a:xfrm>
          <a:off x="65942" y="57590375"/>
          <a:ext cx="6191713" cy="506630"/>
          <a:chOff x="66548" y="19210276"/>
          <a:chExt cx="6213946" cy="506630"/>
        </a:xfrm>
      </xdr:grpSpPr>
      <xdr:sp macro="" textlink="">
        <xdr:nvSpPr>
          <xdr:cNvPr id="173" name="TextBox 172">
            <a:extLst>
              <a:ext uri="{FF2B5EF4-FFF2-40B4-BE49-F238E27FC236}">
                <a16:creationId xmlns:a16="http://schemas.microsoft.com/office/drawing/2014/main" id="{00000000-0008-0000-0100-0000AD000000}"/>
              </a:ext>
            </a:extLst>
          </xdr:cNvPr>
          <xdr:cNvSpPr txBox="1"/>
        </xdr:nvSpPr>
        <xdr:spPr>
          <a:xfrm>
            <a:off x="66548" y="19228995"/>
            <a:ext cx="2184989" cy="274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ln>
                  <a:noFill/>
                </a:ln>
                <a:solidFill>
                  <a:srgbClr val="003883"/>
                </a:solidFill>
                <a:latin typeface="Arial" panose="020B0604020202020204" pitchFamily="34" charset="0"/>
                <a:cs typeface="Arial" panose="020B0604020202020204" pitchFamily="34" charset="0"/>
              </a:rPr>
              <a:t>NXP Semiconductors</a:t>
            </a:r>
            <a:endParaRPr lang="en-US" sz="1400" b="1" i="0" u="none" strike="noStrike" baseline="0">
              <a:ln>
                <a:noFill/>
              </a:ln>
              <a:solidFill>
                <a:srgbClr val="003883"/>
              </a:solidFill>
              <a:latin typeface="Arial" panose="020B0604020202020204" pitchFamily="34" charset="0"/>
              <a:cs typeface="Arial" panose="020B0604020202020204" pitchFamily="34" charset="0"/>
            </a:endParaRPr>
          </a:p>
        </xdr:txBody>
      </xdr:sp>
      <xdr:cxnSp macro="">
        <xdr:nvCxnSpPr>
          <xdr:cNvPr id="174" name="Straight Connector 173">
            <a:extLst>
              <a:ext uri="{FF2B5EF4-FFF2-40B4-BE49-F238E27FC236}">
                <a16:creationId xmlns:a16="http://schemas.microsoft.com/office/drawing/2014/main" id="{00000000-0008-0000-0100-0000AE000000}"/>
              </a:ext>
            </a:extLst>
          </xdr:cNvPr>
          <xdr:cNvCxnSpPr/>
        </xdr:nvCxnSpPr>
        <xdr:spPr>
          <a:xfrm>
            <a:off x="108190" y="19506270"/>
            <a:ext cx="6126480" cy="0"/>
          </a:xfrm>
          <a:prstGeom prst="line">
            <a:avLst/>
          </a:prstGeom>
          <a:ln w="12700">
            <a:solidFill>
              <a:srgbClr val="003883"/>
            </a:solidFill>
          </a:ln>
          <a:effectLst/>
        </xdr:spPr>
        <xdr:style>
          <a:lnRef idx="2">
            <a:schemeClr val="accent1"/>
          </a:lnRef>
          <a:fillRef idx="0">
            <a:schemeClr val="accent1"/>
          </a:fillRef>
          <a:effectRef idx="1">
            <a:schemeClr val="accent1"/>
          </a:effectRef>
          <a:fontRef idx="minor">
            <a:schemeClr val="tx1"/>
          </a:fontRef>
        </xdr:style>
      </xdr:cxnSp>
      <xdr:sp macro="" textlink="N5">
        <xdr:nvSpPr>
          <xdr:cNvPr id="175" name="TextBox 174">
            <a:extLst>
              <a:ext uri="{FF2B5EF4-FFF2-40B4-BE49-F238E27FC236}">
                <a16:creationId xmlns:a16="http://schemas.microsoft.com/office/drawing/2014/main" id="{00000000-0008-0000-0100-0000AF000000}"/>
              </a:ext>
            </a:extLst>
          </xdr:cNvPr>
          <xdr:cNvSpPr txBox="1"/>
        </xdr:nvSpPr>
        <xdr:spPr>
          <a:xfrm>
            <a:off x="2891655" y="19210276"/>
            <a:ext cx="3388839" cy="293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FE3294A-062F-41B0-A88D-185AAB6EAB05}" type="TxLink">
              <a:rPr lang="en-US" sz="2000" b="1" i="0" u="none" strike="noStrike">
                <a:ln>
                  <a:noFill/>
                </a:ln>
                <a:solidFill>
                  <a:srgbClr val="003883"/>
                </a:solidFill>
                <a:latin typeface="Arial" panose="020B0604020202020204" pitchFamily="34" charset="0"/>
                <a:cs typeface="Arial" panose="020B0604020202020204" pitchFamily="34" charset="0"/>
              </a:rPr>
              <a:pPr algn="r"/>
              <a:t>PC33FS8530A0ES</a:t>
            </a:fld>
            <a:endParaRPr lang="en-US" sz="4000" b="1">
              <a:ln>
                <a:noFill/>
              </a:ln>
              <a:solidFill>
                <a:srgbClr val="003883"/>
              </a:solidFill>
              <a:latin typeface="Arial" panose="020B0604020202020204" pitchFamily="34" charset="0"/>
              <a:cs typeface="Arial" panose="020B0604020202020204" pitchFamily="34" charset="0"/>
            </a:endParaRPr>
          </a:p>
        </xdr:txBody>
      </xdr:sp>
      <xdr:sp macro="" textlink="N6">
        <xdr:nvSpPr>
          <xdr:cNvPr id="176" name="TextBox 175">
            <a:extLst>
              <a:ext uri="{FF2B5EF4-FFF2-40B4-BE49-F238E27FC236}">
                <a16:creationId xmlns:a16="http://schemas.microsoft.com/office/drawing/2014/main" id="{00000000-0008-0000-0100-0000B0000000}"/>
              </a:ext>
            </a:extLst>
          </xdr:cNvPr>
          <xdr:cNvSpPr txBox="1"/>
        </xdr:nvSpPr>
        <xdr:spPr>
          <a:xfrm>
            <a:off x="286596" y="19506547"/>
            <a:ext cx="5982539" cy="210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61665AD-65D0-4A68-8486-05726EA09B78}" type="TxLink">
              <a:rPr lang="en-US" sz="1000" b="1" i="0" u="none" strike="noStrike">
                <a:solidFill>
                  <a:srgbClr val="003883"/>
                </a:solidFill>
                <a:latin typeface="Arial" panose="020B0604020202020204" pitchFamily="34" charset="0"/>
                <a:ea typeface="+mn-ea"/>
                <a:cs typeface="Arial" panose="020B0604020202020204" pitchFamily="34" charset="0"/>
              </a:rPr>
              <a:pPr marL="0" indent="0" algn="r"/>
              <a:t>Configuration report for FS8530 OTP program ID: A0 rev A</a:t>
            </a:fld>
            <a:endParaRPr lang="en-US" sz="900" b="1" i="0" u="none" strike="noStrike">
              <a:solidFill>
                <a:srgbClr val="003883"/>
              </a:solidFill>
              <a:latin typeface="Arial" panose="020B0604020202020204" pitchFamily="34" charset="0"/>
              <a:ea typeface="+mn-ea"/>
              <a:cs typeface="Arial" panose="020B0604020202020204" pitchFamily="34" charset="0"/>
            </a:endParaRPr>
          </a:p>
        </xdr:txBody>
      </xdr:sp>
    </xdr:grpSp>
    <xdr:clientData/>
  </xdr:twoCellAnchor>
  <xdr:twoCellAnchor>
    <xdr:from>
      <xdr:col>2</xdr:col>
      <xdr:colOff>37580</xdr:colOff>
      <xdr:row>6</xdr:row>
      <xdr:rowOff>168035</xdr:rowOff>
    </xdr:from>
    <xdr:to>
      <xdr:col>4</xdr:col>
      <xdr:colOff>536920</xdr:colOff>
      <xdr:row>8</xdr:row>
      <xdr:rowOff>37588</xdr:rowOff>
    </xdr:to>
    <xdr:sp macro="" textlink="$N$8">
      <xdr:nvSpPr>
        <xdr:cNvPr id="177" name="TextBox 176">
          <a:extLst>
            <a:ext uri="{FF2B5EF4-FFF2-40B4-BE49-F238E27FC236}">
              <a16:creationId xmlns:a16="http://schemas.microsoft.com/office/drawing/2014/main" id="{00000000-0008-0000-0100-0000B1000000}"/>
            </a:ext>
          </a:extLst>
        </xdr:cNvPr>
        <xdr:cNvSpPr txBox="1"/>
      </xdr:nvSpPr>
      <xdr:spPr>
        <a:xfrm>
          <a:off x="1130656" y="1518614"/>
          <a:ext cx="1592416" cy="237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F93BEB9-D52D-4A90-BB24-7B97517F2950}" type="TxLink">
            <a:rPr lang="en-US" sz="1000" b="1" i="0" u="none" strike="noStrike">
              <a:solidFill>
                <a:schemeClr val="tx2"/>
              </a:solidFill>
              <a:latin typeface="Arial" panose="020B0604020202020204" pitchFamily="34" charset="0"/>
              <a:ea typeface="+mn-ea"/>
              <a:cs typeface="Arial" panose="020B0604020202020204" pitchFamily="34" charset="0"/>
            </a:rPr>
            <a:pPr marL="0" indent="0"/>
            <a:t>Rev 2.2 — </a:t>
          </a:fld>
          <a:endParaRPr lang="en-US" sz="600" b="1" i="0" u="none" strike="noStrike">
            <a:solidFill>
              <a:schemeClr val="tx2"/>
            </a:solidFill>
            <a:latin typeface="Arial" panose="020B0604020202020204" pitchFamily="34" charset="0"/>
            <a:ea typeface="+mn-ea"/>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285750</xdr:colOff>
          <xdr:row>0</xdr:row>
          <xdr:rowOff>104775</xdr:rowOff>
        </xdr:from>
        <xdr:to>
          <xdr:col>15</xdr:col>
          <xdr:colOff>723900</xdr:colOff>
          <xdr:row>2</xdr:row>
          <xdr:rowOff>95250</xdr:rowOff>
        </xdr:to>
        <xdr:sp macro="" textlink="">
          <xdr:nvSpPr>
            <xdr:cNvPr id="21507" name="Apply_OTP_Config"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0</xdr:row>
          <xdr:rowOff>104775</xdr:rowOff>
        </xdr:from>
        <xdr:to>
          <xdr:col>1</xdr:col>
          <xdr:colOff>866775</xdr:colOff>
          <xdr:row>2</xdr:row>
          <xdr:rowOff>95250</xdr:rowOff>
        </xdr:to>
        <xdr:sp macro="" textlink="">
          <xdr:nvSpPr>
            <xdr:cNvPr id="21508" name="Load_ATE_File"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38100</xdr:rowOff>
        </xdr:from>
        <xdr:to>
          <xdr:col>6</xdr:col>
          <xdr:colOff>1066800</xdr:colOff>
          <xdr:row>1</xdr:row>
          <xdr:rowOff>276225</xdr:rowOff>
        </xdr:to>
        <xdr:sp macro="" textlink="">
          <xdr:nvSpPr>
            <xdr:cNvPr id="4098" name="Generate_OTP_File_GUI"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xdr:rowOff>
        </xdr:from>
        <xdr:to>
          <xdr:col>9</xdr:col>
          <xdr:colOff>95250</xdr:colOff>
          <xdr:row>1</xdr:row>
          <xdr:rowOff>304800</xdr:rowOff>
        </xdr:to>
        <xdr:sp macro="" textlink="">
          <xdr:nvSpPr>
            <xdr:cNvPr id="4099" name="Generate_OTP_File_AT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61333</xdr:colOff>
      <xdr:row>21</xdr:row>
      <xdr:rowOff>47778</xdr:rowOff>
    </xdr:from>
    <xdr:to>
      <xdr:col>18</xdr:col>
      <xdr:colOff>746985</xdr:colOff>
      <xdr:row>48</xdr:row>
      <xdr:rowOff>159251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263468</xdr:colOff>
      <xdr:row>35</xdr:row>
      <xdr:rowOff>93881</xdr:rowOff>
    </xdr:from>
    <xdr:to>
      <xdr:col>24</xdr:col>
      <xdr:colOff>343593</xdr:colOff>
      <xdr:row>48</xdr:row>
      <xdr:rowOff>123854</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12522703" y="7299263"/>
          <a:ext cx="6131302" cy="2909885"/>
          <a:chOff x="16049855" y="6233584"/>
          <a:chExt cx="6209255" cy="2944623"/>
        </a:xfrm>
      </xdr:grpSpPr>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16049855" y="6233584"/>
            <a:ext cx="6209255" cy="2944623"/>
          </a:xfrm>
          <a:prstGeom prst="rect">
            <a:avLst/>
          </a:prstGeom>
        </xdr:spPr>
      </xdr:pic>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7890435" y="7727675"/>
            <a:ext cx="1159565" cy="273327"/>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rgbClr val="00B050"/>
                </a:solidFill>
              </a:rPr>
              <a:t>gmEA x Rcomp</a:t>
            </a:r>
          </a:p>
        </xdr:txBody>
      </xdr:sp>
    </xdr:grpSp>
    <xdr:clientData/>
  </xdr:twoCellAnchor>
  <xdr:twoCellAnchor>
    <xdr:from>
      <xdr:col>14</xdr:col>
      <xdr:colOff>142875</xdr:colOff>
      <xdr:row>6</xdr:row>
      <xdr:rowOff>38100</xdr:rowOff>
    </xdr:from>
    <xdr:to>
      <xdr:col>24</xdr:col>
      <xdr:colOff>464185</xdr:colOff>
      <xdr:row>31</xdr:row>
      <xdr:rowOff>126365</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12402110" y="1181100"/>
          <a:ext cx="6372487" cy="5119706"/>
          <a:chOff x="12372975" y="1181100"/>
          <a:chExt cx="6417310" cy="4741908"/>
        </a:xfrm>
      </xdr:grpSpPr>
      <xdr:pic>
        <xdr:nvPicPr>
          <xdr:cNvPr id="6" name="Picture 5">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2"/>
          <a:stretch>
            <a:fillRect/>
          </a:stretch>
        </xdr:blipFill>
        <xdr:spPr>
          <a:xfrm>
            <a:off x="12372975" y="1181100"/>
            <a:ext cx="6417310" cy="4741908"/>
          </a:xfrm>
          <a:prstGeom prst="rect">
            <a:avLst/>
          </a:prstGeom>
        </xdr:spPr>
      </xdr:pic>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5974785" y="5007430"/>
            <a:ext cx="310243" cy="12518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800">
                <a:solidFill>
                  <a:srgbClr val="00B050"/>
                </a:solidFill>
              </a:rPr>
              <a:t>Chf</a:t>
            </a:r>
            <a:endParaRPr lang="fr-FR" sz="1100">
              <a:solidFill>
                <a:srgbClr val="00B050"/>
              </a:solidFill>
            </a:endParaRPr>
          </a:p>
        </xdr:txBody>
      </xdr:sp>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16802100" y="4659086"/>
            <a:ext cx="348343" cy="1251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800">
                <a:solidFill>
                  <a:srgbClr val="00B050"/>
                </a:solidFill>
              </a:rPr>
              <a:t>Rcomp</a:t>
            </a:r>
            <a:endParaRPr lang="fr-FR" sz="1100">
              <a:solidFill>
                <a:srgbClr val="00B050"/>
              </a:solidFill>
            </a:endParaRPr>
          </a:p>
        </xdr:txBody>
      </xdr:sp>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6861973" y="5159829"/>
            <a:ext cx="348343" cy="1251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800">
                <a:solidFill>
                  <a:srgbClr val="00B050"/>
                </a:solidFill>
              </a:rPr>
              <a:t>Ccomp</a:t>
            </a:r>
            <a:endParaRPr lang="fr-FR" sz="1100">
              <a:solidFill>
                <a:srgbClr val="00B050"/>
              </a:solidFil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285750</xdr:colOff>
      <xdr:row>9</xdr:row>
      <xdr:rowOff>9525</xdr:rowOff>
    </xdr:from>
    <xdr:to>
      <xdr:col>24</xdr:col>
      <xdr:colOff>370702</xdr:colOff>
      <xdr:row>44</xdr:row>
      <xdr:rowOff>18215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962900" y="1762125"/>
          <a:ext cx="6180952" cy="667619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uk35fil42\tls_ampd\products_auto\NPI\FS8500\6_Application_Customer\3_Application_Notes\Pdis\FS85_PDTCALC_rev1.0_market_launch.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uk35fil42\tls_ampd\Users\nxa17368\AppData\Local\Microsoft\Windows\INetCache\Content.Outlook\W75ZEW86\PF8x00%20Custom%20OTP%20Request%20Form%20Rev2p7_PRELIMINARY%20-%20UNLOCK%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_Details"/>
      <sheetName val="Revision_History"/>
      <sheetName val="User_Guide"/>
      <sheetName val="FS85_PDTCALC"/>
      <sheetName val="System_PDTCALC"/>
      <sheetName val="FS85_UseCases"/>
    </sheetNames>
    <sheetDataSet>
      <sheetData sheetId="0" refreshError="1"/>
      <sheetData sheetId="1" refreshError="1"/>
      <sheetData sheetId="2" refreshError="1"/>
      <sheetData sheetId="3">
        <row r="14">
          <cell r="F14">
            <v>3</v>
          </cell>
          <cell r="O14">
            <v>500</v>
          </cell>
        </row>
        <row r="15">
          <cell r="F15">
            <v>2</v>
          </cell>
        </row>
        <row r="16">
          <cell r="F16">
            <v>900</v>
          </cell>
        </row>
        <row r="17">
          <cell r="R17">
            <v>0</v>
          </cell>
        </row>
        <row r="18">
          <cell r="R18">
            <v>20</v>
          </cell>
        </row>
        <row r="21">
          <cell r="F21">
            <v>3</v>
          </cell>
        </row>
        <row r="22">
          <cell r="F22">
            <v>2</v>
          </cell>
        </row>
        <row r="23">
          <cell r="F23">
            <v>900</v>
          </cell>
        </row>
      </sheetData>
      <sheetData sheetId="4">
        <row r="8">
          <cell r="C8">
            <v>0.256439797771499</v>
          </cell>
          <cell r="F8" t="str">
            <v>Vpre</v>
          </cell>
          <cell r="I8" t="str">
            <v>Vpre</v>
          </cell>
        </row>
        <row r="9">
          <cell r="C9">
            <v>0.35</v>
          </cell>
          <cell r="F9">
            <v>1.1000000000000001</v>
          </cell>
          <cell r="I9">
            <v>1.8</v>
          </cell>
        </row>
        <row r="10">
          <cell r="C10">
            <v>40</v>
          </cell>
          <cell r="F10">
            <v>0</v>
          </cell>
          <cell r="I10">
            <v>0</v>
          </cell>
        </row>
        <row r="15">
          <cell r="C15">
            <v>8.9753929220024647E-2</v>
          </cell>
          <cell r="F15">
            <v>0</v>
          </cell>
          <cell r="I15">
            <v>0</v>
          </cell>
        </row>
        <row r="16">
          <cell r="C16">
            <v>2.6304547952434921E-3</v>
          </cell>
          <cell r="F16">
            <v>0</v>
          </cell>
          <cell r="I16">
            <v>0</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Input Form"/>
      <sheetName val="CoverSheet"/>
      <sheetName val="Equivalent Hex Code"/>
      <sheetName val="Hex File Worksheet"/>
      <sheetName val="Register Reference"/>
      <sheetName val="SEQ"/>
      <sheetName val="Rev_History"/>
    </sheetNames>
    <sheetDataSet>
      <sheetData sheetId="0"/>
      <sheetData sheetId="1"/>
      <sheetData sheetId="2"/>
      <sheetData sheetId="3"/>
      <sheetData sheetId="4"/>
      <sheetData sheetId="5">
        <row r="2">
          <cell r="D2" t="str">
            <v>(Select)</v>
          </cell>
        </row>
        <row r="3">
          <cell r="D3" t="str">
            <v>Sample</v>
          </cell>
        </row>
        <row r="4">
          <cell r="D4" t="str">
            <v>Production</v>
          </cell>
        </row>
        <row r="5">
          <cell r="D5" t="str">
            <v>Custom</v>
          </cell>
        </row>
        <row r="6">
          <cell r="J6" t="str">
            <v>OTP</v>
          </cell>
        </row>
        <row r="7">
          <cell r="D7" t="str">
            <v>(Select)</v>
          </cell>
          <cell r="J7" t="str">
            <v>TBB</v>
          </cell>
        </row>
        <row r="8">
          <cell r="D8" t="str">
            <v>PF8200 (ASIL-B Safety)</v>
          </cell>
          <cell r="J8" t="str">
            <v>S_HEX</v>
          </cell>
        </row>
        <row r="9">
          <cell r="D9" t="str">
            <v>PF8100 (Non-Safety)</v>
          </cell>
          <cell r="J9" t="str">
            <v>I_HEX</v>
          </cell>
        </row>
        <row r="13">
          <cell r="D13" t="str">
            <v>(Select)</v>
          </cell>
        </row>
        <row r="14">
          <cell r="D14" t="str">
            <v>Event does not assert FSOB</v>
          </cell>
        </row>
        <row r="15">
          <cell r="D15" t="str">
            <v>Event asserts FSOB</v>
          </cell>
        </row>
        <row r="17">
          <cell r="D17" t="str">
            <v>(Select)</v>
          </cell>
        </row>
        <row r="18">
          <cell r="D18" t="str">
            <v>Event does not assert FSOB</v>
          </cell>
        </row>
        <row r="19">
          <cell r="D19" t="str">
            <v>Event asserts FSOB</v>
          </cell>
        </row>
        <row r="21">
          <cell r="D21" t="str">
            <v>(Select)</v>
          </cell>
        </row>
        <row r="22">
          <cell r="D22" t="str">
            <v>Event does not assert FSOB</v>
          </cell>
        </row>
        <row r="23">
          <cell r="D23" t="str">
            <v>Event asserts FSOB</v>
          </cell>
        </row>
        <row r="25">
          <cell r="D25" t="str">
            <v>(Select)</v>
          </cell>
        </row>
        <row r="26">
          <cell r="D26" t="str">
            <v>Event does not assert FSOB</v>
          </cell>
        </row>
        <row r="27">
          <cell r="D27" t="str">
            <v>Event asserts FSOB</v>
          </cell>
        </row>
        <row r="29">
          <cell r="D29" t="str">
            <v>(Select)</v>
          </cell>
        </row>
        <row r="30">
          <cell r="D30" t="str">
            <v>Active Safe State Disabled</v>
          </cell>
        </row>
        <row r="31">
          <cell r="D31" t="str">
            <v>Active Safe State Enabled</v>
          </cell>
        </row>
        <row r="33">
          <cell r="D33" t="str">
            <v>0x08</v>
          </cell>
        </row>
        <row r="34">
          <cell r="D34" t="str">
            <v>0x09</v>
          </cell>
        </row>
        <row r="35">
          <cell r="D35" t="str">
            <v>0x0A</v>
          </cell>
        </row>
        <row r="36">
          <cell r="D36" t="str">
            <v>0x0B</v>
          </cell>
        </row>
        <row r="37">
          <cell r="D37" t="str">
            <v>0x0C</v>
          </cell>
        </row>
        <row r="38">
          <cell r="D38" t="str">
            <v>0x0D</v>
          </cell>
        </row>
        <row r="39">
          <cell r="D39" t="str">
            <v>0x0E</v>
          </cell>
        </row>
        <row r="40">
          <cell r="D40" t="str">
            <v>0x0F</v>
          </cell>
        </row>
        <row r="42">
          <cell r="D42" t="str">
            <v>(Select)</v>
          </cell>
        </row>
        <row r="43">
          <cell r="D43" t="str">
            <v>Disabled</v>
          </cell>
        </row>
        <row r="44">
          <cell r="D44" t="str">
            <v>Enabled</v>
          </cell>
        </row>
        <row r="46">
          <cell r="D46" t="str">
            <v>(Select)</v>
          </cell>
        </row>
        <row r="47">
          <cell r="D47" t="str">
            <v>Secure Write Disabled</v>
          </cell>
        </row>
        <row r="48">
          <cell r="D48" t="str">
            <v>Secure Write Enabled</v>
          </cell>
        </row>
        <row r="50">
          <cell r="D50" t="str">
            <v>(Select)</v>
          </cell>
        </row>
        <row r="51">
          <cell r="D51" t="str">
            <v>PGOOD monitoring on PWRUP disabled</v>
          </cell>
        </row>
        <row r="52">
          <cell r="D52" t="str">
            <v>PGOOD monitoring on PWRUP enabled</v>
          </cell>
        </row>
        <row r="54">
          <cell r="D54" t="str">
            <v>(Select)</v>
          </cell>
        </row>
        <row r="55">
          <cell r="D55" t="str">
            <v>GPO Mode</v>
          </cell>
        </row>
        <row r="56">
          <cell r="D56" t="str">
            <v>PGOOD Indicator</v>
          </cell>
        </row>
        <row r="58">
          <cell r="D58" t="str">
            <v>(Select)</v>
          </cell>
        </row>
        <row r="59">
          <cell r="D59" t="str">
            <v>STANDBY Active High</v>
          </cell>
        </row>
        <row r="60">
          <cell r="D60" t="str">
            <v>STANDBY Active Low</v>
          </cell>
        </row>
        <row r="62">
          <cell r="D62" t="str">
            <v>(Select)</v>
          </cell>
        </row>
        <row r="63">
          <cell r="D63" t="str">
            <v>FailSafe Enabled</v>
          </cell>
        </row>
        <row r="64">
          <cell r="D64" t="str">
            <v>FailSafe Disabled</v>
          </cell>
        </row>
        <row r="66">
          <cell r="D66" t="str">
            <v>(Select)</v>
          </cell>
        </row>
        <row r="67">
          <cell r="D67">
            <v>0.1</v>
          </cell>
        </row>
        <row r="68">
          <cell r="D68">
            <v>5</v>
          </cell>
        </row>
        <row r="69">
          <cell r="D69">
            <v>20</v>
          </cell>
        </row>
        <row r="70">
          <cell r="D70">
            <v>50</v>
          </cell>
        </row>
        <row r="72">
          <cell r="D72" t="str">
            <v>(Select)</v>
          </cell>
        </row>
        <row r="73">
          <cell r="D73" t="str">
            <v>10us</v>
          </cell>
        </row>
        <row r="74">
          <cell r="D74" t="str">
            <v>100us</v>
          </cell>
        </row>
        <row r="75">
          <cell r="D75" t="str">
            <v>1000us</v>
          </cell>
        </row>
        <row r="76">
          <cell r="D76" t="str">
            <v>Reserved</v>
          </cell>
        </row>
        <row r="78">
          <cell r="D78" t="str">
            <v>(Select)</v>
          </cell>
        </row>
        <row r="79">
          <cell r="D79" t="str">
            <v>VIN_OVLO Disabled</v>
          </cell>
        </row>
        <row r="80">
          <cell r="D80" t="str">
            <v>VIN_OVLO Enabled</v>
          </cell>
        </row>
        <row r="82">
          <cell r="D82" t="str">
            <v>(Select)</v>
          </cell>
        </row>
        <row r="83">
          <cell r="D83" t="str">
            <v>VIN_OVLO Shutdown Disabled</v>
          </cell>
        </row>
        <row r="84">
          <cell r="D84" t="str">
            <v>VIN_OVLO Shutdown Enabled</v>
          </cell>
        </row>
        <row r="86">
          <cell r="D86" t="str">
            <v>(Select)</v>
          </cell>
        </row>
        <row r="87">
          <cell r="D87" t="str">
            <v>XFAILB Operation Disabled</v>
          </cell>
        </row>
        <row r="88">
          <cell r="D88" t="str">
            <v>XFAILB Operation Enabled</v>
          </cell>
        </row>
        <row r="90">
          <cell r="D90" t="str">
            <v>(Select)</v>
          </cell>
        </row>
        <row r="91">
          <cell r="D91" t="str">
            <v>FSS Range set to 5%</v>
          </cell>
        </row>
        <row r="92">
          <cell r="D92" t="str">
            <v>FSS Range set to 10%</v>
          </cell>
        </row>
        <row r="94">
          <cell r="D94" t="str">
            <v>(Select)</v>
          </cell>
        </row>
        <row r="95">
          <cell r="D95" t="str">
            <v>Frequency Spread Spectrum Disabled</v>
          </cell>
        </row>
        <row r="96">
          <cell r="D96" t="str">
            <v>Frequency Spread Spectrum Enabled</v>
          </cell>
        </row>
        <row r="98">
          <cell r="D98" t="str">
            <v>(Select)</v>
          </cell>
        </row>
        <row r="99">
          <cell r="D99" t="str">
            <v>SW1/2 Single Phase</v>
          </cell>
        </row>
        <row r="100">
          <cell r="D100" t="str">
            <v>SW1/2 Dual Phase</v>
          </cell>
        </row>
        <row r="101">
          <cell r="D101" t="str">
            <v>SW1/2/3/4 Quad Phase</v>
          </cell>
        </row>
        <row r="102">
          <cell r="D102" t="str">
            <v>Reserved</v>
          </cell>
        </row>
        <row r="104">
          <cell r="D104" t="str">
            <v>(Select)</v>
          </cell>
        </row>
        <row r="105">
          <cell r="D105" t="str">
            <v>SW3/4 Single Phase</v>
          </cell>
        </row>
        <row r="106">
          <cell r="D106" t="str">
            <v>SW3/4 Dual Phase</v>
          </cell>
        </row>
        <row r="107">
          <cell r="D107" t="str">
            <v>Reserved</v>
          </cell>
        </row>
        <row r="108">
          <cell r="D108" t="str">
            <v>Reserved</v>
          </cell>
        </row>
        <row r="110">
          <cell r="D110" t="str">
            <v>(Select)</v>
          </cell>
        </row>
        <row r="111">
          <cell r="D111" t="str">
            <v>SW5/6 Single Phase</v>
          </cell>
        </row>
        <row r="112">
          <cell r="D112" t="str">
            <v>SW5/6 Dual Phase</v>
          </cell>
        </row>
        <row r="113">
          <cell r="D113" t="str">
            <v>Reserved</v>
          </cell>
        </row>
        <row r="114">
          <cell r="D114" t="str">
            <v>Reserved</v>
          </cell>
        </row>
        <row r="116">
          <cell r="D116" t="str">
            <v>(Select)</v>
          </cell>
        </row>
        <row r="117">
          <cell r="D117" t="str">
            <v>VTT Mode Disabled</v>
          </cell>
        </row>
        <row r="118">
          <cell r="D118" t="str">
            <v>VTT Mode Enabled</v>
          </cell>
        </row>
        <row r="120">
          <cell r="D120" t="str">
            <v>(Select)</v>
          </cell>
        </row>
        <row r="121">
          <cell r="D121" t="str">
            <v>VTT Output Disable in HI-Z</v>
          </cell>
        </row>
        <row r="122">
          <cell r="D122" t="str">
            <v>VTT Output Disable with Internal Pull-down</v>
          </cell>
        </row>
        <row r="124">
          <cell r="D124" t="str">
            <v>(Select)</v>
          </cell>
        </row>
        <row r="125">
          <cell r="D125" t="str">
            <v>2.5 MHz</v>
          </cell>
        </row>
        <row r="126">
          <cell r="D126" t="str">
            <v>2.625 MHz</v>
          </cell>
        </row>
        <row r="127">
          <cell r="D127" t="str">
            <v>2.75 MHz</v>
          </cell>
        </row>
        <row r="128">
          <cell r="D128" t="str">
            <v>2.875 MHz</v>
          </cell>
        </row>
        <row r="129">
          <cell r="D129" t="str">
            <v>3 MHz</v>
          </cell>
        </row>
        <row r="130">
          <cell r="D130" t="str">
            <v>2 MHz</v>
          </cell>
        </row>
        <row r="131">
          <cell r="D131" t="str">
            <v>2.125 MHz</v>
          </cell>
        </row>
        <row r="132">
          <cell r="D132" t="str">
            <v>2.25 MHz</v>
          </cell>
        </row>
        <row r="133">
          <cell r="D133" t="str">
            <v>2.375 MHz</v>
          </cell>
        </row>
        <row r="135">
          <cell r="D135" t="str">
            <v>(Select)</v>
          </cell>
        </row>
        <row r="136">
          <cell r="D136" t="str">
            <v>2000KHz to 3000KHz</v>
          </cell>
        </row>
        <row r="137">
          <cell r="D137" t="str">
            <v>333KHz to 500KHz</v>
          </cell>
        </row>
        <row r="139">
          <cell r="D139" t="str">
            <v>(Select)</v>
          </cell>
        </row>
        <row r="140">
          <cell r="D140" t="str">
            <v>Disabled</v>
          </cell>
        </row>
        <row r="141">
          <cell r="D141" t="str">
            <v>Enabled</v>
          </cell>
        </row>
        <row r="143">
          <cell r="D143" t="str">
            <v>(Select)</v>
          </cell>
        </row>
        <row r="144">
          <cell r="D144" t="str">
            <v>Disabled</v>
          </cell>
        </row>
        <row r="145">
          <cell r="D145" t="str">
            <v>Enabled</v>
          </cell>
        </row>
        <row r="147">
          <cell r="D147" t="str">
            <v>(Select)</v>
          </cell>
        </row>
        <row r="148">
          <cell r="D148" t="str">
            <v>SW Regulators Default in AutoSkip mode</v>
          </cell>
        </row>
        <row r="149">
          <cell r="D149" t="str">
            <v>SW Regulators Default in PWM mode</v>
          </cell>
        </row>
        <row r="151">
          <cell r="D151" t="str">
            <v>(Select)</v>
          </cell>
        </row>
        <row r="152">
          <cell r="D152" t="str">
            <v>1.8 V</v>
          </cell>
        </row>
        <row r="153">
          <cell r="D153" t="str">
            <v>2.0 V</v>
          </cell>
        </row>
        <row r="154">
          <cell r="D154" t="str">
            <v>2.1 V</v>
          </cell>
        </row>
        <row r="155">
          <cell r="D155" t="str">
            <v>2.2 V</v>
          </cell>
        </row>
        <row r="156">
          <cell r="D156" t="str">
            <v>2.3 V</v>
          </cell>
        </row>
        <row r="157">
          <cell r="D157" t="str">
            <v>2.4 V</v>
          </cell>
        </row>
        <row r="158">
          <cell r="D158" t="str">
            <v>2.5 V</v>
          </cell>
        </row>
        <row r="159">
          <cell r="D159" t="str">
            <v>2.6 V</v>
          </cell>
        </row>
        <row r="160">
          <cell r="D160" t="str">
            <v>2.7 V</v>
          </cell>
        </row>
        <row r="161">
          <cell r="D161" t="str">
            <v>2.8 V</v>
          </cell>
        </row>
        <row r="162">
          <cell r="D162" t="str">
            <v>2.9 V</v>
          </cell>
        </row>
        <row r="163">
          <cell r="D163" t="str">
            <v>3.0 V</v>
          </cell>
        </row>
        <row r="164">
          <cell r="D164" t="str">
            <v>3.1 V</v>
          </cell>
        </row>
        <row r="165">
          <cell r="D165" t="str">
            <v>3.2 V</v>
          </cell>
        </row>
        <row r="166">
          <cell r="D166" t="str">
            <v>3.3 V</v>
          </cell>
        </row>
        <row r="167">
          <cell r="D167" t="str">
            <v>3.6 V</v>
          </cell>
        </row>
        <row r="169">
          <cell r="D169" t="str">
            <v>(Select)</v>
          </cell>
        </row>
        <row r="170">
          <cell r="D170" t="str">
            <v>2 sec</v>
          </cell>
        </row>
        <row r="171">
          <cell r="D171" t="str">
            <v>4 sec</v>
          </cell>
        </row>
        <row r="172">
          <cell r="D172" t="str">
            <v>8 sec</v>
          </cell>
        </row>
        <row r="173">
          <cell r="D173" t="str">
            <v>16 sec</v>
          </cell>
        </row>
        <row r="175">
          <cell r="D175" t="str">
            <v>(Select)</v>
          </cell>
        </row>
        <row r="176">
          <cell r="D176" t="str">
            <v>Shut down &gt;TRESET</v>
          </cell>
        </row>
        <row r="177">
          <cell r="D177" t="str">
            <v>Reset &gt; TRESET</v>
          </cell>
        </row>
        <row r="179">
          <cell r="D179" t="str">
            <v>(Select)</v>
          </cell>
        </row>
        <row r="180">
          <cell r="D180" t="str">
            <v>32 msec</v>
          </cell>
        </row>
        <row r="181">
          <cell r="D181" t="str">
            <v>64 msec</v>
          </cell>
        </row>
        <row r="182">
          <cell r="D182" t="str">
            <v>125 msec</v>
          </cell>
        </row>
        <row r="183">
          <cell r="D183" t="str">
            <v>750 msec</v>
          </cell>
        </row>
        <row r="185">
          <cell r="D185" t="str">
            <v>(Select)</v>
          </cell>
        </row>
        <row r="186">
          <cell r="D186" t="str">
            <v>Level Sensitive</v>
          </cell>
        </row>
        <row r="187">
          <cell r="D187" t="str">
            <v>Edge Sensitive</v>
          </cell>
        </row>
        <row r="189">
          <cell r="D189" t="str">
            <v>(Select)</v>
          </cell>
        </row>
        <row r="190">
          <cell r="D190" t="str">
            <v>Clear within 100% of window</v>
          </cell>
        </row>
        <row r="191">
          <cell r="D191" t="str">
            <v>Clear within 50% of window</v>
          </cell>
        </row>
        <row r="193">
          <cell r="D193" t="str">
            <v>(Select)</v>
          </cell>
        </row>
        <row r="194">
          <cell r="D194" t="str">
            <v>WDI event Disabled in Standby</v>
          </cell>
        </row>
        <row r="195">
          <cell r="D195" t="str">
            <v>WDI event Enabled in Standby</v>
          </cell>
        </row>
        <row r="197">
          <cell r="D197" t="str">
            <v>(Select)</v>
          </cell>
        </row>
        <row r="198">
          <cell r="D198" t="str">
            <v>WD Timer Disabled in Standby</v>
          </cell>
        </row>
        <row r="199">
          <cell r="D199" t="str">
            <v>WD Timer Enabled in Standby</v>
          </cell>
        </row>
        <row r="201">
          <cell r="D201" t="str">
            <v>(Select)</v>
          </cell>
        </row>
        <row r="202">
          <cell r="D202" t="str">
            <v xml:space="preserve">WD Timer Disabled </v>
          </cell>
        </row>
        <row r="203">
          <cell r="D203" t="str">
            <v xml:space="preserve">WD Timer Enabled </v>
          </cell>
        </row>
        <row r="205">
          <cell r="D205" t="str">
            <v>(Select)</v>
          </cell>
        </row>
        <row r="206">
          <cell r="D206" t="str">
            <v xml:space="preserve">WD event detected on falling edge </v>
          </cell>
        </row>
        <row r="207">
          <cell r="D207" t="str">
            <v>WD event detected on rising edge</v>
          </cell>
        </row>
        <row r="209">
          <cell r="D209" t="str">
            <v>(Select)</v>
          </cell>
        </row>
        <row r="210">
          <cell r="D210" t="str">
            <v>Soft WD Reset</v>
          </cell>
        </row>
        <row r="211">
          <cell r="D211" t="str">
            <v>Hard WD Reset</v>
          </cell>
        </row>
        <row r="213">
          <cell r="D213" t="str">
            <v>(Select)</v>
          </cell>
        </row>
        <row r="215">
          <cell r="D215">
            <v>2</v>
          </cell>
        </row>
        <row r="216">
          <cell r="D216">
            <v>3</v>
          </cell>
        </row>
        <row r="217">
          <cell r="D217">
            <v>4</v>
          </cell>
        </row>
        <row r="218">
          <cell r="D218">
            <v>5</v>
          </cell>
        </row>
        <row r="219">
          <cell r="D219">
            <v>6</v>
          </cell>
        </row>
        <row r="220">
          <cell r="D220">
            <v>7</v>
          </cell>
        </row>
        <row r="221">
          <cell r="D221">
            <v>8</v>
          </cell>
        </row>
        <row r="223">
          <cell r="D223" t="str">
            <v>(Select)</v>
          </cell>
        </row>
        <row r="224">
          <cell r="D224">
            <v>1</v>
          </cell>
        </row>
        <row r="225">
          <cell r="D225">
            <v>2</v>
          </cell>
        </row>
        <row r="226">
          <cell r="D226">
            <v>3</v>
          </cell>
        </row>
        <row r="227">
          <cell r="D227">
            <v>4</v>
          </cell>
        </row>
        <row r="228">
          <cell r="D228">
            <v>5</v>
          </cell>
        </row>
        <row r="229">
          <cell r="D229">
            <v>6</v>
          </cell>
        </row>
        <row r="230">
          <cell r="D230">
            <v>7</v>
          </cell>
        </row>
        <row r="231">
          <cell r="D231">
            <v>8</v>
          </cell>
        </row>
        <row r="232">
          <cell r="D232">
            <v>9</v>
          </cell>
        </row>
        <row r="233">
          <cell r="D233">
            <v>10</v>
          </cell>
        </row>
        <row r="234">
          <cell r="D234">
            <v>11</v>
          </cell>
        </row>
        <row r="235">
          <cell r="D235">
            <v>12</v>
          </cell>
        </row>
        <row r="236">
          <cell r="D236">
            <v>13</v>
          </cell>
        </row>
        <row r="237">
          <cell r="D237">
            <v>14</v>
          </cell>
        </row>
        <row r="238">
          <cell r="D238">
            <v>15</v>
          </cell>
        </row>
        <row r="239">
          <cell r="D239">
            <v>16</v>
          </cell>
        </row>
        <row r="241">
          <cell r="D241" t="str">
            <v>(Select)</v>
          </cell>
        </row>
        <row r="242">
          <cell r="D242" t="str">
            <v>1 ms</v>
          </cell>
        </row>
        <row r="243">
          <cell r="D243" t="str">
            <v>2 ms</v>
          </cell>
        </row>
        <row r="244">
          <cell r="D244" t="str">
            <v>4 ms</v>
          </cell>
        </row>
        <row r="245">
          <cell r="D245" t="str">
            <v>8 ms</v>
          </cell>
        </row>
        <row r="246">
          <cell r="D246" t="str">
            <v>16 ms</v>
          </cell>
        </row>
        <row r="247">
          <cell r="D247" t="str">
            <v>32 ms</v>
          </cell>
        </row>
        <row r="248">
          <cell r="D248" t="str">
            <v>64 ms</v>
          </cell>
        </row>
        <row r="249">
          <cell r="D249" t="str">
            <v>128 ms</v>
          </cell>
        </row>
        <row r="250">
          <cell r="D250" t="str">
            <v>256 ms</v>
          </cell>
        </row>
        <row r="251">
          <cell r="D251" t="str">
            <v>512 ms</v>
          </cell>
        </row>
        <row r="252">
          <cell r="D252" t="str">
            <v>1024 ms</v>
          </cell>
        </row>
        <row r="253">
          <cell r="D253" t="str">
            <v>2048 ms</v>
          </cell>
        </row>
        <row r="254">
          <cell r="D254" t="str">
            <v>4096 ms</v>
          </cell>
        </row>
        <row r="255">
          <cell r="D255" t="str">
            <v>8192 ms</v>
          </cell>
        </row>
        <row r="256">
          <cell r="D256" t="str">
            <v>16384 ms</v>
          </cell>
        </row>
        <row r="257">
          <cell r="D257" t="str">
            <v>32768 ms</v>
          </cell>
        </row>
        <row r="259">
          <cell r="D259" t="str">
            <v>(Select)</v>
          </cell>
        </row>
        <row r="260">
          <cell r="D260" t="str">
            <v>Disabled</v>
          </cell>
        </row>
        <row r="261">
          <cell r="D261">
            <v>1</v>
          </cell>
        </row>
        <row r="262">
          <cell r="D262">
            <v>2</v>
          </cell>
        </row>
        <row r="263">
          <cell r="D263">
            <v>3</v>
          </cell>
        </row>
        <row r="264">
          <cell r="D264">
            <v>4</v>
          </cell>
        </row>
        <row r="265">
          <cell r="D265">
            <v>5</v>
          </cell>
        </row>
        <row r="266">
          <cell r="D266">
            <v>6</v>
          </cell>
        </row>
        <row r="267">
          <cell r="D267">
            <v>7</v>
          </cell>
        </row>
        <row r="268">
          <cell r="D268">
            <v>8</v>
          </cell>
        </row>
        <row r="269">
          <cell r="D269">
            <v>9</v>
          </cell>
        </row>
        <row r="270">
          <cell r="D270">
            <v>10</v>
          </cell>
        </row>
        <row r="271">
          <cell r="D271">
            <v>11</v>
          </cell>
        </row>
        <row r="272">
          <cell r="D272">
            <v>12</v>
          </cell>
        </row>
        <row r="273">
          <cell r="D273">
            <v>13</v>
          </cell>
        </row>
        <row r="274">
          <cell r="D274">
            <v>14</v>
          </cell>
        </row>
        <row r="275">
          <cell r="D275">
            <v>15</v>
          </cell>
        </row>
        <row r="277">
          <cell r="D277" t="str">
            <v>(Select)</v>
          </cell>
        </row>
        <row r="278">
          <cell r="D278">
            <v>1</v>
          </cell>
        </row>
        <row r="279">
          <cell r="D279">
            <v>2</v>
          </cell>
        </row>
        <row r="280">
          <cell r="D280">
            <v>3</v>
          </cell>
        </row>
        <row r="281">
          <cell r="D281">
            <v>4</v>
          </cell>
        </row>
        <row r="282">
          <cell r="D282">
            <v>5</v>
          </cell>
        </row>
        <row r="283">
          <cell r="D283">
            <v>6</v>
          </cell>
        </row>
        <row r="284">
          <cell r="D284">
            <v>7</v>
          </cell>
        </row>
        <row r="285">
          <cell r="D285">
            <v>8</v>
          </cell>
        </row>
        <row r="286">
          <cell r="D286">
            <v>9</v>
          </cell>
        </row>
        <row r="287">
          <cell r="D287">
            <v>10</v>
          </cell>
        </row>
        <row r="288">
          <cell r="D288">
            <v>11</v>
          </cell>
        </row>
        <row r="289">
          <cell r="D289">
            <v>12</v>
          </cell>
        </row>
        <row r="290">
          <cell r="D290">
            <v>13</v>
          </cell>
        </row>
        <row r="291">
          <cell r="D291">
            <v>14</v>
          </cell>
        </row>
        <row r="292">
          <cell r="D292">
            <v>15</v>
          </cell>
        </row>
        <row r="293">
          <cell r="D293">
            <v>16</v>
          </cell>
        </row>
        <row r="295">
          <cell r="D295" t="str">
            <v>(Select)</v>
          </cell>
        </row>
        <row r="296">
          <cell r="D296" t="str">
            <v>1 ms</v>
          </cell>
        </row>
        <row r="297">
          <cell r="D297" t="str">
            <v>2 ms</v>
          </cell>
        </row>
        <row r="298">
          <cell r="D298" t="str">
            <v>4 ms</v>
          </cell>
        </row>
        <row r="299">
          <cell r="D299" t="str">
            <v>8 ms</v>
          </cell>
        </row>
        <row r="300">
          <cell r="D300" t="str">
            <v>16 ms</v>
          </cell>
        </row>
        <row r="301">
          <cell r="D301" t="str">
            <v>32 ms</v>
          </cell>
        </row>
        <row r="302">
          <cell r="D302" t="str">
            <v>64 ms</v>
          </cell>
        </row>
        <row r="303">
          <cell r="D303" t="str">
            <v>128 ms</v>
          </cell>
        </row>
        <row r="304">
          <cell r="D304" t="str">
            <v>256 ms</v>
          </cell>
        </row>
        <row r="305">
          <cell r="D305" t="str">
            <v>512 ms</v>
          </cell>
        </row>
        <row r="306">
          <cell r="D306" t="str">
            <v>1024 ms</v>
          </cell>
        </row>
        <row r="307">
          <cell r="D307" t="str">
            <v>2056 ms</v>
          </cell>
        </row>
        <row r="308">
          <cell r="D308" t="str">
            <v>Disabled</v>
          </cell>
        </row>
        <row r="309">
          <cell r="D309" t="str">
            <v>Disabled</v>
          </cell>
        </row>
        <row r="310">
          <cell r="D310" t="str">
            <v>Disabled</v>
          </cell>
        </row>
        <row r="311">
          <cell r="D311" t="str">
            <v>Disabled</v>
          </cell>
        </row>
        <row r="313">
          <cell r="D313" t="str">
            <v>(Select)</v>
          </cell>
        </row>
        <row r="314">
          <cell r="D314" t="str">
            <v>1 min</v>
          </cell>
        </row>
        <row r="315">
          <cell r="D315" t="str">
            <v>5 min</v>
          </cell>
        </row>
        <row r="316">
          <cell r="D316" t="str">
            <v>10 min</v>
          </cell>
        </row>
        <row r="317">
          <cell r="D317" t="str">
            <v>15 min</v>
          </cell>
        </row>
        <row r="318">
          <cell r="D318" t="str">
            <v>20 min</v>
          </cell>
        </row>
        <row r="319">
          <cell r="D319" t="str">
            <v>30 min</v>
          </cell>
        </row>
        <row r="320">
          <cell r="D320" t="str">
            <v>45 min</v>
          </cell>
        </row>
        <row r="321">
          <cell r="D321" t="str">
            <v>60 min</v>
          </cell>
        </row>
        <row r="323">
          <cell r="D323" t="str">
            <v>(Select)</v>
          </cell>
        </row>
        <row r="324">
          <cell r="D324" t="str">
            <v>120 us</v>
          </cell>
        </row>
        <row r="325">
          <cell r="D325" t="str">
            <v>250 us</v>
          </cell>
        </row>
        <row r="326">
          <cell r="D326" t="str">
            <v>500 us</v>
          </cell>
        </row>
        <row r="327">
          <cell r="D327" t="str">
            <v>1000 us</v>
          </cell>
        </row>
        <row r="329">
          <cell r="D329" t="str">
            <v>(Select)</v>
          </cell>
        </row>
        <row r="330">
          <cell r="D330" t="str">
            <v>No Delay</v>
          </cell>
        </row>
        <row r="331">
          <cell r="D331" t="str">
            <v>10 us</v>
          </cell>
        </row>
        <row r="332">
          <cell r="D332" t="str">
            <v>100 us</v>
          </cell>
        </row>
        <row r="333">
          <cell r="D333" t="str">
            <v>500 us</v>
          </cell>
        </row>
        <row r="335">
          <cell r="D335" t="str">
            <v>(Select)</v>
          </cell>
        </row>
        <row r="336">
          <cell r="D336">
            <v>0</v>
          </cell>
        </row>
        <row r="337">
          <cell r="D337">
            <v>1.5</v>
          </cell>
        </row>
        <row r="338">
          <cell r="D338">
            <v>5</v>
          </cell>
        </row>
        <row r="339">
          <cell r="D339">
            <v>10</v>
          </cell>
        </row>
        <row r="341">
          <cell r="D341" t="str">
            <v>(Select)</v>
          </cell>
        </row>
        <row r="342">
          <cell r="D342">
            <v>30</v>
          </cell>
        </row>
        <row r="343">
          <cell r="D343">
            <v>120</v>
          </cell>
        </row>
        <row r="344">
          <cell r="D344">
            <v>250</v>
          </cell>
        </row>
        <row r="345">
          <cell r="D345">
            <v>500</v>
          </cell>
        </row>
        <row r="347">
          <cell r="D347" t="str">
            <v>(Select)</v>
          </cell>
        </row>
        <row r="348">
          <cell r="D348" t="str">
            <v>Group 4 (1st)</v>
          </cell>
        </row>
        <row r="349">
          <cell r="D349" t="str">
            <v>Group 3</v>
          </cell>
        </row>
        <row r="350">
          <cell r="D350" t="str">
            <v>Group 2</v>
          </cell>
        </row>
        <row r="351">
          <cell r="D351" t="str">
            <v>Group 1 (Last)</v>
          </cell>
        </row>
        <row r="365">
          <cell r="D365" t="str">
            <v>(Select)</v>
          </cell>
        </row>
        <row r="366">
          <cell r="D366" t="str">
            <v>Mirror power up sequence</v>
          </cell>
        </row>
        <row r="367">
          <cell r="D367" t="str">
            <v>Group sequencing mode</v>
          </cell>
        </row>
        <row r="369">
          <cell r="D369" t="str">
            <v>(Select)</v>
          </cell>
        </row>
        <row r="370">
          <cell r="D370" t="str">
            <v>OFF</v>
          </cell>
        </row>
        <row r="371">
          <cell r="D371">
            <v>0</v>
          </cell>
        </row>
        <row r="372">
          <cell r="D372">
            <v>1</v>
          </cell>
        </row>
        <row r="373">
          <cell r="D373">
            <v>2</v>
          </cell>
        </row>
        <row r="374">
          <cell r="D374">
            <v>3</v>
          </cell>
        </row>
        <row r="375">
          <cell r="D375">
            <v>4</v>
          </cell>
        </row>
        <row r="376">
          <cell r="D376">
            <v>5</v>
          </cell>
        </row>
        <row r="377">
          <cell r="D377">
            <v>6</v>
          </cell>
        </row>
        <row r="378">
          <cell r="D378">
            <v>7</v>
          </cell>
        </row>
        <row r="379">
          <cell r="D379">
            <v>8</v>
          </cell>
        </row>
        <row r="380">
          <cell r="D380">
            <v>9</v>
          </cell>
        </row>
        <row r="381">
          <cell r="D381">
            <v>10</v>
          </cell>
        </row>
        <row r="382">
          <cell r="D382">
            <v>11</v>
          </cell>
        </row>
        <row r="383">
          <cell r="D383">
            <v>12</v>
          </cell>
        </row>
        <row r="384">
          <cell r="D384">
            <v>13</v>
          </cell>
        </row>
        <row r="385">
          <cell r="D385">
            <v>14</v>
          </cell>
        </row>
        <row r="386">
          <cell r="D386">
            <v>15</v>
          </cell>
        </row>
        <row r="387">
          <cell r="D387">
            <v>16</v>
          </cell>
        </row>
        <row r="388">
          <cell r="D388">
            <v>17</v>
          </cell>
        </row>
        <row r="389">
          <cell r="D389">
            <v>18</v>
          </cell>
        </row>
        <row r="390">
          <cell r="D390">
            <v>19</v>
          </cell>
        </row>
        <row r="391">
          <cell r="D391">
            <v>20</v>
          </cell>
        </row>
        <row r="392">
          <cell r="D392">
            <v>21</v>
          </cell>
        </row>
        <row r="393">
          <cell r="D393">
            <v>22</v>
          </cell>
        </row>
        <row r="394">
          <cell r="D394">
            <v>23</v>
          </cell>
        </row>
        <row r="395">
          <cell r="D395">
            <v>24</v>
          </cell>
        </row>
        <row r="396">
          <cell r="D396">
            <v>25</v>
          </cell>
        </row>
        <row r="397">
          <cell r="D397">
            <v>26</v>
          </cell>
        </row>
        <row r="398">
          <cell r="D398">
            <v>27</v>
          </cell>
        </row>
        <row r="399">
          <cell r="D399">
            <v>28</v>
          </cell>
        </row>
        <row r="400">
          <cell r="D400">
            <v>29</v>
          </cell>
        </row>
        <row r="401">
          <cell r="D401">
            <v>30</v>
          </cell>
        </row>
        <row r="402">
          <cell r="D402">
            <v>31</v>
          </cell>
        </row>
        <row r="403">
          <cell r="D403">
            <v>32</v>
          </cell>
        </row>
        <row r="404">
          <cell r="D404">
            <v>33</v>
          </cell>
        </row>
        <row r="405">
          <cell r="D405">
            <v>34</v>
          </cell>
        </row>
        <row r="406">
          <cell r="D406">
            <v>35</v>
          </cell>
        </row>
        <row r="407">
          <cell r="D407">
            <v>36</v>
          </cell>
        </row>
        <row r="408">
          <cell r="D408">
            <v>37</v>
          </cell>
        </row>
        <row r="409">
          <cell r="D409">
            <v>38</v>
          </cell>
        </row>
        <row r="410">
          <cell r="D410">
            <v>39</v>
          </cell>
        </row>
        <row r="411">
          <cell r="D411">
            <v>40</v>
          </cell>
        </row>
        <row r="412">
          <cell r="D412">
            <v>41</v>
          </cell>
        </row>
        <row r="413">
          <cell r="D413">
            <v>42</v>
          </cell>
        </row>
        <row r="414">
          <cell r="D414">
            <v>43</v>
          </cell>
        </row>
        <row r="415">
          <cell r="D415">
            <v>44</v>
          </cell>
        </row>
        <row r="416">
          <cell r="D416">
            <v>45</v>
          </cell>
        </row>
        <row r="417">
          <cell r="D417">
            <v>46</v>
          </cell>
        </row>
        <row r="418">
          <cell r="D418">
            <v>47</v>
          </cell>
        </row>
        <row r="419">
          <cell r="D419">
            <v>48</v>
          </cell>
        </row>
        <row r="420">
          <cell r="D420">
            <v>49</v>
          </cell>
        </row>
        <row r="421">
          <cell r="D421">
            <v>50</v>
          </cell>
        </row>
        <row r="422">
          <cell r="D422">
            <v>51</v>
          </cell>
        </row>
        <row r="423">
          <cell r="D423">
            <v>52</v>
          </cell>
        </row>
        <row r="424">
          <cell r="D424">
            <v>53</v>
          </cell>
        </row>
        <row r="425">
          <cell r="D425">
            <v>54</v>
          </cell>
        </row>
        <row r="426">
          <cell r="D426">
            <v>55</v>
          </cell>
        </row>
        <row r="427">
          <cell r="D427">
            <v>56</v>
          </cell>
        </row>
        <row r="428">
          <cell r="D428">
            <v>57</v>
          </cell>
        </row>
        <row r="429">
          <cell r="D429">
            <v>58</v>
          </cell>
        </row>
        <row r="430">
          <cell r="D430">
            <v>59</v>
          </cell>
        </row>
        <row r="431">
          <cell r="D431">
            <v>60</v>
          </cell>
        </row>
        <row r="432">
          <cell r="D432">
            <v>61</v>
          </cell>
        </row>
        <row r="433">
          <cell r="D433">
            <v>62</v>
          </cell>
        </row>
        <row r="434">
          <cell r="D434">
            <v>63</v>
          </cell>
        </row>
        <row r="435">
          <cell r="D435">
            <v>64</v>
          </cell>
        </row>
        <row r="436">
          <cell r="D436">
            <v>65</v>
          </cell>
        </row>
        <row r="437">
          <cell r="D437">
            <v>66</v>
          </cell>
        </row>
        <row r="438">
          <cell r="D438">
            <v>67</v>
          </cell>
        </row>
        <row r="439">
          <cell r="D439">
            <v>68</v>
          </cell>
        </row>
        <row r="440">
          <cell r="D440">
            <v>69</v>
          </cell>
        </row>
        <row r="441">
          <cell r="D441">
            <v>70</v>
          </cell>
        </row>
        <row r="442">
          <cell r="D442">
            <v>71</v>
          </cell>
        </row>
        <row r="443">
          <cell r="D443">
            <v>72</v>
          </cell>
        </row>
        <row r="444">
          <cell r="D444">
            <v>73</v>
          </cell>
        </row>
        <row r="445">
          <cell r="D445">
            <v>74</v>
          </cell>
        </row>
        <row r="446">
          <cell r="D446">
            <v>75</v>
          </cell>
        </row>
        <row r="447">
          <cell r="D447">
            <v>76</v>
          </cell>
        </row>
        <row r="448">
          <cell r="D448">
            <v>77</v>
          </cell>
        </row>
        <row r="449">
          <cell r="D449">
            <v>78</v>
          </cell>
        </row>
        <row r="450">
          <cell r="D450">
            <v>79</v>
          </cell>
        </row>
        <row r="451">
          <cell r="D451">
            <v>80</v>
          </cell>
        </row>
        <row r="452">
          <cell r="D452">
            <v>81</v>
          </cell>
        </row>
        <row r="453">
          <cell r="D453">
            <v>82</v>
          </cell>
        </row>
        <row r="454">
          <cell r="D454">
            <v>83</v>
          </cell>
        </row>
        <row r="455">
          <cell r="D455">
            <v>84</v>
          </cell>
        </row>
        <row r="456">
          <cell r="D456">
            <v>85</v>
          </cell>
        </row>
        <row r="457">
          <cell r="D457">
            <v>86</v>
          </cell>
        </row>
        <row r="458">
          <cell r="D458">
            <v>87</v>
          </cell>
        </row>
        <row r="459">
          <cell r="D459">
            <v>88</v>
          </cell>
        </row>
        <row r="460">
          <cell r="D460">
            <v>89</v>
          </cell>
        </row>
        <row r="461">
          <cell r="D461">
            <v>90</v>
          </cell>
        </row>
        <row r="462">
          <cell r="D462">
            <v>91</v>
          </cell>
        </row>
        <row r="463">
          <cell r="D463">
            <v>92</v>
          </cell>
        </row>
        <row r="464">
          <cell r="D464">
            <v>93</v>
          </cell>
        </row>
        <row r="465">
          <cell r="D465">
            <v>94</v>
          </cell>
        </row>
        <row r="466">
          <cell r="D466">
            <v>95</v>
          </cell>
        </row>
        <row r="467">
          <cell r="D467">
            <v>96</v>
          </cell>
        </row>
        <row r="468">
          <cell r="D468">
            <v>97</v>
          </cell>
        </row>
        <row r="469">
          <cell r="D469">
            <v>98</v>
          </cell>
        </row>
        <row r="470">
          <cell r="D470">
            <v>99</v>
          </cell>
        </row>
        <row r="471">
          <cell r="D471">
            <v>100</v>
          </cell>
        </row>
        <row r="472">
          <cell r="D472">
            <v>101</v>
          </cell>
        </row>
        <row r="473">
          <cell r="D473">
            <v>102</v>
          </cell>
        </row>
        <row r="474">
          <cell r="D474">
            <v>103</v>
          </cell>
        </row>
        <row r="475">
          <cell r="D475">
            <v>104</v>
          </cell>
        </row>
        <row r="476">
          <cell r="D476">
            <v>105</v>
          </cell>
        </row>
        <row r="477">
          <cell r="D477">
            <v>106</v>
          </cell>
        </row>
        <row r="478">
          <cell r="D478">
            <v>107</v>
          </cell>
        </row>
        <row r="479">
          <cell r="D479">
            <v>108</v>
          </cell>
        </row>
        <row r="480">
          <cell r="D480">
            <v>109</v>
          </cell>
        </row>
        <row r="481">
          <cell r="D481">
            <v>110</v>
          </cell>
        </row>
        <row r="482">
          <cell r="D482">
            <v>111</v>
          </cell>
        </row>
        <row r="483">
          <cell r="D483">
            <v>112</v>
          </cell>
        </row>
        <row r="484">
          <cell r="D484">
            <v>113</v>
          </cell>
        </row>
        <row r="485">
          <cell r="D485">
            <v>114</v>
          </cell>
        </row>
        <row r="486">
          <cell r="D486">
            <v>115</v>
          </cell>
        </row>
        <row r="487">
          <cell r="D487">
            <v>116</v>
          </cell>
        </row>
        <row r="488">
          <cell r="D488">
            <v>117</v>
          </cell>
        </row>
        <row r="489">
          <cell r="D489">
            <v>118</v>
          </cell>
        </row>
        <row r="490">
          <cell r="D490">
            <v>119</v>
          </cell>
        </row>
        <row r="491">
          <cell r="D491">
            <v>120</v>
          </cell>
        </row>
        <row r="492">
          <cell r="D492">
            <v>121</v>
          </cell>
        </row>
        <row r="493">
          <cell r="D493">
            <v>122</v>
          </cell>
        </row>
        <row r="494">
          <cell r="D494">
            <v>123</v>
          </cell>
        </row>
        <row r="495">
          <cell r="D495">
            <v>124</v>
          </cell>
        </row>
        <row r="496">
          <cell r="D496">
            <v>125</v>
          </cell>
        </row>
        <row r="497">
          <cell r="D497">
            <v>126</v>
          </cell>
        </row>
        <row r="498">
          <cell r="D498">
            <v>127</v>
          </cell>
        </row>
        <row r="499">
          <cell r="D499">
            <v>128</v>
          </cell>
        </row>
        <row r="500">
          <cell r="D500">
            <v>129</v>
          </cell>
        </row>
        <row r="501">
          <cell r="D501">
            <v>130</v>
          </cell>
        </row>
        <row r="502">
          <cell r="D502">
            <v>131</v>
          </cell>
        </row>
        <row r="503">
          <cell r="D503">
            <v>132</v>
          </cell>
        </row>
        <row r="504">
          <cell r="D504">
            <v>133</v>
          </cell>
        </row>
        <row r="505">
          <cell r="D505">
            <v>134</v>
          </cell>
        </row>
        <row r="506">
          <cell r="D506">
            <v>135</v>
          </cell>
        </row>
        <row r="507">
          <cell r="D507">
            <v>136</v>
          </cell>
        </row>
        <row r="508">
          <cell r="D508">
            <v>137</v>
          </cell>
        </row>
        <row r="509">
          <cell r="D509">
            <v>138</v>
          </cell>
        </row>
        <row r="510">
          <cell r="D510">
            <v>139</v>
          </cell>
        </row>
        <row r="511">
          <cell r="D511">
            <v>140</v>
          </cell>
        </row>
        <row r="512">
          <cell r="D512">
            <v>141</v>
          </cell>
        </row>
        <row r="513">
          <cell r="D513">
            <v>142</v>
          </cell>
        </row>
        <row r="514">
          <cell r="D514">
            <v>143</v>
          </cell>
        </row>
        <row r="515">
          <cell r="D515">
            <v>144</v>
          </cell>
        </row>
        <row r="516">
          <cell r="D516">
            <v>145</v>
          </cell>
        </row>
        <row r="517">
          <cell r="D517">
            <v>146</v>
          </cell>
        </row>
        <row r="518">
          <cell r="D518">
            <v>147</v>
          </cell>
        </row>
        <row r="519">
          <cell r="D519">
            <v>148</v>
          </cell>
        </row>
        <row r="520">
          <cell r="D520">
            <v>149</v>
          </cell>
        </row>
        <row r="521">
          <cell r="D521">
            <v>150</v>
          </cell>
        </row>
        <row r="522">
          <cell r="D522">
            <v>151</v>
          </cell>
        </row>
        <row r="523">
          <cell r="D523">
            <v>152</v>
          </cell>
        </row>
        <row r="524">
          <cell r="D524">
            <v>153</v>
          </cell>
        </row>
        <row r="525">
          <cell r="D525">
            <v>154</v>
          </cell>
        </row>
        <row r="526">
          <cell r="D526">
            <v>155</v>
          </cell>
        </row>
        <row r="527">
          <cell r="D527">
            <v>156</v>
          </cell>
        </row>
        <row r="528">
          <cell r="D528">
            <v>157</v>
          </cell>
        </row>
        <row r="529">
          <cell r="D529">
            <v>158</v>
          </cell>
        </row>
        <row r="530">
          <cell r="D530">
            <v>159</v>
          </cell>
        </row>
        <row r="531">
          <cell r="D531">
            <v>160</v>
          </cell>
        </row>
        <row r="532">
          <cell r="D532">
            <v>161</v>
          </cell>
        </row>
        <row r="533">
          <cell r="D533">
            <v>162</v>
          </cell>
        </row>
        <row r="534">
          <cell r="D534">
            <v>163</v>
          </cell>
        </row>
        <row r="535">
          <cell r="D535">
            <v>164</v>
          </cell>
        </row>
        <row r="536">
          <cell r="D536">
            <v>165</v>
          </cell>
        </row>
        <row r="537">
          <cell r="D537">
            <v>166</v>
          </cell>
        </row>
        <row r="538">
          <cell r="D538">
            <v>167</v>
          </cell>
        </row>
        <row r="539">
          <cell r="D539">
            <v>168</v>
          </cell>
        </row>
        <row r="540">
          <cell r="D540">
            <v>169</v>
          </cell>
        </row>
        <row r="541">
          <cell r="D541">
            <v>170</v>
          </cell>
        </row>
        <row r="542">
          <cell r="D542">
            <v>171</v>
          </cell>
        </row>
        <row r="543">
          <cell r="D543">
            <v>172</v>
          </cell>
        </row>
        <row r="544">
          <cell r="D544">
            <v>173</v>
          </cell>
        </row>
        <row r="545">
          <cell r="D545">
            <v>174</v>
          </cell>
        </row>
        <row r="546">
          <cell r="D546">
            <v>175</v>
          </cell>
        </row>
        <row r="547">
          <cell r="D547">
            <v>176</v>
          </cell>
        </row>
        <row r="548">
          <cell r="D548">
            <v>177</v>
          </cell>
        </row>
        <row r="549">
          <cell r="D549">
            <v>178</v>
          </cell>
        </row>
        <row r="550">
          <cell r="D550">
            <v>179</v>
          </cell>
        </row>
        <row r="551">
          <cell r="D551">
            <v>180</v>
          </cell>
        </row>
        <row r="552">
          <cell r="D552">
            <v>181</v>
          </cell>
        </row>
        <row r="553">
          <cell r="D553">
            <v>182</v>
          </cell>
        </row>
        <row r="554">
          <cell r="D554">
            <v>183</v>
          </cell>
        </row>
        <row r="555">
          <cell r="D555">
            <v>184</v>
          </cell>
        </row>
        <row r="556">
          <cell r="D556">
            <v>185</v>
          </cell>
        </row>
        <row r="557">
          <cell r="D557">
            <v>186</v>
          </cell>
        </row>
        <row r="558">
          <cell r="D558">
            <v>187</v>
          </cell>
        </row>
        <row r="559">
          <cell r="D559">
            <v>188</v>
          </cell>
        </row>
        <row r="560">
          <cell r="D560">
            <v>189</v>
          </cell>
        </row>
        <row r="561">
          <cell r="D561">
            <v>190</v>
          </cell>
        </row>
        <row r="562">
          <cell r="D562">
            <v>191</v>
          </cell>
        </row>
        <row r="563">
          <cell r="D563">
            <v>192</v>
          </cell>
        </row>
        <row r="564">
          <cell r="D564">
            <v>193</v>
          </cell>
        </row>
        <row r="565">
          <cell r="D565">
            <v>194</v>
          </cell>
        </row>
        <row r="566">
          <cell r="D566">
            <v>195</v>
          </cell>
        </row>
        <row r="567">
          <cell r="D567">
            <v>196</v>
          </cell>
        </row>
        <row r="568">
          <cell r="D568">
            <v>197</v>
          </cell>
        </row>
        <row r="569">
          <cell r="D569">
            <v>198</v>
          </cell>
        </row>
        <row r="570">
          <cell r="D570">
            <v>199</v>
          </cell>
        </row>
        <row r="571">
          <cell r="D571">
            <v>200</v>
          </cell>
        </row>
        <row r="572">
          <cell r="D572">
            <v>201</v>
          </cell>
        </row>
        <row r="573">
          <cell r="D573">
            <v>202</v>
          </cell>
        </row>
        <row r="574">
          <cell r="D574">
            <v>203</v>
          </cell>
        </row>
        <row r="575">
          <cell r="D575">
            <v>204</v>
          </cell>
        </row>
        <row r="576">
          <cell r="D576">
            <v>205</v>
          </cell>
        </row>
        <row r="577">
          <cell r="D577">
            <v>206</v>
          </cell>
        </row>
        <row r="578">
          <cell r="D578">
            <v>207</v>
          </cell>
        </row>
        <row r="579">
          <cell r="D579">
            <v>208</v>
          </cell>
        </row>
        <row r="580">
          <cell r="D580">
            <v>209</v>
          </cell>
        </row>
        <row r="581">
          <cell r="D581">
            <v>210</v>
          </cell>
        </row>
        <row r="582">
          <cell r="D582">
            <v>211</v>
          </cell>
        </row>
        <row r="583">
          <cell r="D583">
            <v>212</v>
          </cell>
        </row>
        <row r="584">
          <cell r="D584">
            <v>213</v>
          </cell>
        </row>
        <row r="585">
          <cell r="D585">
            <v>214</v>
          </cell>
        </row>
        <row r="586">
          <cell r="D586">
            <v>215</v>
          </cell>
        </row>
        <row r="587">
          <cell r="D587">
            <v>216</v>
          </cell>
        </row>
        <row r="588">
          <cell r="D588">
            <v>217</v>
          </cell>
        </row>
        <row r="589">
          <cell r="D589">
            <v>218</v>
          </cell>
        </row>
        <row r="590">
          <cell r="D590">
            <v>219</v>
          </cell>
        </row>
        <row r="591">
          <cell r="D591">
            <v>220</v>
          </cell>
        </row>
        <row r="592">
          <cell r="D592">
            <v>221</v>
          </cell>
        </row>
        <row r="593">
          <cell r="D593">
            <v>222</v>
          </cell>
        </row>
        <row r="594">
          <cell r="D594">
            <v>223</v>
          </cell>
        </row>
        <row r="595">
          <cell r="D595">
            <v>224</v>
          </cell>
        </row>
        <row r="596">
          <cell r="D596">
            <v>225</v>
          </cell>
        </row>
        <row r="597">
          <cell r="D597">
            <v>226</v>
          </cell>
        </row>
        <row r="598">
          <cell r="D598">
            <v>227</v>
          </cell>
        </row>
        <row r="599">
          <cell r="D599">
            <v>228</v>
          </cell>
        </row>
        <row r="600">
          <cell r="D600">
            <v>229</v>
          </cell>
        </row>
        <row r="601">
          <cell r="D601">
            <v>230</v>
          </cell>
        </row>
        <row r="602">
          <cell r="D602">
            <v>231</v>
          </cell>
        </row>
        <row r="603">
          <cell r="D603">
            <v>232</v>
          </cell>
        </row>
        <row r="604">
          <cell r="D604">
            <v>233</v>
          </cell>
        </row>
        <row r="605">
          <cell r="D605">
            <v>234</v>
          </cell>
        </row>
        <row r="606">
          <cell r="D606">
            <v>235</v>
          </cell>
        </row>
        <row r="607">
          <cell r="D607">
            <v>236</v>
          </cell>
        </row>
        <row r="608">
          <cell r="D608">
            <v>237</v>
          </cell>
        </row>
        <row r="609">
          <cell r="D609">
            <v>238</v>
          </cell>
        </row>
        <row r="610">
          <cell r="D610">
            <v>239</v>
          </cell>
        </row>
        <row r="611">
          <cell r="D611">
            <v>240</v>
          </cell>
        </row>
        <row r="612">
          <cell r="D612">
            <v>241</v>
          </cell>
        </row>
        <row r="613">
          <cell r="D613">
            <v>242</v>
          </cell>
        </row>
        <row r="614">
          <cell r="D614">
            <v>243</v>
          </cell>
        </row>
        <row r="615">
          <cell r="D615">
            <v>244</v>
          </cell>
        </row>
        <row r="616">
          <cell r="D616">
            <v>245</v>
          </cell>
        </row>
        <row r="617">
          <cell r="D617">
            <v>246</v>
          </cell>
        </row>
        <row r="618">
          <cell r="D618">
            <v>247</v>
          </cell>
        </row>
        <row r="619">
          <cell r="D619">
            <v>248</v>
          </cell>
        </row>
        <row r="620">
          <cell r="D620">
            <v>249</v>
          </cell>
        </row>
        <row r="621">
          <cell r="D621">
            <v>250</v>
          </cell>
        </row>
        <row r="622">
          <cell r="D622">
            <v>251</v>
          </cell>
        </row>
        <row r="623">
          <cell r="D623">
            <v>252</v>
          </cell>
        </row>
        <row r="624">
          <cell r="D624">
            <v>253</v>
          </cell>
        </row>
        <row r="625">
          <cell r="D625">
            <v>254</v>
          </cell>
        </row>
        <row r="627">
          <cell r="D627" t="str">
            <v>(Select)</v>
          </cell>
        </row>
        <row r="628">
          <cell r="D628">
            <v>0.4</v>
          </cell>
        </row>
        <row r="629">
          <cell r="D629">
            <v>0.40625</v>
          </cell>
        </row>
        <row r="630">
          <cell r="D630">
            <v>0.41249999999999998</v>
          </cell>
        </row>
        <row r="631">
          <cell r="D631">
            <v>0.41875000000000001</v>
          </cell>
        </row>
        <row r="632">
          <cell r="D632">
            <v>0.42499999999999999</v>
          </cell>
        </row>
        <row r="633">
          <cell r="D633">
            <v>0.43125000000000002</v>
          </cell>
        </row>
        <row r="634">
          <cell r="D634">
            <v>0.4375</v>
          </cell>
        </row>
        <row r="635">
          <cell r="D635">
            <v>0.44374999999999998</v>
          </cell>
        </row>
        <row r="636">
          <cell r="D636">
            <v>0.45</v>
          </cell>
        </row>
        <row r="637">
          <cell r="D637">
            <v>0.45624999999999999</v>
          </cell>
        </row>
        <row r="638">
          <cell r="D638">
            <v>0.46250000000000002</v>
          </cell>
        </row>
        <row r="639">
          <cell r="D639">
            <v>0.46875</v>
          </cell>
        </row>
        <row r="640">
          <cell r="D640">
            <v>0.47499999999999998</v>
          </cell>
        </row>
        <row r="641">
          <cell r="D641">
            <v>0.48125000000000001</v>
          </cell>
        </row>
        <row r="642">
          <cell r="D642">
            <v>0.48749999999999999</v>
          </cell>
        </row>
        <row r="643">
          <cell r="D643">
            <v>0.49375000000000002</v>
          </cell>
        </row>
        <row r="644">
          <cell r="D644">
            <v>0.5</v>
          </cell>
        </row>
        <row r="645">
          <cell r="D645">
            <v>0.50624999999999998</v>
          </cell>
        </row>
        <row r="646">
          <cell r="D646">
            <v>0.51249999999999996</v>
          </cell>
        </row>
        <row r="647">
          <cell r="D647">
            <v>0.51875000000000004</v>
          </cell>
        </row>
        <row r="648">
          <cell r="D648">
            <v>0.52500000000000002</v>
          </cell>
        </row>
        <row r="649">
          <cell r="D649">
            <v>0.53125</v>
          </cell>
        </row>
        <row r="650">
          <cell r="D650">
            <v>0.53749999999999998</v>
          </cell>
        </row>
        <row r="651">
          <cell r="D651">
            <v>0.54374999999999996</v>
          </cell>
        </row>
        <row r="652">
          <cell r="D652">
            <v>0.55000000000000004</v>
          </cell>
        </row>
        <row r="653">
          <cell r="D653">
            <v>0.55625000000000002</v>
          </cell>
        </row>
        <row r="654">
          <cell r="D654">
            <v>0.5625</v>
          </cell>
        </row>
        <row r="655">
          <cell r="D655">
            <v>0.56874999999999998</v>
          </cell>
        </row>
        <row r="656">
          <cell r="D656">
            <v>0.57499999999999996</v>
          </cell>
        </row>
        <row r="657">
          <cell r="D657">
            <v>0.58125000000000004</v>
          </cell>
        </row>
        <row r="658">
          <cell r="D658">
            <v>0.58750000000000002</v>
          </cell>
        </row>
        <row r="659">
          <cell r="D659">
            <v>0.59375</v>
          </cell>
        </row>
        <row r="660">
          <cell r="D660">
            <v>0.6</v>
          </cell>
        </row>
        <row r="661">
          <cell r="D661">
            <v>0.60624999999999996</v>
          </cell>
        </row>
        <row r="662">
          <cell r="D662">
            <v>0.61250000000000004</v>
          </cell>
        </row>
        <row r="663">
          <cell r="D663">
            <v>0.61875000000000002</v>
          </cell>
        </row>
        <row r="664">
          <cell r="D664">
            <v>0.625</v>
          </cell>
        </row>
        <row r="665">
          <cell r="D665">
            <v>0.63124999999999998</v>
          </cell>
        </row>
        <row r="666">
          <cell r="D666">
            <v>0.63749999999999996</v>
          </cell>
        </row>
        <row r="667">
          <cell r="D667">
            <v>0.64375000000000004</v>
          </cell>
        </row>
        <row r="668">
          <cell r="D668">
            <v>0.65</v>
          </cell>
        </row>
        <row r="669">
          <cell r="D669">
            <v>0.65625</v>
          </cell>
        </row>
        <row r="670">
          <cell r="D670">
            <v>0.66249999999999998</v>
          </cell>
        </row>
        <row r="671">
          <cell r="D671">
            <v>0.66874999999999996</v>
          </cell>
        </row>
        <row r="672">
          <cell r="D672">
            <v>0.67500000000000004</v>
          </cell>
        </row>
        <row r="673">
          <cell r="D673">
            <v>0.68125000000000002</v>
          </cell>
        </row>
        <row r="674">
          <cell r="D674">
            <v>0.6875</v>
          </cell>
        </row>
        <row r="675">
          <cell r="D675">
            <v>0.69374999999999998</v>
          </cell>
        </row>
        <row r="676">
          <cell r="D676">
            <v>0.7</v>
          </cell>
        </row>
        <row r="677">
          <cell r="D677">
            <v>0.70625000000000004</v>
          </cell>
        </row>
        <row r="678">
          <cell r="D678">
            <v>0.71250000000000002</v>
          </cell>
        </row>
        <row r="679">
          <cell r="D679">
            <v>0.71875</v>
          </cell>
        </row>
        <row r="680">
          <cell r="D680">
            <v>0.72499999999999998</v>
          </cell>
        </row>
        <row r="681">
          <cell r="D681">
            <v>0.73124999999999996</v>
          </cell>
        </row>
        <row r="682">
          <cell r="D682">
            <v>0.73750000000000004</v>
          </cell>
        </row>
        <row r="683">
          <cell r="D683">
            <v>0.74375000000000002</v>
          </cell>
        </row>
        <row r="684">
          <cell r="D684">
            <v>0.75</v>
          </cell>
        </row>
        <row r="685">
          <cell r="D685">
            <v>0.75624999999999998</v>
          </cell>
        </row>
        <row r="686">
          <cell r="D686">
            <v>0.76249999999999996</v>
          </cell>
        </row>
        <row r="687">
          <cell r="D687">
            <v>0.76875000000000004</v>
          </cell>
        </row>
        <row r="688">
          <cell r="D688">
            <v>0.77500000000000002</v>
          </cell>
        </row>
        <row r="689">
          <cell r="D689">
            <v>0.78125</v>
          </cell>
        </row>
        <row r="690">
          <cell r="D690">
            <v>0.78749999999999998</v>
          </cell>
        </row>
        <row r="691">
          <cell r="D691">
            <v>0.79374999999999996</v>
          </cell>
        </row>
        <row r="692">
          <cell r="D692">
            <v>0.8</v>
          </cell>
        </row>
        <row r="693">
          <cell r="D693">
            <v>0.80625000000000002</v>
          </cell>
        </row>
        <row r="694">
          <cell r="D694">
            <v>0.8125</v>
          </cell>
        </row>
        <row r="695">
          <cell r="D695">
            <v>0.81874999999999998</v>
          </cell>
        </row>
        <row r="696">
          <cell r="D696">
            <v>0.82499999999999996</v>
          </cell>
        </row>
        <row r="697">
          <cell r="D697">
            <v>0.83125000000000004</v>
          </cell>
        </row>
        <row r="698">
          <cell r="D698">
            <v>0.83750000000000002</v>
          </cell>
        </row>
        <row r="699">
          <cell r="D699">
            <v>0.84375</v>
          </cell>
        </row>
        <row r="700">
          <cell r="D700">
            <v>0.85</v>
          </cell>
        </row>
        <row r="701">
          <cell r="D701">
            <v>0.85624999999999996</v>
          </cell>
        </row>
        <row r="702">
          <cell r="D702">
            <v>0.86250000000000004</v>
          </cell>
        </row>
        <row r="703">
          <cell r="D703">
            <v>0.86875000000000002</v>
          </cell>
        </row>
        <row r="704">
          <cell r="D704">
            <v>0.875</v>
          </cell>
        </row>
        <row r="705">
          <cell r="D705">
            <v>0.88124999999999998</v>
          </cell>
        </row>
        <row r="706">
          <cell r="D706">
            <v>0.88749999999999996</v>
          </cell>
        </row>
        <row r="707">
          <cell r="D707">
            <v>0.89375000000000004</v>
          </cell>
        </row>
        <row r="708">
          <cell r="D708">
            <v>0.9</v>
          </cell>
        </row>
        <row r="709">
          <cell r="D709">
            <v>0.90625</v>
          </cell>
        </row>
        <row r="710">
          <cell r="D710">
            <v>0.91249999999999998</v>
          </cell>
        </row>
        <row r="711">
          <cell r="D711">
            <v>0.91874999999999996</v>
          </cell>
        </row>
        <row r="712">
          <cell r="D712">
            <v>0.92500000000000004</v>
          </cell>
        </row>
        <row r="713">
          <cell r="D713">
            <v>0.93125000000000002</v>
          </cell>
        </row>
        <row r="714">
          <cell r="D714">
            <v>0.9375</v>
          </cell>
        </row>
        <row r="715">
          <cell r="D715">
            <v>0.94374999999999998</v>
          </cell>
        </row>
        <row r="716">
          <cell r="D716">
            <v>0.95</v>
          </cell>
        </row>
        <row r="717">
          <cell r="D717">
            <v>0.95625000000000004</v>
          </cell>
        </row>
        <row r="718">
          <cell r="D718">
            <v>0.96250000000000002</v>
          </cell>
        </row>
        <row r="719">
          <cell r="D719">
            <v>0.96875</v>
          </cell>
        </row>
        <row r="720">
          <cell r="D720">
            <v>0.97499999999999998</v>
          </cell>
        </row>
        <row r="721">
          <cell r="D721">
            <v>0.98124999999999996</v>
          </cell>
        </row>
        <row r="722">
          <cell r="D722">
            <v>0.98750000000000004</v>
          </cell>
        </row>
        <row r="723">
          <cell r="D723">
            <v>0.99375000000000002</v>
          </cell>
        </row>
        <row r="724">
          <cell r="D724">
            <v>1</v>
          </cell>
        </row>
        <row r="725">
          <cell r="D725">
            <v>1.0062500000000001</v>
          </cell>
        </row>
        <row r="726">
          <cell r="D726">
            <v>1.0125</v>
          </cell>
        </row>
        <row r="727">
          <cell r="D727">
            <v>1.01875</v>
          </cell>
        </row>
        <row r="728">
          <cell r="D728">
            <v>1.0249999999999999</v>
          </cell>
        </row>
        <row r="729">
          <cell r="D729">
            <v>1.03125</v>
          </cell>
        </row>
        <row r="730">
          <cell r="D730">
            <v>1.0375000000000001</v>
          </cell>
        </row>
        <row r="731">
          <cell r="D731">
            <v>1.04375</v>
          </cell>
        </row>
        <row r="732">
          <cell r="D732">
            <v>1.05</v>
          </cell>
        </row>
        <row r="733">
          <cell r="D733">
            <v>1.0562499999999999</v>
          </cell>
        </row>
        <row r="734">
          <cell r="D734">
            <v>1.0625</v>
          </cell>
        </row>
        <row r="735">
          <cell r="D735">
            <v>1.0687500000000001</v>
          </cell>
        </row>
        <row r="736">
          <cell r="D736">
            <v>1.075</v>
          </cell>
        </row>
        <row r="737">
          <cell r="D737">
            <v>1.08125</v>
          </cell>
        </row>
        <row r="738">
          <cell r="D738">
            <v>1.0874999999999999</v>
          </cell>
        </row>
        <row r="739">
          <cell r="D739">
            <v>1.09375</v>
          </cell>
        </row>
        <row r="740">
          <cell r="D740">
            <v>1.1000000000000001</v>
          </cell>
        </row>
        <row r="741">
          <cell r="D741">
            <v>1.10625</v>
          </cell>
        </row>
        <row r="742">
          <cell r="D742">
            <v>1.1125</v>
          </cell>
        </row>
        <row r="743">
          <cell r="D743">
            <v>1.1187499999999999</v>
          </cell>
        </row>
        <row r="744">
          <cell r="D744">
            <v>1.125</v>
          </cell>
        </row>
        <row r="745">
          <cell r="D745">
            <v>1.1312500000000001</v>
          </cell>
        </row>
        <row r="746">
          <cell r="D746">
            <v>1.1375</v>
          </cell>
        </row>
        <row r="747">
          <cell r="D747">
            <v>1.14375</v>
          </cell>
        </row>
        <row r="748">
          <cell r="D748">
            <v>1.1499999999999999</v>
          </cell>
        </row>
        <row r="749">
          <cell r="D749">
            <v>1.15625</v>
          </cell>
        </row>
        <row r="750">
          <cell r="D750">
            <v>1.1625000000000001</v>
          </cell>
        </row>
        <row r="751">
          <cell r="D751">
            <v>1.16875</v>
          </cell>
        </row>
        <row r="752">
          <cell r="D752">
            <v>1.175</v>
          </cell>
        </row>
        <row r="753">
          <cell r="D753">
            <v>1.1812499999999999</v>
          </cell>
        </row>
        <row r="754">
          <cell r="D754">
            <v>1.1875</v>
          </cell>
        </row>
        <row r="755">
          <cell r="D755">
            <v>1.1937500000000001</v>
          </cell>
        </row>
        <row r="756">
          <cell r="D756">
            <v>1.2</v>
          </cell>
        </row>
        <row r="757">
          <cell r="D757">
            <v>1.20625</v>
          </cell>
        </row>
        <row r="758">
          <cell r="D758">
            <v>1.2124999999999999</v>
          </cell>
        </row>
        <row r="759">
          <cell r="D759">
            <v>1.21875</v>
          </cell>
        </row>
        <row r="760">
          <cell r="D760">
            <v>1.2250000000000001</v>
          </cell>
        </row>
        <row r="761">
          <cell r="D761">
            <v>1.23125</v>
          </cell>
        </row>
        <row r="762">
          <cell r="D762">
            <v>1.2375</v>
          </cell>
        </row>
        <row r="763">
          <cell r="D763">
            <v>1.2437499999999999</v>
          </cell>
        </row>
        <row r="764">
          <cell r="D764">
            <v>1.25</v>
          </cell>
        </row>
        <row r="765">
          <cell r="D765">
            <v>1.2562500000000001</v>
          </cell>
        </row>
        <row r="766">
          <cell r="D766">
            <v>1.2625</v>
          </cell>
        </row>
        <row r="767">
          <cell r="D767">
            <v>1.26875</v>
          </cell>
        </row>
        <row r="768">
          <cell r="D768">
            <v>1.2749999999999999</v>
          </cell>
        </row>
        <row r="769">
          <cell r="D769">
            <v>1.28125</v>
          </cell>
        </row>
        <row r="770">
          <cell r="D770">
            <v>1.2875000000000001</v>
          </cell>
        </row>
        <row r="771">
          <cell r="D771">
            <v>1.29375</v>
          </cell>
        </row>
        <row r="772">
          <cell r="D772">
            <v>1.3</v>
          </cell>
        </row>
        <row r="773">
          <cell r="D773">
            <v>1.3062499999999999</v>
          </cell>
        </row>
        <row r="774">
          <cell r="D774">
            <v>1.3125</v>
          </cell>
        </row>
        <row r="775">
          <cell r="D775">
            <v>1.3187500000000001</v>
          </cell>
        </row>
        <row r="776">
          <cell r="D776">
            <v>1.325</v>
          </cell>
        </row>
        <row r="777">
          <cell r="D777">
            <v>1.33125</v>
          </cell>
        </row>
        <row r="778">
          <cell r="D778">
            <v>1.3374999999999999</v>
          </cell>
        </row>
        <row r="779">
          <cell r="D779">
            <v>1.34375</v>
          </cell>
        </row>
        <row r="780">
          <cell r="D780">
            <v>1.35</v>
          </cell>
        </row>
        <row r="781">
          <cell r="D781">
            <v>1.35625</v>
          </cell>
        </row>
        <row r="782">
          <cell r="D782">
            <v>1.3625</v>
          </cell>
        </row>
        <row r="783">
          <cell r="D783">
            <v>1.3687499999999999</v>
          </cell>
        </row>
        <row r="784">
          <cell r="D784">
            <v>1.375</v>
          </cell>
        </row>
        <row r="785">
          <cell r="D785">
            <v>1.3812500000000001</v>
          </cell>
        </row>
        <row r="786">
          <cell r="D786">
            <v>1.3875</v>
          </cell>
        </row>
        <row r="787">
          <cell r="D787">
            <v>1.39375</v>
          </cell>
        </row>
        <row r="788">
          <cell r="D788">
            <v>1.4</v>
          </cell>
        </row>
        <row r="789">
          <cell r="D789">
            <v>1.40625</v>
          </cell>
        </row>
        <row r="790">
          <cell r="D790">
            <v>1.4125000000000001</v>
          </cell>
        </row>
        <row r="791">
          <cell r="D791">
            <v>1.41875</v>
          </cell>
        </row>
        <row r="792">
          <cell r="D792">
            <v>1.425</v>
          </cell>
        </row>
        <row r="793">
          <cell r="D793">
            <v>1.4312499999999999</v>
          </cell>
        </row>
        <row r="794">
          <cell r="D794">
            <v>1.4375</v>
          </cell>
        </row>
        <row r="795">
          <cell r="D795">
            <v>1.4437500000000001</v>
          </cell>
        </row>
        <row r="796">
          <cell r="D796">
            <v>1.45</v>
          </cell>
        </row>
        <row r="797">
          <cell r="D797">
            <v>1.45625</v>
          </cell>
        </row>
        <row r="798">
          <cell r="D798">
            <v>1.4624999999999999</v>
          </cell>
        </row>
        <row r="799">
          <cell r="D799">
            <v>1.46875</v>
          </cell>
        </row>
        <row r="800">
          <cell r="D800">
            <v>1.4750000000000001</v>
          </cell>
        </row>
        <row r="801">
          <cell r="D801">
            <v>1.48125</v>
          </cell>
        </row>
        <row r="802">
          <cell r="D802">
            <v>1.4875</v>
          </cell>
        </row>
        <row r="803">
          <cell r="D803">
            <v>1.4937499999999999</v>
          </cell>
        </row>
        <row r="804">
          <cell r="D804">
            <v>1.5</v>
          </cell>
        </row>
        <row r="805">
          <cell r="D805">
            <v>1.8</v>
          </cell>
        </row>
        <row r="885">
          <cell r="D885" t="str">
            <v>(Select)</v>
          </cell>
        </row>
        <row r="886">
          <cell r="D886">
            <v>2.1</v>
          </cell>
        </row>
        <row r="887">
          <cell r="D887">
            <v>2.6</v>
          </cell>
        </row>
        <row r="888">
          <cell r="D888">
            <v>3</v>
          </cell>
        </row>
        <row r="889">
          <cell r="D889">
            <v>4.5</v>
          </cell>
        </row>
        <row r="893">
          <cell r="D893" t="str">
            <v>(Select)</v>
          </cell>
        </row>
        <row r="894">
          <cell r="D894">
            <v>1.05</v>
          </cell>
        </row>
        <row r="895">
          <cell r="D895">
            <v>1.07</v>
          </cell>
        </row>
        <row r="896">
          <cell r="D896">
            <v>1.0900000000000001</v>
          </cell>
        </row>
        <row r="897">
          <cell r="D897">
            <v>1.1100000000000001</v>
          </cell>
        </row>
        <row r="905">
          <cell r="D905" t="str">
            <v>(Select)</v>
          </cell>
        </row>
        <row r="906">
          <cell r="D906">
            <v>0.95</v>
          </cell>
        </row>
        <row r="907">
          <cell r="D907">
            <v>0.93</v>
          </cell>
        </row>
        <row r="908">
          <cell r="D908">
            <v>0.91</v>
          </cell>
        </row>
        <row r="909">
          <cell r="D909">
            <v>0.89</v>
          </cell>
        </row>
        <row r="917">
          <cell r="D917" t="str">
            <v>(Select)</v>
          </cell>
        </row>
        <row r="918">
          <cell r="D918" t="str">
            <v>Regulator reacts upon a Watchdog</v>
          </cell>
        </row>
        <row r="919">
          <cell r="D919" t="str">
            <v>Regulator bypass Watchdog event</v>
          </cell>
        </row>
        <row r="929">
          <cell r="D929" t="str">
            <v>(Select)</v>
          </cell>
        </row>
        <row r="930">
          <cell r="D930" t="str">
            <v xml:space="preserve">Reg. does not control status of PGOOD </v>
          </cell>
        </row>
        <row r="931">
          <cell r="D931" t="str">
            <v>Reg. is part of AND function to control PGOOD</v>
          </cell>
        </row>
        <row r="941">
          <cell r="D941" t="str">
            <v>(Select)</v>
          </cell>
        </row>
        <row r="942">
          <cell r="D942">
            <v>6.25</v>
          </cell>
        </row>
        <row r="943">
          <cell r="D943">
            <v>12.5</v>
          </cell>
        </row>
        <row r="948">
          <cell r="D948" t="str">
            <v>(Select)</v>
          </cell>
        </row>
        <row r="949">
          <cell r="D949">
            <v>45</v>
          </cell>
        </row>
        <row r="950">
          <cell r="D950">
            <v>90</v>
          </cell>
        </row>
        <row r="951">
          <cell r="D951">
            <v>135</v>
          </cell>
        </row>
        <row r="952">
          <cell r="D952">
            <v>180</v>
          </cell>
        </row>
        <row r="953">
          <cell r="D953">
            <v>225</v>
          </cell>
        </row>
        <row r="954">
          <cell r="D954">
            <v>270</v>
          </cell>
        </row>
        <row r="955">
          <cell r="D955">
            <v>315</v>
          </cell>
        </row>
        <row r="956">
          <cell r="D956">
            <v>0</v>
          </cell>
        </row>
        <row r="958">
          <cell r="D958" t="str">
            <v>(Select)</v>
          </cell>
        </row>
        <row r="959">
          <cell r="D959" t="str">
            <v>1uH</v>
          </cell>
        </row>
        <row r="960">
          <cell r="D960" t="str">
            <v>0.47uH</v>
          </cell>
        </row>
        <row r="961">
          <cell r="D961" t="str">
            <v>1.5uH</v>
          </cell>
        </row>
        <row r="962">
          <cell r="D962" t="str">
            <v>RESERVED</v>
          </cell>
        </row>
        <row r="966">
          <cell r="D966" t="str">
            <v>(Select)</v>
          </cell>
        </row>
        <row r="967">
          <cell r="D967">
            <v>1.5</v>
          </cell>
        </row>
        <row r="968">
          <cell r="D968">
            <v>1.6</v>
          </cell>
        </row>
        <row r="969">
          <cell r="D969">
            <v>1.8</v>
          </cell>
        </row>
        <row r="970">
          <cell r="D970">
            <v>1.85</v>
          </cell>
        </row>
        <row r="971">
          <cell r="D971">
            <v>2.15</v>
          </cell>
        </row>
        <row r="972">
          <cell r="D972">
            <v>2.5</v>
          </cell>
        </row>
        <row r="973">
          <cell r="D973">
            <v>2.8</v>
          </cell>
        </row>
        <row r="974">
          <cell r="D974">
            <v>3</v>
          </cell>
        </row>
        <row r="975">
          <cell r="D975">
            <v>3.1</v>
          </cell>
        </row>
        <row r="976">
          <cell r="D976">
            <v>3.15</v>
          </cell>
        </row>
        <row r="977">
          <cell r="D977">
            <v>3.2</v>
          </cell>
        </row>
        <row r="978">
          <cell r="D978">
            <v>3.3</v>
          </cell>
        </row>
        <row r="979">
          <cell r="D979">
            <v>3.35</v>
          </cell>
        </row>
        <row r="980">
          <cell r="D980">
            <v>4</v>
          </cell>
        </row>
        <row r="981">
          <cell r="D981">
            <v>4.9000000000000004</v>
          </cell>
        </row>
        <row r="982">
          <cell r="D982">
            <v>5</v>
          </cell>
        </row>
        <row r="984">
          <cell r="D984" t="str">
            <v>(Select)</v>
          </cell>
        </row>
        <row r="985">
          <cell r="D985" t="str">
            <v>Normal Mode</v>
          </cell>
        </row>
        <row r="986">
          <cell r="D986" t="str">
            <v>Load Switch Mode</v>
          </cell>
        </row>
        <row r="989">
          <cell r="D989" t="str">
            <v>(Select)</v>
          </cell>
        </row>
        <row r="990">
          <cell r="D990" t="str">
            <v>I2C Control Only</v>
          </cell>
        </row>
        <row r="991">
          <cell r="D991" t="str">
            <v>Control by LDO2EN pin and I2C</v>
          </cell>
        </row>
        <row r="993">
          <cell r="D993" t="str">
            <v>(Select)</v>
          </cell>
        </row>
        <row r="994">
          <cell r="D994" t="str">
            <v>LDO2 set by VLDO2_RUN bits</v>
          </cell>
        </row>
        <row r="995">
          <cell r="D995" t="str">
            <v>LDO2 set by VSELECT. Low=3.3V / High=1.8V</v>
          </cell>
        </row>
        <row r="997">
          <cell r="D997" t="str">
            <v>(Select)</v>
          </cell>
        </row>
        <row r="998">
          <cell r="D998" t="str">
            <v>OFF</v>
          </cell>
        </row>
        <row r="999">
          <cell r="D999" t="str">
            <v>1.8V</v>
          </cell>
        </row>
        <row r="1000">
          <cell r="D1000" t="str">
            <v>3.0V</v>
          </cell>
        </row>
        <row r="1001">
          <cell r="D1001" t="str">
            <v>3.3V</v>
          </cell>
        </row>
        <row r="1003">
          <cell r="D1003" t="str">
            <v>(Select)</v>
          </cell>
        </row>
        <row r="1004">
          <cell r="D1004" t="str">
            <v>Bandgap comparator enabled</v>
          </cell>
        </row>
        <row r="1005">
          <cell r="D1005" t="str">
            <v>BGMON shutdown Bypassed</v>
          </cell>
        </row>
        <row r="1007">
          <cell r="D1007" t="str">
            <v>(Select)</v>
          </cell>
        </row>
        <row r="1008">
          <cell r="D1008" t="str">
            <v>65 GM</v>
          </cell>
        </row>
        <row r="1009">
          <cell r="D1009" t="str">
            <v>16.25 GM</v>
          </cell>
        </row>
        <row r="1010">
          <cell r="D1010" t="str">
            <v>32.5 GM</v>
          </cell>
        </row>
        <row r="1011">
          <cell r="D1011" t="str">
            <v>48.75 GM</v>
          </cell>
        </row>
        <row r="1012">
          <cell r="D1012" t="str">
            <v>65 GM</v>
          </cell>
        </row>
        <row r="1013">
          <cell r="D1013" t="str">
            <v>81.25 GM</v>
          </cell>
        </row>
        <row r="1014">
          <cell r="D1014" t="str">
            <v>97.5 GM</v>
          </cell>
        </row>
        <row r="1015">
          <cell r="D1015" t="str">
            <v>113.75 GM</v>
          </cell>
        </row>
        <row r="1017">
          <cell r="D1017" t="str">
            <v>(Select)</v>
          </cell>
        </row>
        <row r="1018">
          <cell r="D1018" t="str">
            <v>65 GM</v>
          </cell>
        </row>
        <row r="1019">
          <cell r="D1019" t="str">
            <v>32.5 GM</v>
          </cell>
        </row>
        <row r="1021">
          <cell r="D1021" t="str">
            <v>(Select)</v>
          </cell>
        </row>
        <row r="1022">
          <cell r="D1022">
            <v>56</v>
          </cell>
        </row>
        <row r="1023">
          <cell r="D1023">
            <v>106</v>
          </cell>
        </row>
        <row r="1025">
          <cell r="D1025" t="str">
            <v>(Select)</v>
          </cell>
        </row>
        <row r="1026">
          <cell r="D1026">
            <v>1</v>
          </cell>
        </row>
        <row r="1027">
          <cell r="D1027">
            <v>1.1000000000000001</v>
          </cell>
        </row>
        <row r="1028">
          <cell r="D1028">
            <v>1.2</v>
          </cell>
        </row>
        <row r="1029">
          <cell r="D1029">
            <v>1.25</v>
          </cell>
        </row>
        <row r="1030">
          <cell r="D1030">
            <v>1.3</v>
          </cell>
        </row>
        <row r="1031">
          <cell r="D1031">
            <v>1.35</v>
          </cell>
        </row>
        <row r="1032">
          <cell r="D1032">
            <v>1.5</v>
          </cell>
        </row>
        <row r="1033">
          <cell r="D1033">
            <v>1.6</v>
          </cell>
        </row>
        <row r="1034">
          <cell r="D1034">
            <v>1.8</v>
          </cell>
        </row>
        <row r="1035">
          <cell r="D1035">
            <v>1.85</v>
          </cell>
        </row>
        <row r="1036">
          <cell r="D1036">
            <v>2</v>
          </cell>
        </row>
        <row r="1037">
          <cell r="D1037">
            <v>2.1</v>
          </cell>
        </row>
        <row r="1038">
          <cell r="D1038">
            <v>2.15</v>
          </cell>
        </row>
        <row r="1039">
          <cell r="D1039">
            <v>2.25</v>
          </cell>
        </row>
        <row r="1040">
          <cell r="D1040">
            <v>2.2999999999999998</v>
          </cell>
        </row>
        <row r="1041">
          <cell r="D1041">
            <v>2.4</v>
          </cell>
        </row>
        <row r="1042">
          <cell r="D1042">
            <v>2.5</v>
          </cell>
        </row>
        <row r="1043">
          <cell r="D1043">
            <v>2.8</v>
          </cell>
        </row>
        <row r="1044">
          <cell r="D1044">
            <v>3.15</v>
          </cell>
        </row>
        <row r="1045">
          <cell r="D1045">
            <v>3.2</v>
          </cell>
        </row>
        <row r="1046">
          <cell r="D1046">
            <v>3.25</v>
          </cell>
        </row>
        <row r="1047">
          <cell r="D1047">
            <v>3.3</v>
          </cell>
        </row>
        <row r="1048">
          <cell r="D1048">
            <v>3.35</v>
          </cell>
        </row>
        <row r="1049">
          <cell r="D1049">
            <v>3.4</v>
          </cell>
        </row>
        <row r="1050">
          <cell r="D1050">
            <v>3.5</v>
          </cell>
        </row>
        <row r="1051">
          <cell r="D1051">
            <v>3.8</v>
          </cell>
        </row>
        <row r="1052">
          <cell r="D1052">
            <v>4</v>
          </cell>
        </row>
        <row r="1053">
          <cell r="D1053">
            <v>4.0999999999999996</v>
          </cell>
        </row>
        <row r="1054">
          <cell r="D1054">
            <v>4.0999999999999996</v>
          </cell>
        </row>
        <row r="1055">
          <cell r="D1055">
            <v>4.0999999999999996</v>
          </cell>
        </row>
        <row r="1056">
          <cell r="D1056">
            <v>4.0999999999999996</v>
          </cell>
        </row>
        <row r="1057">
          <cell r="D1057">
            <v>4.0999999999999996</v>
          </cell>
        </row>
        <row r="1059">
          <cell r="D1059" t="str">
            <v>(Select)</v>
          </cell>
        </row>
        <row r="1060">
          <cell r="D1060" t="str">
            <v>OV Protect Enabled</v>
          </cell>
        </row>
        <row r="1061">
          <cell r="D1061" t="str">
            <v>OV Fault Bypassed</v>
          </cell>
        </row>
        <row r="1071">
          <cell r="D1071" t="str">
            <v>(Select)</v>
          </cell>
        </row>
        <row r="1072">
          <cell r="D1072" t="str">
            <v>UV Protect Enabled</v>
          </cell>
        </row>
        <row r="1073">
          <cell r="D1073" t="str">
            <v>UV Fault Bypassed</v>
          </cell>
        </row>
        <row r="1083">
          <cell r="D1083" t="str">
            <v>(Select)</v>
          </cell>
        </row>
        <row r="1084">
          <cell r="D1084" t="str">
            <v>ILIM Protect Enabled</v>
          </cell>
        </row>
        <row r="1085">
          <cell r="D1085" t="str">
            <v>ILIM Fault Bypassed</v>
          </cell>
        </row>
        <row r="1095">
          <cell r="D1095" t="str">
            <v>(Select)</v>
          </cell>
        </row>
        <row r="1096">
          <cell r="D1096" t="str">
            <v>A</v>
          </cell>
        </row>
        <row r="1097">
          <cell r="D1097" t="str">
            <v>B</v>
          </cell>
        </row>
        <row r="1098">
          <cell r="D1098" t="str">
            <v>C</v>
          </cell>
        </row>
        <row r="1099">
          <cell r="D1099" t="str">
            <v>D</v>
          </cell>
        </row>
        <row r="1100">
          <cell r="D1100" t="str">
            <v>E</v>
          </cell>
        </row>
        <row r="1101">
          <cell r="D1101" t="str">
            <v>F</v>
          </cell>
        </row>
        <row r="1102">
          <cell r="D1102" t="str">
            <v>G</v>
          </cell>
        </row>
        <row r="1103">
          <cell r="D1103" t="str">
            <v>H</v>
          </cell>
        </row>
        <row r="1104">
          <cell r="D1104" t="str">
            <v>J</v>
          </cell>
        </row>
        <row r="1105">
          <cell r="D1105" t="str">
            <v>K</v>
          </cell>
        </row>
        <row r="1106">
          <cell r="D1106" t="str">
            <v>L</v>
          </cell>
        </row>
        <row r="1107">
          <cell r="D1107" t="str">
            <v>M</v>
          </cell>
        </row>
        <row r="1108">
          <cell r="D1108" t="str">
            <v>N</v>
          </cell>
        </row>
        <row r="1109">
          <cell r="D1109" t="str">
            <v>P</v>
          </cell>
        </row>
        <row r="1110">
          <cell r="D1110" t="str">
            <v>Q</v>
          </cell>
        </row>
        <row r="1111">
          <cell r="D1111" t="str">
            <v>R</v>
          </cell>
        </row>
        <row r="1113">
          <cell r="D1113" t="str">
            <v>(Select)</v>
          </cell>
        </row>
        <row r="1114">
          <cell r="D1114">
            <v>0</v>
          </cell>
        </row>
        <row r="1115">
          <cell r="D1115">
            <v>1</v>
          </cell>
        </row>
        <row r="1116">
          <cell r="D1116">
            <v>2</v>
          </cell>
        </row>
        <row r="1117">
          <cell r="D1117">
            <v>3</v>
          </cell>
        </row>
        <row r="1118">
          <cell r="D1118">
            <v>4</v>
          </cell>
        </row>
        <row r="1119">
          <cell r="D1119">
            <v>5</v>
          </cell>
        </row>
        <row r="1120">
          <cell r="D1120">
            <v>6</v>
          </cell>
        </row>
        <row r="1121">
          <cell r="D1121">
            <v>7</v>
          </cell>
        </row>
        <row r="1122">
          <cell r="D1122">
            <v>8</v>
          </cell>
        </row>
        <row r="1123">
          <cell r="D1123">
            <v>9</v>
          </cell>
        </row>
        <row r="1124">
          <cell r="D1124" t="str">
            <v>A</v>
          </cell>
        </row>
        <row r="1125">
          <cell r="D1125" t="str">
            <v>B</v>
          </cell>
        </row>
        <row r="1126">
          <cell r="D1126" t="str">
            <v>C</v>
          </cell>
        </row>
        <row r="1127">
          <cell r="D1127" t="str">
            <v>D</v>
          </cell>
        </row>
        <row r="1128">
          <cell r="D1128" t="str">
            <v>E</v>
          </cell>
        </row>
        <row r="1129">
          <cell r="D1129" t="str">
            <v>F</v>
          </cell>
        </row>
        <row r="1130">
          <cell r="D1130" t="str">
            <v>G</v>
          </cell>
        </row>
        <row r="1131">
          <cell r="D1131" t="str">
            <v>H</v>
          </cell>
        </row>
        <row r="1132">
          <cell r="D1132" t="str">
            <v>J</v>
          </cell>
        </row>
        <row r="1133">
          <cell r="D1133" t="str">
            <v>K</v>
          </cell>
        </row>
        <row r="1134">
          <cell r="D1134" t="str">
            <v>L</v>
          </cell>
        </row>
        <row r="1135">
          <cell r="D1135" t="str">
            <v>M</v>
          </cell>
        </row>
        <row r="1136">
          <cell r="D1136" t="str">
            <v>N</v>
          </cell>
        </row>
        <row r="1137">
          <cell r="D1137" t="str">
            <v>P</v>
          </cell>
        </row>
        <row r="1138">
          <cell r="D1138" t="str">
            <v>Q</v>
          </cell>
        </row>
        <row r="1139">
          <cell r="D1139" t="str">
            <v>R</v>
          </cell>
        </row>
        <row r="1140">
          <cell r="D1140" t="str">
            <v>S</v>
          </cell>
        </row>
        <row r="1141">
          <cell r="D1141" t="str">
            <v>T</v>
          </cell>
        </row>
        <row r="1142">
          <cell r="D1142" t="str">
            <v>U</v>
          </cell>
        </row>
        <row r="1143">
          <cell r="D1143" t="str">
            <v>V</v>
          </cell>
        </row>
        <row r="1144">
          <cell r="D1144" t="str">
            <v>W</v>
          </cell>
        </row>
        <row r="1145">
          <cell r="D1145" t="str">
            <v>X</v>
          </cell>
        </row>
        <row r="1146">
          <cell r="D1146" t="str">
            <v>Y</v>
          </cell>
        </row>
        <row r="1147">
          <cell r="D1147" t="str">
            <v>Z</v>
          </cell>
        </row>
      </sheetData>
      <sheetData sheetId="6">
        <row r="21">
          <cell r="E21">
            <v>5000</v>
          </cell>
        </row>
        <row r="63">
          <cell r="E63">
            <v>5000</v>
          </cell>
        </row>
      </sheetData>
      <sheetData sheetId="7">
        <row r="3">
          <cell r="B3" t="str">
            <v>Rev 0.1</v>
          </cell>
          <cell r="C3">
            <v>42864</v>
          </cell>
          <cell r="D3" t="str">
            <v>E. Pritchett</v>
          </cell>
          <cell r="E3" t="str">
            <v>Initial input form creation.</v>
          </cell>
        </row>
        <row r="4">
          <cell r="B4" t="str">
            <v>Rev 0.2</v>
          </cell>
          <cell r="C4">
            <v>41041</v>
          </cell>
          <cell r="D4" t="str">
            <v>E. Pritchett</v>
          </cell>
          <cell r="E4" t="str">
            <v>Added column for decimal value. 
Updated output file to include decimal value</v>
          </cell>
        </row>
        <row r="5">
          <cell r="B5" t="str">
            <v>Rev 0.3</v>
          </cell>
          <cell r="C5">
            <v>42874</v>
          </cell>
          <cell r="D5" t="str">
            <v>E. Pritchett</v>
          </cell>
          <cell r="E5" t="str">
            <v>Updated output text file to include 3 didgits for decimal values</v>
          </cell>
        </row>
        <row r="6">
          <cell r="B6" t="str">
            <v>Rev 0.4</v>
          </cell>
          <cell r="C6">
            <v>42891</v>
          </cell>
          <cell r="D6" t="str">
            <v>E. Pritchett</v>
          </cell>
          <cell r="E6" t="str">
            <v>Updated register names to match datasheet. Features not available on PF8100 are cleared when 
device type = safety. OTP bits not in PF8100 (non-safety) default to 0 regardless of previous state. Added binary values for each OTP selection.  when non-safety is selected for when output text file to include 3 didgits for decimal values</v>
          </cell>
        </row>
        <row r="7">
          <cell r="B7" t="str">
            <v>Rev 0.5</v>
          </cell>
          <cell r="C7">
            <v>42906</v>
          </cell>
          <cell r="D7" t="str">
            <v>J.Romo</v>
          </cell>
          <cell r="E7" t="str">
            <v xml:space="preserve">Force unused SWx registers to a defualt safe condition when Dual and Quad phase configuration is configured. 
Added Power up Sequence Chart for reference.
Force unused registers to a default safe condition when PF8100 (non-safety) device is selected. </v>
          </cell>
        </row>
        <row r="8">
          <cell r="B8" t="str">
            <v>Rev 1.0</v>
          </cell>
          <cell r="C8">
            <v>42906</v>
          </cell>
          <cell r="D8" t="str">
            <v>J.Romo</v>
          </cell>
          <cell r="E8" t="str">
            <v>Initial Release</v>
          </cell>
        </row>
        <row r="9">
          <cell r="B9" t="str">
            <v>Rev 1.1</v>
          </cell>
          <cell r="C9">
            <v>42926</v>
          </cell>
          <cell r="D9" t="str">
            <v>J.Romo</v>
          </cell>
          <cell r="E9" t="str">
            <v>Update OTP Script generation</v>
          </cell>
        </row>
        <row r="10">
          <cell r="B10" t="str">
            <v>Rev 1.2</v>
          </cell>
          <cell r="C10">
            <v>42941</v>
          </cell>
          <cell r="D10" t="str">
            <v>J.Romo</v>
          </cell>
          <cell r="E10" t="str">
            <v>Update OTP/TBB script Generation
Add Configuration Import/Export function.</v>
          </cell>
        </row>
        <row r="11">
          <cell r="B11" t="str">
            <v>Rev 1.3</v>
          </cell>
          <cell r="C11">
            <v>42975</v>
          </cell>
          <cell r="D11" t="str">
            <v>J. Romo</v>
          </cell>
          <cell r="E11" t="str">
            <v>Proof LDO2 Voltage Selection in Diagram
Generate Correct Part number
Pre-set SW6 voltage to SW5/2 during VTT mode
Force PGOOD_SEQ to 0x00 when PG_ACTIVE = 1
Gray-out unused configurations during Power up sequence
Formating update
Update Production Scripts Generation.</v>
          </cell>
        </row>
        <row r="12">
          <cell r="B12" t="str">
            <v>Rev 1.4</v>
          </cell>
          <cell r="C12">
            <v>42989</v>
          </cell>
          <cell r="D12" t="str">
            <v>J. Romo</v>
          </cell>
          <cell r="E12" t="str">
            <v>Add "DATA REFRESH " button to enable or disable the macros during OTP setting configuration.</v>
          </cell>
        </row>
        <row r="13">
          <cell r="B13" t="str">
            <v>Rev 1.5</v>
          </cell>
          <cell r="C13">
            <v>43049</v>
          </cell>
          <cell r="D13" t="str">
            <v>J. Romo</v>
          </cell>
          <cell r="E13" t="str">
            <v>Fixed PGOOD error on Power up Sequence when PGOOD_SEQ bits are in slot 0.
Add Power down Sequence graph
Fix Part Number Generation
Update Formating and Gray out not-needed features.
Update File Generation tool to be compatible with FlexGUI EAR 0.3.1</v>
          </cell>
        </row>
        <row r="14">
          <cell r="B14" t="str">
            <v>Rev 1.6</v>
          </cell>
          <cell r="C14">
            <v>43101</v>
          </cell>
          <cell r="D14" t="str">
            <v>J. Romo</v>
          </cell>
          <cell r="E14" t="str">
            <v xml:space="preserve">Add Device Name for Script Generation field. </v>
          </cell>
        </row>
        <row r="15">
          <cell r="B15" t="str">
            <v>Rev 1.7</v>
          </cell>
          <cell r="C15">
            <v>43119</v>
          </cell>
          <cell r="D15" t="str">
            <v>J. Romo</v>
          </cell>
          <cell r="E15" t="str">
            <v xml:space="preserve">Add Script support for self check OTP </v>
          </cell>
        </row>
        <row r="16">
          <cell r="B16" t="str">
            <v>Rev 2.0</v>
          </cell>
          <cell r="C16">
            <v>43110</v>
          </cell>
          <cell r="D16" t="str">
            <v>J. Romo</v>
          </cell>
          <cell r="E16" t="str">
            <v xml:space="preserve">Update OTP Form to support Silicon B0. </v>
          </cell>
        </row>
        <row r="17">
          <cell r="B17" t="str">
            <v>Rev 2.1</v>
          </cell>
          <cell r="C17">
            <v>43151</v>
          </cell>
          <cell r="D17" t="str">
            <v>J. Romo</v>
          </cell>
          <cell r="E17" t="str">
            <v>Fixed BGMON_BYPASS selection.</v>
          </cell>
        </row>
        <row r="18">
          <cell r="B18" t="str">
            <v>Rev 2.2</v>
          </cell>
          <cell r="C18">
            <v>43187</v>
          </cell>
          <cell r="D18" t="str">
            <v>J. Romo</v>
          </cell>
          <cell r="E18" t="str">
            <v>Reduced file size with new Sequence Chart Calcualtion
Update OTP Script to support B0 silicon properly.
Enable CoverSheet generation for Custom Sample Datasheet.</v>
          </cell>
        </row>
        <row r="19">
          <cell r="B19" t="str">
            <v>Rev 2.3</v>
          </cell>
          <cell r="C19">
            <v>43235</v>
          </cell>
          <cell r="D19" t="str">
            <v>J. Romo</v>
          </cell>
          <cell r="E19" t="str">
            <v xml:space="preserve">Enable the CRC configuration to set bit 7 from the OTP_PROG_IDL register. </v>
          </cell>
        </row>
        <row r="20">
          <cell r="B20" t="str">
            <v>Rev 2.4</v>
          </cell>
          <cell r="C20">
            <v>43249</v>
          </cell>
          <cell r="D20" t="str">
            <v>J. Romo</v>
          </cell>
          <cell r="E20" t="str">
            <v xml:space="preserve">Correct Calculation of the decimal value during production file generation to account for previous update. </v>
          </cell>
        </row>
        <row r="21">
          <cell r="B21" t="str">
            <v>Rev 2.5</v>
          </cell>
          <cell r="C21">
            <v>43258</v>
          </cell>
          <cell r="D21" t="str">
            <v>J. Romo</v>
          </cell>
          <cell r="E21" t="str">
            <v xml:space="preserve">Corrected Powr down delay parameter, changed from 125us to 120us. 
Correct PDF cover sheet showing incorrect configuration on Fruequency spread spectrum. </v>
          </cell>
        </row>
        <row r="22">
          <cell r="B22" t="str">
            <v>Rev 2.6</v>
          </cell>
          <cell r="C22">
            <v>43297</v>
          </cell>
          <cell r="D22" t="str">
            <v>J.Romo</v>
          </cell>
          <cell r="E22" t="str">
            <v xml:space="preserve">Corrected Typo on PDF generation on SW6 phase shift. </v>
          </cell>
        </row>
        <row r="23">
          <cell r="B23" t="str">
            <v>Rev 2.7</v>
          </cell>
          <cell r="C23">
            <v>43374</v>
          </cell>
          <cell r="D23" t="str">
            <v>J.Romo</v>
          </cell>
          <cell r="E23" t="str">
            <v>Fixed Conditional text to remove Safety Features on PF8101 device.</v>
          </cell>
        </row>
      </sheetData>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42"/>
  <sheetViews>
    <sheetView zoomScale="60" zoomScaleNormal="60" workbookViewId="0">
      <selection activeCell="R42" sqref="R42"/>
    </sheetView>
  </sheetViews>
  <sheetFormatPr defaultColWidth="9.140625" defaultRowHeight="15" x14ac:dyDescent="0.25"/>
  <cols>
    <col min="1" max="1" width="9.140625" style="1"/>
    <col min="2" max="3" width="15.7109375" style="18" customWidth="1"/>
    <col min="4" max="4" width="85.7109375" style="18" customWidth="1"/>
    <col min="5" max="16384" width="9.140625" style="1"/>
  </cols>
  <sheetData>
    <row r="2" spans="1:4" x14ac:dyDescent="0.25">
      <c r="B2" s="19"/>
      <c r="C2" s="19"/>
      <c r="D2" s="19"/>
    </row>
    <row r="3" spans="1:4" x14ac:dyDescent="0.25">
      <c r="B3" s="20"/>
      <c r="C3" s="21"/>
      <c r="D3" s="22"/>
    </row>
    <row r="4" spans="1:4" x14ac:dyDescent="0.25">
      <c r="B4" s="23"/>
      <c r="C4" s="21"/>
      <c r="D4" s="22"/>
    </row>
    <row r="5" spans="1:4" x14ac:dyDescent="0.25">
      <c r="B5" s="23"/>
      <c r="C5" s="21"/>
      <c r="D5" s="22"/>
    </row>
    <row r="6" spans="1:4" x14ac:dyDescent="0.25">
      <c r="B6" s="23"/>
      <c r="C6" s="23"/>
      <c r="D6" s="23"/>
    </row>
    <row r="7" spans="1:4" s="16" customFormat="1" x14ac:dyDescent="0.25">
      <c r="A7" s="15" t="s">
        <v>310</v>
      </c>
      <c r="B7" s="23"/>
      <c r="C7" s="23"/>
      <c r="D7" s="23"/>
    </row>
    <row r="8" spans="1:4" s="16" customFormat="1" x14ac:dyDescent="0.25">
      <c r="A8" s="17" t="s">
        <v>704</v>
      </c>
      <c r="B8" s="23"/>
      <c r="C8" s="23"/>
      <c r="D8" s="23"/>
    </row>
    <row r="9" spans="1:4" s="16" customFormat="1" x14ac:dyDescent="0.25">
      <c r="A9" s="17"/>
      <c r="B9" s="23"/>
      <c r="C9" s="23"/>
      <c r="D9" s="23"/>
    </row>
    <row r="10" spans="1:4" s="16" customFormat="1" x14ac:dyDescent="0.25">
      <c r="A10" s="15" t="s">
        <v>311</v>
      </c>
      <c r="B10" s="18"/>
      <c r="C10" s="18"/>
      <c r="D10" s="18"/>
    </row>
    <row r="11" spans="1:4" s="16" customFormat="1" x14ac:dyDescent="0.25">
      <c r="A11" s="17" t="s">
        <v>317</v>
      </c>
      <c r="B11" s="18"/>
      <c r="C11" s="18"/>
      <c r="D11" s="18"/>
    </row>
    <row r="12" spans="1:4" s="16" customFormat="1" x14ac:dyDescent="0.25">
      <c r="A12" s="17"/>
      <c r="B12" s="18"/>
      <c r="C12" s="18"/>
      <c r="D12" s="18"/>
    </row>
    <row r="13" spans="1:4" s="16" customFormat="1" x14ac:dyDescent="0.25">
      <c r="A13" s="15" t="s">
        <v>312</v>
      </c>
      <c r="B13" s="18"/>
      <c r="C13" s="18"/>
      <c r="D13" s="18"/>
    </row>
    <row r="14" spans="1:4" s="16" customFormat="1" x14ac:dyDescent="0.25">
      <c r="A14" s="17" t="s">
        <v>830</v>
      </c>
      <c r="B14" s="18"/>
      <c r="C14" s="18"/>
      <c r="D14" s="18"/>
    </row>
    <row r="15" spans="1:4" s="16" customFormat="1" x14ac:dyDescent="0.25">
      <c r="A15" s="17"/>
      <c r="B15" s="18"/>
      <c r="C15" s="18"/>
      <c r="D15" s="18"/>
    </row>
    <row r="16" spans="1:4" s="16" customFormat="1" x14ac:dyDescent="0.25">
      <c r="A16" s="15" t="s">
        <v>854</v>
      </c>
      <c r="B16" s="18"/>
      <c r="C16" s="18"/>
      <c r="D16" s="18"/>
    </row>
    <row r="17" spans="1:4" s="16" customFormat="1" x14ac:dyDescent="0.25">
      <c r="A17" s="17" t="s">
        <v>855</v>
      </c>
      <c r="B17" s="18"/>
      <c r="C17" s="18"/>
      <c r="D17" s="18"/>
    </row>
    <row r="18" spans="1:4" s="16" customFormat="1" x14ac:dyDescent="0.25">
      <c r="A18" s="17"/>
      <c r="B18" s="18"/>
      <c r="C18" s="18"/>
      <c r="D18" s="18"/>
    </row>
    <row r="19" spans="1:4" x14ac:dyDescent="0.25">
      <c r="A19" s="15" t="s">
        <v>316</v>
      </c>
      <c r="C19" s="100" t="str" cm="1">
        <f t="array" ref="C19">LOOKUP(2,1/(Revision&lt;&gt;""),Revision)</f>
        <v>2.2</v>
      </c>
    </row>
    <row r="21" spans="1:4" s="112" customFormat="1" x14ac:dyDescent="0.25">
      <c r="B21" s="162" t="s">
        <v>313</v>
      </c>
      <c r="C21" s="162" t="s">
        <v>314</v>
      </c>
      <c r="D21" s="162" t="s">
        <v>315</v>
      </c>
    </row>
    <row r="22" spans="1:4" s="163" customFormat="1" x14ac:dyDescent="0.25">
      <c r="B22" s="164">
        <v>1.5</v>
      </c>
      <c r="C22" s="358">
        <v>43221</v>
      </c>
      <c r="D22" s="165" t="s">
        <v>709</v>
      </c>
    </row>
    <row r="23" spans="1:4" s="163" customFormat="1" x14ac:dyDescent="0.25">
      <c r="B23" s="164">
        <v>1.6</v>
      </c>
      <c r="C23" s="358">
        <v>43559</v>
      </c>
      <c r="D23" s="165" t="s">
        <v>792</v>
      </c>
    </row>
    <row r="24" spans="1:4" s="163" customFormat="1" ht="76.5" x14ac:dyDescent="0.25">
      <c r="B24" s="164">
        <v>1.7</v>
      </c>
      <c r="C24" s="358">
        <v>43587</v>
      </c>
      <c r="D24" s="165" t="s">
        <v>853</v>
      </c>
    </row>
    <row r="25" spans="1:4" s="13" customFormat="1" x14ac:dyDescent="0.25">
      <c r="B25" s="127">
        <v>1.8</v>
      </c>
      <c r="C25" s="358">
        <v>43648</v>
      </c>
      <c r="D25" s="165" t="s">
        <v>862</v>
      </c>
    </row>
    <row r="26" spans="1:4" s="163" customFormat="1" x14ac:dyDescent="0.25">
      <c r="B26" s="127">
        <v>1.81</v>
      </c>
      <c r="C26" s="358">
        <v>43696</v>
      </c>
      <c r="D26" s="165" t="s">
        <v>869</v>
      </c>
    </row>
    <row r="27" spans="1:4" s="163" customFormat="1" ht="25.5" x14ac:dyDescent="0.25">
      <c r="B27" s="127">
        <v>1.82</v>
      </c>
      <c r="C27" s="358">
        <v>43696</v>
      </c>
      <c r="D27" s="165" t="s">
        <v>871</v>
      </c>
    </row>
    <row r="28" spans="1:4" s="163" customFormat="1" ht="25.5" x14ac:dyDescent="0.25">
      <c r="B28" s="127">
        <v>1.83</v>
      </c>
      <c r="C28" s="358">
        <v>43749</v>
      </c>
      <c r="D28" s="165" t="s">
        <v>872</v>
      </c>
    </row>
    <row r="29" spans="1:4" s="163" customFormat="1" x14ac:dyDescent="0.25">
      <c r="B29" s="164" t="s">
        <v>873</v>
      </c>
      <c r="C29" s="358">
        <v>44549</v>
      </c>
      <c r="D29" s="165" t="s">
        <v>874</v>
      </c>
    </row>
    <row r="30" spans="1:4" s="163" customFormat="1" x14ac:dyDescent="0.25">
      <c r="B30" s="164">
        <v>2.1</v>
      </c>
      <c r="C30" s="358">
        <v>44294</v>
      </c>
      <c r="D30" s="314" t="s">
        <v>949</v>
      </c>
    </row>
    <row r="31" spans="1:4" s="163" customFormat="1" x14ac:dyDescent="0.25">
      <c r="B31" s="164" t="s">
        <v>950</v>
      </c>
      <c r="C31" s="358">
        <v>44439</v>
      </c>
      <c r="D31" s="314" t="s">
        <v>951</v>
      </c>
    </row>
    <row r="33" spans="1:3" x14ac:dyDescent="0.25">
      <c r="A33" s="15" t="s">
        <v>540</v>
      </c>
    </row>
    <row r="34" spans="1:3" x14ac:dyDescent="0.25">
      <c r="B34" s="97" t="s">
        <v>702</v>
      </c>
    </row>
    <row r="35" spans="1:3" x14ac:dyDescent="0.25">
      <c r="B35" s="97" t="s">
        <v>703</v>
      </c>
    </row>
    <row r="36" spans="1:3" x14ac:dyDescent="0.25">
      <c r="B36" s="97" t="s">
        <v>542</v>
      </c>
    </row>
    <row r="37" spans="1:3" x14ac:dyDescent="0.25">
      <c r="B37" s="97" t="s">
        <v>538</v>
      </c>
    </row>
    <row r="38" spans="1:3" x14ac:dyDescent="0.25">
      <c r="B38" s="97" t="s">
        <v>541</v>
      </c>
      <c r="C38" s="97"/>
    </row>
    <row r="39" spans="1:3" x14ac:dyDescent="0.25">
      <c r="B39" s="97" t="s">
        <v>567</v>
      </c>
    </row>
    <row r="40" spans="1:3" x14ac:dyDescent="0.25">
      <c r="B40" s="97" t="s">
        <v>566</v>
      </c>
    </row>
    <row r="41" spans="1:3" x14ac:dyDescent="0.25">
      <c r="B41" s="97" t="s">
        <v>539</v>
      </c>
    </row>
    <row r="42" spans="1:3" x14ac:dyDescent="0.25">
      <c r="B42" s="97"/>
    </row>
  </sheetData>
  <sheetProtection algorithmName="SHA-512" hashValue="PUtMOK8V5nObEP6tES4gxxMicqBtH2EI6JaZY6VetTNVJ6mVTyoITkzMuDFyGxVtADy1AeXeUYqNPY+MyGUYWQ==" saltValue="SXCVCve1FVM0DLu7aoXVBA==" spinCount="100000" sheet="1" objects="1" scenarios="1"/>
  <autoFilter ref="B21:D31" xr:uid="{87971625-A02E-415B-B935-A380954A28DD}"/>
  <pageMargins left="0.7" right="0.7" top="0.75" bottom="0.75" header="0.3" footer="0.3"/>
  <pageSetup paperSize="9" orientation="portrait"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FDA3D-D636-4F89-8988-014EBD89D336}">
  <sheetPr codeName="Sheet10"/>
  <dimension ref="A2:T400"/>
  <sheetViews>
    <sheetView view="pageBreakPreview" zoomScale="145" zoomScaleNormal="115" zoomScaleSheetLayoutView="145" workbookViewId="0">
      <pane ySplit="3" topLeftCell="A4" activePane="bottomLeft" state="frozen"/>
      <selection activeCell="G11" sqref="G11"/>
      <selection pane="bottomLeft" activeCell="N13" sqref="N13"/>
    </sheetView>
  </sheetViews>
  <sheetFormatPr defaultColWidth="9.140625" defaultRowHeight="15" x14ac:dyDescent="0.25"/>
  <cols>
    <col min="1" max="10" width="7.85546875" style="34" customWidth="1"/>
    <col min="11" max="11" width="7.85546875" style="33" customWidth="1"/>
    <col min="12" max="12" width="7.85546875" style="34" customWidth="1"/>
    <col min="13" max="13" width="5.7109375" style="34" customWidth="1"/>
    <col min="14" max="14" width="47.28515625" style="34" bestFit="1" customWidth="1"/>
    <col min="15" max="16" width="9.140625" style="34"/>
    <col min="17" max="16384" width="9.140625" style="1"/>
  </cols>
  <sheetData>
    <row r="2" spans="1:16" x14ac:dyDescent="0.25">
      <c r="J2" s="123" t="s">
        <v>564</v>
      </c>
      <c r="K2" s="34" t="str">
        <f>"R_" &amp; N5 &amp; "_Rev_" &amp; LEFT(OTP_conf_file_generation!G13,1)</f>
        <v>R_PC33FS8530A0ES_Rev_A</v>
      </c>
    </row>
    <row r="5" spans="1:16" ht="30" x14ac:dyDescent="0.25">
      <c r="K5" s="131"/>
      <c r="L5" s="125"/>
      <c r="N5" s="34" t="str">
        <f>OTP_conf_file_generation!G4</f>
        <v>PC33FS8530A0ES</v>
      </c>
    </row>
    <row r="6" spans="1:16" ht="18" x14ac:dyDescent="0.25">
      <c r="K6" s="132"/>
      <c r="L6" s="126"/>
      <c r="N6" s="34" t="str">
        <f>"Configuration report for " &amp; OTP_conf_file_generation!G3 &amp; " OTP program ID: " &amp; LEFT(UPPER(OTP_conf_file_generation!G12),2) &amp; " rev " &amp; LEFT(OTP_conf_file_generation!G13,1)</f>
        <v>Configuration report for FS8530 OTP program ID: A0 rev A</v>
      </c>
    </row>
    <row r="7" spans="1:16" x14ac:dyDescent="0.25">
      <c r="A7" s="116"/>
      <c r="B7" s="116"/>
      <c r="C7" s="116"/>
      <c r="D7" s="116"/>
      <c r="E7" s="116"/>
      <c r="F7" s="116"/>
      <c r="G7" s="116"/>
      <c r="H7" s="116"/>
      <c r="I7" s="116"/>
      <c r="J7" s="116"/>
      <c r="K7" s="116"/>
      <c r="N7" s="139"/>
    </row>
    <row r="8" spans="1:16" x14ac:dyDescent="0.25">
      <c r="A8" s="133"/>
      <c r="B8" s="133"/>
      <c r="C8" s="133"/>
      <c r="D8" s="133"/>
      <c r="E8" s="133"/>
      <c r="F8" s="133"/>
      <c r="G8" s="133"/>
      <c r="H8" s="136"/>
      <c r="I8" s="134"/>
      <c r="J8" s="133"/>
      <c r="N8" s="34" t="str">
        <f>"Rev "&amp;Cover_sheet!C19&amp;" — "</f>
        <v xml:space="preserve">Rev 2.2 — </v>
      </c>
    </row>
    <row r="9" spans="1:16" x14ac:dyDescent="0.25">
      <c r="K9" s="386"/>
      <c r="L9" s="386"/>
      <c r="N9" s="374">
        <f ca="1">TODAY()</f>
        <v>44505</v>
      </c>
    </row>
    <row r="10" spans="1:16" x14ac:dyDescent="0.25">
      <c r="K10" s="130"/>
      <c r="L10" s="130"/>
    </row>
    <row r="11" spans="1:16" ht="15" customHeight="1" x14ac:dyDescent="0.25">
      <c r="A11" s="124"/>
      <c r="B11" s="124"/>
      <c r="C11" s="124"/>
      <c r="D11" s="124"/>
      <c r="E11" s="124"/>
      <c r="F11" s="124"/>
      <c r="G11" s="124"/>
      <c r="H11" s="124"/>
      <c r="I11" s="124"/>
      <c r="J11" s="124"/>
    </row>
    <row r="12" spans="1:16" s="113" customFormat="1" ht="18" x14ac:dyDescent="0.25">
      <c r="A12" s="135" t="s">
        <v>581</v>
      </c>
      <c r="B12" s="135"/>
      <c r="C12" s="135"/>
      <c r="D12" s="135"/>
      <c r="E12" s="135"/>
      <c r="F12" s="135"/>
      <c r="G12" s="135"/>
      <c r="H12" s="135"/>
      <c r="I12" s="135"/>
      <c r="J12" s="135"/>
      <c r="K12" s="150"/>
      <c r="L12" s="150"/>
      <c r="M12" s="38"/>
      <c r="N12" s="38"/>
      <c r="O12" s="38"/>
      <c r="P12" s="38"/>
    </row>
    <row r="13" spans="1:16" ht="194.25" customHeight="1" x14ac:dyDescent="0.25">
      <c r="A13" s="117"/>
      <c r="B13" s="117"/>
      <c r="C13" s="117"/>
      <c r="D13" s="117"/>
      <c r="E13" s="117"/>
      <c r="F13" s="117"/>
      <c r="G13" s="117"/>
      <c r="H13" s="117"/>
      <c r="I13" s="117"/>
      <c r="J13" s="117"/>
      <c r="K13" s="387"/>
      <c r="L13" s="387"/>
    </row>
    <row r="14" spans="1:16" ht="15" customHeight="1" x14ac:dyDescent="0.25">
      <c r="A14" s="118"/>
      <c r="B14" s="118"/>
      <c r="C14" s="118"/>
      <c r="D14" s="118"/>
      <c r="E14" s="118"/>
      <c r="F14" s="118"/>
      <c r="G14" s="118"/>
      <c r="H14" s="118"/>
      <c r="I14" s="118"/>
      <c r="J14" s="118"/>
      <c r="K14" s="156"/>
      <c r="L14" s="156"/>
    </row>
    <row r="15" spans="1:16" s="151" customFormat="1" ht="18" x14ac:dyDescent="0.25">
      <c r="A15" s="135" t="s">
        <v>582</v>
      </c>
      <c r="B15" s="135"/>
      <c r="C15" s="135"/>
      <c r="D15" s="135"/>
      <c r="E15" s="135"/>
      <c r="F15" s="135"/>
      <c r="G15" s="135"/>
      <c r="H15" s="135"/>
      <c r="I15" s="135"/>
      <c r="J15" s="135"/>
      <c r="K15" s="148"/>
      <c r="L15" s="149"/>
      <c r="M15" s="149"/>
      <c r="N15" s="149"/>
      <c r="O15" s="149"/>
      <c r="P15" s="149"/>
    </row>
    <row r="16" spans="1:16" ht="294" customHeight="1" x14ac:dyDescent="0.25">
      <c r="A16" s="118"/>
      <c r="B16" s="118"/>
      <c r="C16" s="118"/>
      <c r="D16" s="118"/>
      <c r="E16" s="118"/>
      <c r="F16" s="118"/>
      <c r="G16" s="118"/>
      <c r="H16" s="118"/>
      <c r="I16" s="118"/>
      <c r="J16" s="118"/>
      <c r="K16" s="388"/>
      <c r="L16" s="388"/>
    </row>
    <row r="17" spans="1:16" ht="15" customHeight="1" x14ac:dyDescent="0.25">
      <c r="A17" s="118"/>
      <c r="B17" s="118"/>
      <c r="C17" s="118"/>
      <c r="D17" s="118"/>
      <c r="E17" s="118"/>
      <c r="F17" s="118"/>
      <c r="G17" s="118"/>
      <c r="H17" s="118"/>
      <c r="I17" s="118"/>
      <c r="J17" s="118"/>
      <c r="K17" s="146"/>
      <c r="L17" s="146"/>
    </row>
    <row r="18" spans="1:16" ht="15" customHeight="1" x14ac:dyDescent="0.25">
      <c r="A18" s="118"/>
      <c r="B18" s="118"/>
      <c r="C18" s="118"/>
      <c r="D18" s="118"/>
      <c r="E18" s="118"/>
      <c r="F18" s="118"/>
      <c r="G18" s="118"/>
      <c r="H18" s="118"/>
      <c r="I18" s="118"/>
      <c r="J18" s="118"/>
      <c r="K18" s="146"/>
      <c r="L18" s="146"/>
    </row>
    <row r="19" spans="1:16" ht="15" customHeight="1" x14ac:dyDescent="0.25">
      <c r="A19" s="118"/>
      <c r="B19" s="118"/>
      <c r="C19" s="118"/>
      <c r="D19" s="118"/>
      <c r="E19" s="118"/>
      <c r="F19" s="118"/>
      <c r="G19" s="118"/>
      <c r="H19" s="118"/>
      <c r="I19" s="118"/>
      <c r="J19" s="118"/>
      <c r="K19" s="146"/>
      <c r="L19" s="146"/>
    </row>
    <row r="20" spans="1:16" ht="15" customHeight="1" x14ac:dyDescent="0.25">
      <c r="A20" s="118"/>
      <c r="B20" s="118"/>
      <c r="C20" s="118"/>
      <c r="D20" s="118"/>
      <c r="E20" s="118"/>
      <c r="F20" s="118"/>
      <c r="G20" s="118"/>
      <c r="H20" s="118"/>
      <c r="I20" s="118"/>
      <c r="J20" s="118"/>
      <c r="K20" s="129"/>
      <c r="L20" s="129"/>
    </row>
    <row r="21" spans="1:16" ht="15" customHeight="1" x14ac:dyDescent="0.25">
      <c r="A21" s="118"/>
      <c r="B21" s="118"/>
      <c r="C21" s="118"/>
      <c r="D21" s="118"/>
      <c r="E21" s="118"/>
      <c r="F21" s="118"/>
      <c r="G21" s="118"/>
      <c r="H21" s="118"/>
      <c r="I21" s="118"/>
      <c r="J21" s="118"/>
      <c r="K21" s="129"/>
      <c r="L21" s="129"/>
    </row>
    <row r="22" spans="1:16" ht="15" customHeight="1" x14ac:dyDescent="0.25">
      <c r="A22" s="118"/>
      <c r="B22" s="118"/>
      <c r="C22" s="118"/>
      <c r="D22" s="118"/>
      <c r="E22" s="118"/>
      <c r="F22" s="118"/>
      <c r="G22" s="118"/>
      <c r="H22" s="118"/>
      <c r="I22" s="118"/>
      <c r="J22" s="118"/>
      <c r="K22" s="129"/>
      <c r="L22" s="129"/>
    </row>
    <row r="23" spans="1:16" ht="15" customHeight="1" x14ac:dyDescent="0.25">
      <c r="A23" s="118"/>
      <c r="B23" s="118"/>
      <c r="C23" s="118"/>
      <c r="D23" s="118"/>
      <c r="E23" s="118"/>
      <c r="F23" s="118"/>
      <c r="G23" s="118"/>
      <c r="H23" s="118"/>
      <c r="I23" s="118"/>
      <c r="J23" s="118"/>
      <c r="K23" s="129"/>
      <c r="L23" s="129"/>
    </row>
    <row r="24" spans="1:16" ht="15" customHeight="1" x14ac:dyDescent="0.25">
      <c r="A24" s="118"/>
      <c r="B24" s="118"/>
      <c r="C24" s="118"/>
      <c r="D24" s="118"/>
      <c r="E24" s="118"/>
      <c r="F24" s="118"/>
      <c r="G24" s="118"/>
      <c r="H24" s="118"/>
      <c r="I24" s="118"/>
      <c r="J24" s="118"/>
      <c r="K24" s="129"/>
      <c r="L24" s="129"/>
    </row>
    <row r="25" spans="1:16" s="113" customFormat="1" ht="18" x14ac:dyDescent="0.25">
      <c r="A25" s="135" t="s">
        <v>583</v>
      </c>
      <c r="B25" s="135"/>
      <c r="C25" s="135"/>
      <c r="D25" s="135"/>
      <c r="E25" s="135"/>
      <c r="F25" s="135"/>
      <c r="G25" s="135"/>
      <c r="H25" s="135"/>
      <c r="I25" s="135"/>
      <c r="J25" s="135"/>
      <c r="K25" s="148"/>
      <c r="L25" s="149"/>
      <c r="M25" s="38"/>
      <c r="N25" s="38"/>
      <c r="O25" s="38"/>
      <c r="P25" s="38"/>
    </row>
    <row r="26" spans="1:16" ht="72.75" customHeight="1" x14ac:dyDescent="0.25">
      <c r="A26" s="118"/>
      <c r="B26" s="118"/>
      <c r="C26" s="118"/>
      <c r="D26" s="118"/>
      <c r="E26" s="118"/>
      <c r="F26" s="118"/>
      <c r="G26" s="118"/>
      <c r="H26" s="118"/>
      <c r="I26" s="118"/>
      <c r="J26" s="118"/>
      <c r="K26" s="129"/>
      <c r="L26" s="129"/>
    </row>
    <row r="27" spans="1:16" ht="15" customHeight="1" x14ac:dyDescent="0.25">
      <c r="A27" s="118"/>
      <c r="B27" s="118"/>
      <c r="C27" s="118"/>
      <c r="D27" s="118"/>
      <c r="E27" s="118"/>
      <c r="F27" s="118"/>
      <c r="G27" s="118"/>
      <c r="H27" s="118"/>
      <c r="I27" s="118"/>
      <c r="J27" s="118"/>
      <c r="K27" s="129"/>
      <c r="L27" s="129"/>
    </row>
    <row r="28" spans="1:16" s="113" customFormat="1" ht="18" x14ac:dyDescent="0.25">
      <c r="A28" s="135" t="s">
        <v>584</v>
      </c>
      <c r="B28" s="135"/>
      <c r="C28" s="135"/>
      <c r="D28" s="135"/>
      <c r="E28" s="135"/>
      <c r="F28" s="135"/>
      <c r="G28" s="135"/>
      <c r="H28" s="135"/>
      <c r="I28" s="135"/>
      <c r="J28" s="135"/>
      <c r="K28" s="148"/>
      <c r="L28" s="149"/>
      <c r="M28" s="38"/>
      <c r="N28" s="38"/>
      <c r="O28" s="38"/>
      <c r="P28" s="38"/>
    </row>
    <row r="29" spans="1:16" ht="18" x14ac:dyDescent="0.25">
      <c r="A29" s="135"/>
      <c r="B29" s="140" t="s">
        <v>577</v>
      </c>
      <c r="C29" s="135"/>
      <c r="D29" s="135"/>
      <c r="E29" s="135"/>
      <c r="F29" s="135"/>
      <c r="G29" s="135"/>
      <c r="H29" s="135"/>
      <c r="I29" s="135"/>
      <c r="J29" s="135"/>
      <c r="K29" s="128"/>
      <c r="L29" s="38"/>
    </row>
    <row r="30" spans="1:16" x14ac:dyDescent="0.25">
      <c r="A30" s="114"/>
      <c r="B30" s="390" t="s">
        <v>569</v>
      </c>
      <c r="C30" s="390"/>
      <c r="D30" s="391" t="s">
        <v>570</v>
      </c>
      <c r="E30" s="391"/>
      <c r="F30" s="391"/>
      <c r="G30" s="391"/>
      <c r="H30" s="391"/>
      <c r="I30" s="391"/>
      <c r="J30" s="391"/>
      <c r="K30" s="391"/>
      <c r="L30" s="1"/>
      <c r="N30" s="34" t="str">
        <f>OTP_conf_file_generation!G4</f>
        <v>PC33FS8530A0ES</v>
      </c>
    </row>
    <row r="31" spans="1:16" x14ac:dyDescent="0.25">
      <c r="A31" s="115"/>
      <c r="B31" s="390"/>
      <c r="C31" s="390"/>
      <c r="D31" s="391" t="s">
        <v>571</v>
      </c>
      <c r="E31" s="391"/>
      <c r="F31" s="391" t="s">
        <v>572</v>
      </c>
      <c r="G31" s="391"/>
      <c r="H31" s="391"/>
      <c r="I31" s="391"/>
      <c r="J31" s="391" t="s">
        <v>573</v>
      </c>
      <c r="K31" s="391"/>
      <c r="L31" s="1"/>
      <c r="N31" s="34">
        <f>OTP_conf_file_generation!G5</f>
        <v>0</v>
      </c>
    </row>
    <row r="32" spans="1:16" ht="48.75" customHeight="1" x14ac:dyDescent="0.25">
      <c r="A32" s="115"/>
      <c r="B32" s="389" t="str">
        <f>OTP_conf_file_generation!G4</f>
        <v>PC33FS8530A0ES</v>
      </c>
      <c r="C32" s="389"/>
      <c r="D32" s="392" t="s">
        <v>574</v>
      </c>
      <c r="E32" s="392"/>
      <c r="F32" s="393" t="s">
        <v>575</v>
      </c>
      <c r="G32" s="393"/>
      <c r="H32" s="393"/>
      <c r="I32" s="393"/>
      <c r="J32" s="392" t="s">
        <v>829</v>
      </c>
      <c r="K32" s="392"/>
      <c r="L32" s="1"/>
    </row>
    <row r="33" spans="1:16" x14ac:dyDescent="0.25">
      <c r="A33" s="115"/>
      <c r="B33" s="137" t="s">
        <v>576</v>
      </c>
      <c r="C33" s="138"/>
      <c r="D33" s="138"/>
      <c r="E33" s="138"/>
      <c r="F33" s="138"/>
      <c r="G33" s="115"/>
      <c r="H33" s="1"/>
      <c r="I33" s="1"/>
      <c r="J33" s="1"/>
      <c r="K33" s="1"/>
      <c r="L33" s="1"/>
    </row>
    <row r="34" spans="1:16" x14ac:dyDescent="0.25">
      <c r="A34" s="115"/>
      <c r="B34" s="158"/>
      <c r="C34" s="159"/>
      <c r="D34" s="159"/>
      <c r="E34" s="159"/>
      <c r="F34" s="159"/>
      <c r="G34" s="115"/>
      <c r="H34" s="1"/>
      <c r="I34" s="1"/>
      <c r="J34" s="1"/>
      <c r="K34" s="1"/>
      <c r="L34" s="1"/>
    </row>
    <row r="35" spans="1:16" x14ac:dyDescent="0.25">
      <c r="A35" s="115"/>
      <c r="B35" s="115"/>
      <c r="C35" s="115"/>
      <c r="D35" s="115"/>
      <c r="E35" s="115"/>
      <c r="F35" s="115"/>
      <c r="G35" s="115"/>
      <c r="H35" s="115"/>
      <c r="I35" s="115"/>
      <c r="J35" s="115"/>
      <c r="K35" s="119"/>
    </row>
    <row r="36" spans="1:16" s="113" customFormat="1" ht="18" x14ac:dyDescent="0.25">
      <c r="A36" s="135" t="s">
        <v>585</v>
      </c>
      <c r="B36" s="135"/>
      <c r="C36" s="135"/>
      <c r="D36" s="135"/>
      <c r="E36" s="135"/>
      <c r="F36" s="135"/>
      <c r="G36" s="135"/>
      <c r="H36" s="135"/>
      <c r="I36" s="135"/>
      <c r="J36" s="135"/>
      <c r="K36" s="148"/>
      <c r="L36" s="149"/>
      <c r="M36" s="38"/>
      <c r="N36" s="38"/>
      <c r="O36" s="38"/>
      <c r="P36" s="38"/>
    </row>
    <row r="37" spans="1:16" x14ac:dyDescent="0.25">
      <c r="A37" s="115"/>
      <c r="B37" s="115"/>
      <c r="C37" s="115"/>
      <c r="D37" s="115"/>
      <c r="E37" s="115"/>
      <c r="F37" s="115"/>
      <c r="G37" s="115"/>
      <c r="H37" s="115"/>
      <c r="I37" s="115"/>
      <c r="J37" s="115"/>
      <c r="K37" s="119"/>
    </row>
    <row r="38" spans="1:16" x14ac:dyDescent="0.25">
      <c r="A38" s="115"/>
      <c r="B38" s="115"/>
      <c r="C38" s="115"/>
      <c r="D38" s="115"/>
      <c r="E38" s="115"/>
      <c r="F38" s="115"/>
      <c r="G38" s="115"/>
      <c r="H38" s="115"/>
      <c r="I38" s="115"/>
      <c r="J38" s="115"/>
      <c r="K38" s="119"/>
    </row>
    <row r="39" spans="1:16" x14ac:dyDescent="0.25">
      <c r="A39" s="115"/>
      <c r="B39" s="115"/>
      <c r="C39" s="115"/>
      <c r="D39" s="115"/>
      <c r="E39" s="115"/>
      <c r="F39" s="115"/>
      <c r="G39" s="115"/>
      <c r="H39" s="115"/>
      <c r="I39" s="115"/>
      <c r="J39" s="115"/>
      <c r="K39" s="119"/>
    </row>
    <row r="40" spans="1:16" x14ac:dyDescent="0.25">
      <c r="A40" s="115"/>
      <c r="B40" s="115"/>
      <c r="C40" s="115"/>
      <c r="D40" s="115"/>
      <c r="E40" s="115"/>
      <c r="F40" s="115"/>
      <c r="G40" s="115"/>
      <c r="H40" s="115"/>
      <c r="I40" s="115"/>
      <c r="J40" s="115"/>
      <c r="K40" s="119"/>
    </row>
    <row r="41" spans="1:16" x14ac:dyDescent="0.25">
      <c r="A41" s="115"/>
      <c r="B41" s="115"/>
      <c r="C41" s="115"/>
      <c r="D41" s="115"/>
      <c r="E41" s="115"/>
      <c r="F41" s="115"/>
      <c r="G41" s="115"/>
      <c r="H41" s="115"/>
      <c r="I41" s="115"/>
      <c r="J41" s="115"/>
      <c r="K41" s="119"/>
    </row>
    <row r="42" spans="1:16" x14ac:dyDescent="0.25">
      <c r="A42" s="115"/>
      <c r="B42" s="115"/>
      <c r="C42" s="115"/>
      <c r="D42" s="115"/>
      <c r="E42" s="115"/>
      <c r="F42" s="115"/>
      <c r="G42" s="115"/>
      <c r="H42" s="115"/>
      <c r="I42" s="115"/>
      <c r="J42" s="115"/>
      <c r="K42" s="119"/>
    </row>
    <row r="43" spans="1:16" x14ac:dyDescent="0.25">
      <c r="A43" s="115"/>
      <c r="B43" s="115"/>
      <c r="C43" s="115"/>
      <c r="D43" s="115"/>
      <c r="E43" s="115"/>
      <c r="F43" s="115"/>
      <c r="G43" s="115"/>
      <c r="H43" s="115"/>
      <c r="I43" s="115"/>
      <c r="J43" s="115"/>
      <c r="K43" s="119"/>
    </row>
    <row r="44" spans="1:16" x14ac:dyDescent="0.25">
      <c r="A44" s="115"/>
      <c r="B44" s="115"/>
      <c r="C44" s="115"/>
      <c r="D44" s="115"/>
      <c r="E44" s="115"/>
      <c r="F44" s="115"/>
      <c r="G44" s="115"/>
      <c r="H44" s="115"/>
      <c r="I44" s="115"/>
      <c r="J44" s="115"/>
      <c r="K44" s="119"/>
    </row>
    <row r="45" spans="1:16" x14ac:dyDescent="0.25">
      <c r="A45" s="115"/>
      <c r="B45" s="115"/>
      <c r="C45" s="115"/>
      <c r="D45" s="115"/>
      <c r="E45" s="115"/>
      <c r="F45" s="115"/>
      <c r="G45" s="115"/>
      <c r="H45" s="115"/>
      <c r="I45" s="115"/>
      <c r="J45" s="115"/>
      <c r="K45" s="119"/>
    </row>
    <row r="46" spans="1:16" x14ac:dyDescent="0.25">
      <c r="A46" s="115"/>
      <c r="B46" s="115"/>
      <c r="C46" s="115"/>
      <c r="D46" s="115"/>
      <c r="E46" s="115"/>
      <c r="F46" s="115"/>
      <c r="G46" s="115"/>
      <c r="H46" s="115"/>
      <c r="I46" s="115"/>
      <c r="J46" s="115"/>
      <c r="K46" s="119"/>
    </row>
    <row r="47" spans="1:16" x14ac:dyDescent="0.25">
      <c r="A47" s="115"/>
      <c r="B47" s="115"/>
      <c r="C47" s="115"/>
      <c r="D47" s="115"/>
      <c r="E47" s="115"/>
      <c r="F47" s="115"/>
      <c r="G47" s="115"/>
      <c r="H47" s="115"/>
      <c r="I47" s="115"/>
      <c r="J47" s="115"/>
      <c r="K47" s="119"/>
    </row>
    <row r="48" spans="1:16" x14ac:dyDescent="0.25">
      <c r="A48" s="115"/>
      <c r="B48" s="115"/>
      <c r="C48" s="115"/>
      <c r="D48" s="115"/>
      <c r="E48" s="115"/>
      <c r="F48" s="115"/>
      <c r="G48" s="115"/>
      <c r="H48" s="115"/>
      <c r="I48" s="115"/>
      <c r="J48" s="115"/>
      <c r="K48" s="119"/>
    </row>
    <row r="49" spans="1:14" x14ac:dyDescent="0.25">
      <c r="A49" s="115"/>
      <c r="B49" s="115"/>
      <c r="C49" s="115"/>
      <c r="D49" s="115"/>
      <c r="E49" s="115"/>
      <c r="F49" s="115"/>
      <c r="G49" s="115"/>
      <c r="H49" s="115"/>
      <c r="I49" s="115"/>
      <c r="J49" s="115"/>
      <c r="K49" s="119"/>
    </row>
    <row r="50" spans="1:14" x14ac:dyDescent="0.25">
      <c r="A50" s="115"/>
      <c r="B50" s="115"/>
      <c r="C50" s="115"/>
      <c r="D50" s="115"/>
      <c r="E50" s="115"/>
      <c r="F50" s="115"/>
      <c r="G50" s="115"/>
      <c r="H50" s="115"/>
      <c r="I50" s="115"/>
      <c r="J50" s="115"/>
      <c r="K50" s="119"/>
    </row>
    <row r="51" spans="1:14" x14ac:dyDescent="0.25">
      <c r="A51" s="115"/>
      <c r="B51" s="115"/>
      <c r="C51" s="115"/>
      <c r="D51" s="115"/>
      <c r="E51" s="115"/>
      <c r="F51" s="115"/>
      <c r="G51" s="115"/>
      <c r="H51" s="115"/>
      <c r="I51" s="115"/>
      <c r="J51" s="115"/>
      <c r="K51" s="119"/>
    </row>
    <row r="52" spans="1:14" x14ac:dyDescent="0.25">
      <c r="A52" s="115"/>
      <c r="B52" s="115"/>
      <c r="C52" s="115"/>
      <c r="D52" s="115"/>
      <c r="E52" s="115"/>
      <c r="F52" s="115"/>
      <c r="G52" s="115"/>
      <c r="H52" s="115"/>
      <c r="I52" s="115"/>
      <c r="J52" s="115"/>
      <c r="K52" s="119"/>
    </row>
    <row r="53" spans="1:14" x14ac:dyDescent="0.25">
      <c r="A53" s="115"/>
      <c r="B53" s="115"/>
      <c r="C53" s="115"/>
      <c r="D53" s="115"/>
      <c r="E53" s="115"/>
      <c r="F53" s="115"/>
      <c r="G53" s="115"/>
      <c r="H53" s="115"/>
      <c r="I53" s="115"/>
      <c r="J53" s="115"/>
      <c r="K53" s="119"/>
    </row>
    <row r="54" spans="1:14" x14ac:dyDescent="0.25">
      <c r="A54" s="115"/>
      <c r="B54" s="115"/>
      <c r="C54" s="115"/>
      <c r="D54" s="115"/>
      <c r="E54" s="115"/>
      <c r="F54" s="115"/>
      <c r="G54" s="115"/>
      <c r="H54" s="115"/>
      <c r="I54" s="115"/>
      <c r="J54" s="115"/>
      <c r="K54" s="119"/>
    </row>
    <row r="55" spans="1:14" x14ac:dyDescent="0.25">
      <c r="A55" s="115"/>
      <c r="B55" s="115"/>
      <c r="C55" s="115"/>
      <c r="D55" s="115"/>
      <c r="E55" s="115"/>
      <c r="F55" s="115"/>
      <c r="G55" s="115"/>
      <c r="H55" s="115"/>
      <c r="I55" s="115"/>
      <c r="J55" s="115"/>
      <c r="K55" s="119"/>
    </row>
    <row r="56" spans="1:14" x14ac:dyDescent="0.25">
      <c r="A56" s="115"/>
      <c r="B56" s="115"/>
      <c r="C56" s="115"/>
      <c r="D56" s="115"/>
      <c r="E56" s="115"/>
      <c r="F56" s="115"/>
      <c r="G56" s="115"/>
      <c r="H56" s="115"/>
      <c r="I56" s="115"/>
      <c r="J56" s="115"/>
      <c r="K56" s="119"/>
    </row>
    <row r="57" spans="1:14" x14ac:dyDescent="0.25">
      <c r="A57" s="115"/>
      <c r="B57" s="115"/>
      <c r="C57" s="115"/>
      <c r="D57" s="115"/>
      <c r="E57" s="115"/>
      <c r="F57" s="115"/>
      <c r="G57" s="115"/>
      <c r="H57" s="115"/>
      <c r="I57" s="115"/>
      <c r="J57" s="115"/>
      <c r="K57" s="119"/>
    </row>
    <row r="58" spans="1:14" x14ac:dyDescent="0.25">
      <c r="A58" s="115"/>
      <c r="B58" s="115"/>
      <c r="C58" s="115"/>
      <c r="D58" s="115"/>
      <c r="E58" s="115"/>
      <c r="F58" s="115"/>
      <c r="G58" s="115"/>
      <c r="H58" s="115"/>
      <c r="I58" s="115"/>
      <c r="J58" s="115"/>
      <c r="K58" s="119"/>
    </row>
    <row r="59" spans="1:14" x14ac:dyDescent="0.25">
      <c r="A59" s="115"/>
      <c r="B59" s="144" t="s">
        <v>685</v>
      </c>
      <c r="C59" s="115"/>
      <c r="D59" s="115"/>
      <c r="E59" s="115"/>
      <c r="F59" s="115"/>
      <c r="G59" s="115"/>
      <c r="H59" s="115"/>
      <c r="I59" s="115"/>
      <c r="J59" s="115"/>
      <c r="K59" s="119"/>
    </row>
    <row r="60" spans="1:14" x14ac:dyDescent="0.25">
      <c r="A60" s="115"/>
      <c r="B60" s="144"/>
      <c r="C60" s="115"/>
      <c r="D60" s="115"/>
      <c r="E60" s="115"/>
      <c r="F60" s="115"/>
      <c r="G60" s="115"/>
      <c r="H60" s="115"/>
      <c r="I60" s="115"/>
      <c r="J60" s="115"/>
      <c r="K60" s="119"/>
    </row>
    <row r="61" spans="1:14" x14ac:dyDescent="0.25">
      <c r="A61" s="115"/>
      <c r="B61" s="115"/>
      <c r="C61" s="115"/>
      <c r="D61" s="115"/>
      <c r="E61" s="115"/>
      <c r="F61" s="115"/>
      <c r="G61" s="115"/>
      <c r="H61" s="115"/>
      <c r="I61" s="115"/>
      <c r="J61" s="115"/>
      <c r="K61" s="119"/>
      <c r="N61" s="34" t="str">
        <f>"R_" &amp; OTP_conf_file_generation!G4</f>
        <v>R_PC33FS8530A0ES</v>
      </c>
    </row>
    <row r="62" spans="1:14" x14ac:dyDescent="0.25">
      <c r="A62" s="115"/>
      <c r="B62" s="115"/>
      <c r="C62" s="115"/>
      <c r="D62" s="115"/>
      <c r="E62" s="115"/>
      <c r="F62" s="115"/>
      <c r="G62" s="115"/>
      <c r="H62" s="115"/>
      <c r="I62" s="115"/>
      <c r="J62" s="115"/>
      <c r="K62" s="119"/>
    </row>
    <row r="63" spans="1:14" x14ac:dyDescent="0.25">
      <c r="A63" s="115"/>
      <c r="B63" s="115"/>
      <c r="C63" s="115"/>
      <c r="D63" s="115"/>
      <c r="E63" s="115"/>
      <c r="F63" s="115"/>
      <c r="G63" s="115"/>
      <c r="H63" s="115"/>
      <c r="I63" s="115"/>
      <c r="J63" s="115"/>
      <c r="K63" s="119"/>
    </row>
    <row r="64" spans="1:14" x14ac:dyDescent="0.25">
      <c r="A64" s="115"/>
      <c r="B64" s="115"/>
      <c r="C64" s="115"/>
      <c r="D64" s="115"/>
      <c r="E64" s="115"/>
      <c r="F64" s="115"/>
      <c r="G64" s="115"/>
      <c r="H64" s="115"/>
      <c r="I64" s="115"/>
      <c r="J64" s="115"/>
      <c r="K64" s="119"/>
    </row>
    <row r="65" spans="1:16" x14ac:dyDescent="0.25">
      <c r="A65" s="115"/>
      <c r="B65" s="115"/>
      <c r="C65" s="115"/>
      <c r="D65" s="115"/>
      <c r="E65" s="115"/>
      <c r="F65" s="115"/>
      <c r="G65" s="115"/>
      <c r="H65" s="115"/>
      <c r="I65" s="115"/>
      <c r="J65" s="115"/>
      <c r="K65" s="119"/>
    </row>
    <row r="66" spans="1:16" x14ac:dyDescent="0.25">
      <c r="A66" s="115"/>
      <c r="B66" s="115"/>
      <c r="C66" s="115"/>
      <c r="D66" s="115"/>
      <c r="E66" s="115"/>
      <c r="F66" s="115"/>
      <c r="G66" s="115"/>
      <c r="H66" s="115"/>
      <c r="I66" s="115"/>
      <c r="J66" s="115"/>
      <c r="K66" s="119"/>
    </row>
    <row r="67" spans="1:16" x14ac:dyDescent="0.25">
      <c r="A67" s="115"/>
      <c r="B67" s="115"/>
      <c r="C67" s="115"/>
      <c r="D67" s="115"/>
      <c r="E67" s="115"/>
      <c r="F67" s="115"/>
      <c r="G67" s="115"/>
      <c r="H67" s="115"/>
      <c r="I67" s="115"/>
      <c r="J67" s="115"/>
      <c r="K67" s="119"/>
    </row>
    <row r="68" spans="1:16" s="113" customFormat="1" ht="18" x14ac:dyDescent="0.25">
      <c r="A68" s="135" t="s">
        <v>586</v>
      </c>
      <c r="B68" s="135"/>
      <c r="C68" s="135"/>
      <c r="D68" s="135"/>
      <c r="E68" s="135"/>
      <c r="F68" s="135"/>
      <c r="G68" s="135"/>
      <c r="H68" s="135"/>
      <c r="I68" s="135"/>
      <c r="J68" s="135"/>
      <c r="K68" s="148"/>
      <c r="L68" s="149"/>
      <c r="M68" s="38"/>
      <c r="N68" s="38"/>
      <c r="O68" s="38"/>
      <c r="P68" s="38"/>
    </row>
    <row r="69" spans="1:16" x14ac:dyDescent="0.25">
      <c r="A69" s="115"/>
      <c r="B69" s="115"/>
      <c r="C69" s="115"/>
      <c r="D69" s="115"/>
      <c r="E69" s="115"/>
      <c r="F69" s="115"/>
      <c r="G69" s="115"/>
      <c r="H69" s="115"/>
      <c r="I69" s="115"/>
      <c r="J69" s="115"/>
      <c r="K69" s="119"/>
    </row>
    <row r="70" spans="1:16" x14ac:dyDescent="0.25">
      <c r="A70" s="115"/>
      <c r="B70" s="115"/>
      <c r="C70" s="115"/>
      <c r="D70" s="115"/>
      <c r="E70" s="115"/>
      <c r="F70" s="115"/>
      <c r="G70" s="115"/>
      <c r="H70" s="115"/>
      <c r="I70" s="115"/>
      <c r="J70" s="115"/>
      <c r="K70" s="119"/>
    </row>
    <row r="71" spans="1:16" x14ac:dyDescent="0.25">
      <c r="A71" s="115"/>
      <c r="B71" s="115"/>
      <c r="C71" s="115"/>
      <c r="D71" s="115"/>
      <c r="E71" s="115"/>
      <c r="F71" s="115"/>
      <c r="G71" s="115"/>
      <c r="H71" s="115"/>
      <c r="I71" s="115"/>
      <c r="J71" s="115"/>
      <c r="K71" s="119"/>
      <c r="N71" s="34" t="str">
        <f>IF(RIGHT(H136,1)=")","SPI",RIGHT(H136,1))</f>
        <v>2</v>
      </c>
    </row>
    <row r="72" spans="1:16" x14ac:dyDescent="0.25">
      <c r="A72" s="115"/>
      <c r="B72" s="115"/>
      <c r="C72" s="115"/>
      <c r="D72" s="115"/>
      <c r="E72" s="115"/>
      <c r="F72" s="115"/>
      <c r="G72" s="115"/>
      <c r="H72" s="115"/>
      <c r="I72" s="115"/>
      <c r="J72" s="115"/>
      <c r="K72" s="119"/>
      <c r="N72" s="34" t="str">
        <f>IF(RIGHT(H147,1)=")","SPI",RIGHT(H147,1))</f>
        <v>SPI</v>
      </c>
    </row>
    <row r="73" spans="1:16" x14ac:dyDescent="0.25">
      <c r="A73" s="115"/>
      <c r="B73" s="115"/>
      <c r="C73" s="115"/>
      <c r="D73" s="115"/>
      <c r="E73" s="115"/>
      <c r="F73" s="115"/>
      <c r="G73" s="115"/>
      <c r="H73" s="115"/>
      <c r="I73" s="115"/>
      <c r="J73" s="115"/>
      <c r="K73" s="119"/>
      <c r="N73" s="34" t="str">
        <f>IF(RIGHT(H176,1)=")","SPI",RIGHT(H176,1))</f>
        <v>2</v>
      </c>
    </row>
    <row r="74" spans="1:16" x14ac:dyDescent="0.25">
      <c r="A74" s="115"/>
      <c r="B74" s="115"/>
      <c r="C74" s="115"/>
      <c r="D74" s="115"/>
      <c r="E74" s="115"/>
      <c r="F74" s="115"/>
      <c r="G74" s="115"/>
      <c r="H74" s="115"/>
      <c r="I74" s="115"/>
      <c r="J74" s="115"/>
      <c r="K74" s="119"/>
      <c r="N74" s="38" t="str">
        <f>IF(RIGHT(H181,1)=")","SPI",RIGHT(H181,1))</f>
        <v>SPI</v>
      </c>
    </row>
    <row r="75" spans="1:16" x14ac:dyDescent="0.25">
      <c r="A75" s="115"/>
      <c r="B75" s="115"/>
      <c r="C75" s="115"/>
      <c r="D75" s="115"/>
      <c r="E75" s="115"/>
      <c r="F75" s="115"/>
      <c r="G75" s="115"/>
      <c r="H75" s="115"/>
      <c r="I75" s="115"/>
      <c r="J75" s="115"/>
      <c r="K75" s="119"/>
      <c r="N75" s="38" t="str">
        <f>IF(RIGHT(H185,1)=")","SPI",RIGHT(H185,1))</f>
        <v>SPI</v>
      </c>
    </row>
    <row r="76" spans="1:16" x14ac:dyDescent="0.25">
      <c r="A76" s="115"/>
      <c r="B76" s="115"/>
      <c r="C76" s="115"/>
      <c r="D76" s="115"/>
      <c r="E76" s="115"/>
      <c r="F76" s="115"/>
      <c r="G76" s="115"/>
      <c r="H76" s="115"/>
      <c r="I76" s="115"/>
      <c r="J76" s="115"/>
      <c r="K76" s="119"/>
    </row>
    <row r="77" spans="1:16" x14ac:dyDescent="0.25">
      <c r="A77" s="115"/>
      <c r="B77" s="115"/>
      <c r="C77" s="115"/>
      <c r="D77" s="115"/>
      <c r="E77" s="115"/>
      <c r="F77" s="115"/>
      <c r="G77" s="115"/>
      <c r="H77" s="115"/>
      <c r="I77" s="115"/>
      <c r="J77" s="115"/>
      <c r="K77" s="119"/>
    </row>
    <row r="78" spans="1:16" x14ac:dyDescent="0.25">
      <c r="A78" s="115"/>
      <c r="B78" s="115"/>
      <c r="C78" s="115"/>
      <c r="D78" s="115"/>
      <c r="E78" s="115"/>
      <c r="F78" s="115"/>
      <c r="G78" s="115"/>
      <c r="H78" s="115"/>
      <c r="I78" s="115"/>
      <c r="J78" s="115"/>
      <c r="K78" s="119"/>
      <c r="N78" s="34" t="str">
        <f>IF(H120="Yes",H121,"Disabled")</f>
        <v xml:space="preserve"> 5.00V</v>
      </c>
    </row>
    <row r="79" spans="1:16" x14ac:dyDescent="0.25">
      <c r="A79" s="115"/>
      <c r="B79" s="115"/>
      <c r="C79" s="115"/>
      <c r="D79" s="115"/>
      <c r="E79" s="115"/>
      <c r="F79" s="115"/>
      <c r="G79" s="115"/>
      <c r="H79" s="115"/>
      <c r="I79" s="115"/>
      <c r="J79" s="115"/>
      <c r="K79" s="119"/>
      <c r="N79" s="34" t="str">
        <f>IF(H138="Yes",H139,"Disabled")</f>
        <v xml:space="preserve"> 1.25V</v>
      </c>
    </row>
    <row r="80" spans="1:16" x14ac:dyDescent="0.25">
      <c r="A80" s="115"/>
      <c r="B80" s="115"/>
      <c r="C80" s="115"/>
      <c r="D80" s="115"/>
      <c r="E80" s="115"/>
      <c r="F80" s="115"/>
      <c r="G80" s="115"/>
      <c r="H80" s="115"/>
      <c r="I80" s="115"/>
      <c r="J80" s="115"/>
      <c r="K80" s="119"/>
      <c r="N80" s="34" t="str">
        <f>IF(H167="Yes",H168,"Disabled")</f>
        <v xml:space="preserve"> 3.3V</v>
      </c>
    </row>
    <row r="81" spans="1:16" x14ac:dyDescent="0.25">
      <c r="A81" s="115"/>
      <c r="B81" s="115"/>
      <c r="C81" s="115"/>
      <c r="D81" s="115"/>
      <c r="E81" s="115"/>
      <c r="F81" s="115"/>
      <c r="G81" s="115"/>
      <c r="H81" s="115"/>
      <c r="I81" s="115"/>
      <c r="J81" s="115"/>
      <c r="K81" s="119"/>
    </row>
    <row r="82" spans="1:16" x14ac:dyDescent="0.25">
      <c r="A82" s="115"/>
      <c r="B82" s="115"/>
      <c r="C82" s="115"/>
      <c r="D82" s="115"/>
      <c r="E82" s="115"/>
      <c r="F82" s="115"/>
      <c r="G82" s="115"/>
      <c r="H82" s="115"/>
      <c r="I82" s="115"/>
      <c r="J82" s="115"/>
      <c r="K82" s="119"/>
    </row>
    <row r="83" spans="1:16" x14ac:dyDescent="0.25">
      <c r="A83" s="115"/>
      <c r="B83" s="115"/>
      <c r="C83" s="115"/>
      <c r="D83" s="115"/>
      <c r="E83" s="115"/>
      <c r="F83" s="115"/>
      <c r="G83" s="115"/>
      <c r="H83" s="115"/>
      <c r="I83" s="115"/>
      <c r="J83" s="115"/>
      <c r="K83" s="119"/>
    </row>
    <row r="84" spans="1:16" x14ac:dyDescent="0.25">
      <c r="A84" s="115"/>
      <c r="B84" s="115"/>
      <c r="C84" s="115"/>
      <c r="D84" s="115"/>
      <c r="E84" s="115"/>
      <c r="F84" s="115"/>
      <c r="G84" s="115"/>
      <c r="H84" s="115"/>
      <c r="I84" s="115"/>
      <c r="J84" s="115"/>
      <c r="K84" s="119"/>
    </row>
    <row r="85" spans="1:16" x14ac:dyDescent="0.25">
      <c r="A85" s="115"/>
      <c r="B85" s="115"/>
      <c r="C85" s="115"/>
      <c r="D85" s="115"/>
      <c r="E85" s="115"/>
      <c r="F85" s="115"/>
      <c r="G85" s="115"/>
      <c r="H85" s="115"/>
      <c r="I85" s="115"/>
      <c r="J85" s="115"/>
      <c r="K85" s="119"/>
    </row>
    <row r="86" spans="1:16" x14ac:dyDescent="0.25">
      <c r="A86" s="115"/>
      <c r="B86" s="115"/>
      <c r="C86" s="115"/>
      <c r="D86" s="115"/>
      <c r="E86" s="115"/>
      <c r="F86" s="115"/>
      <c r="G86" s="115"/>
      <c r="H86" s="115"/>
      <c r="I86" s="115"/>
      <c r="J86" s="115"/>
      <c r="K86" s="119"/>
    </row>
    <row r="87" spans="1:16" x14ac:dyDescent="0.25">
      <c r="A87" s="115"/>
      <c r="B87" s="115"/>
      <c r="C87" s="115"/>
      <c r="D87" s="115"/>
      <c r="E87" s="115"/>
      <c r="F87" s="115"/>
      <c r="G87" s="115"/>
      <c r="H87" s="115"/>
      <c r="I87" s="115"/>
      <c r="J87" s="115"/>
      <c r="K87" s="119"/>
    </row>
    <row r="88" spans="1:16" x14ac:dyDescent="0.25">
      <c r="A88" s="115"/>
      <c r="B88" s="115"/>
      <c r="C88" s="115"/>
      <c r="D88" s="115"/>
      <c r="E88" s="115"/>
      <c r="F88" s="115"/>
      <c r="G88" s="115"/>
      <c r="H88" s="115"/>
      <c r="I88" s="115"/>
      <c r="J88" s="115"/>
      <c r="K88" s="119"/>
    </row>
    <row r="89" spans="1:16" x14ac:dyDescent="0.25">
      <c r="A89" s="115"/>
      <c r="B89" s="115"/>
      <c r="C89" s="115"/>
      <c r="D89" s="115"/>
      <c r="E89" s="115"/>
      <c r="F89" s="115"/>
      <c r="G89" s="115"/>
      <c r="H89" s="115"/>
      <c r="I89" s="115"/>
      <c r="J89" s="115"/>
      <c r="K89" s="119"/>
    </row>
    <row r="90" spans="1:16" x14ac:dyDescent="0.25">
      <c r="A90" s="115"/>
      <c r="B90" s="115"/>
      <c r="C90" s="115"/>
      <c r="D90" s="115"/>
      <c r="E90" s="115"/>
      <c r="F90" s="115"/>
      <c r="G90" s="115"/>
      <c r="H90" s="115"/>
      <c r="I90" s="115"/>
      <c r="J90" s="115"/>
      <c r="K90" s="119"/>
    </row>
    <row r="91" spans="1:16" x14ac:dyDescent="0.25">
      <c r="A91" s="115"/>
      <c r="B91" s="115"/>
      <c r="C91" s="115"/>
      <c r="D91" s="115"/>
      <c r="E91" s="115"/>
      <c r="F91" s="115"/>
      <c r="G91" s="115"/>
      <c r="H91" s="115"/>
      <c r="I91" s="115"/>
      <c r="J91" s="115"/>
      <c r="K91" s="119"/>
    </row>
    <row r="92" spans="1:16" s="113" customFormat="1" ht="18" x14ac:dyDescent="0.25">
      <c r="A92" s="135" t="s">
        <v>587</v>
      </c>
      <c r="B92" s="135"/>
      <c r="C92" s="135"/>
      <c r="D92" s="135"/>
      <c r="E92" s="135"/>
      <c r="F92" s="135"/>
      <c r="G92" s="135"/>
      <c r="H92" s="135"/>
      <c r="I92" s="135"/>
      <c r="J92" s="135"/>
      <c r="K92" s="148"/>
      <c r="L92" s="149"/>
      <c r="M92" s="38"/>
      <c r="N92" s="38"/>
      <c r="O92" s="38"/>
      <c r="P92" s="38"/>
    </row>
    <row r="93" spans="1:16" x14ac:dyDescent="0.25">
      <c r="A93" s="115"/>
      <c r="B93" s="115"/>
      <c r="C93" s="115"/>
      <c r="D93" s="115"/>
      <c r="E93" s="115"/>
      <c r="F93" s="115"/>
      <c r="G93" s="115"/>
      <c r="H93" s="115"/>
      <c r="I93" s="115"/>
      <c r="J93" s="115"/>
      <c r="K93" s="119"/>
      <c r="M93" s="38"/>
    </row>
    <row r="94" spans="1:16" x14ac:dyDescent="0.25">
      <c r="A94" s="115"/>
      <c r="B94" s="155" t="s">
        <v>592</v>
      </c>
      <c r="C94" s="115"/>
      <c r="D94" s="115"/>
      <c r="E94" s="115"/>
      <c r="F94" s="115"/>
      <c r="G94" s="115"/>
      <c r="H94" s="115"/>
      <c r="I94" s="115"/>
      <c r="J94" s="115"/>
      <c r="K94" s="119"/>
      <c r="M94" s="38"/>
    </row>
    <row r="95" spans="1:16" x14ac:dyDescent="0.25">
      <c r="A95" s="115"/>
      <c r="B95" s="377" t="s">
        <v>578</v>
      </c>
      <c r="C95" s="377"/>
      <c r="D95" s="377" t="s">
        <v>579</v>
      </c>
      <c r="E95" s="377"/>
      <c r="F95" s="377"/>
      <c r="G95" s="377"/>
      <c r="H95" s="377" t="s">
        <v>580</v>
      </c>
      <c r="I95" s="377"/>
      <c r="J95" s="377"/>
      <c r="K95" s="119"/>
      <c r="M95" s="1"/>
    </row>
    <row r="96" spans="1:16" x14ac:dyDescent="0.25">
      <c r="A96" s="115"/>
      <c r="B96" s="380" t="s">
        <v>474</v>
      </c>
      <c r="C96" s="381"/>
      <c r="D96" s="378" t="s">
        <v>475</v>
      </c>
      <c r="E96" s="378"/>
      <c r="F96" s="378"/>
      <c r="G96" s="378"/>
      <c r="H96" s="378" t="str">
        <f>RIGHT(OTP_conf_main_reg!G5,LEN(OTP_conf_main_reg!G5)-FIND("-",OTP_conf_main_reg!G5,1))</f>
        <v xml:space="preserve"> 5.0V</v>
      </c>
      <c r="I96" s="378"/>
      <c r="J96" s="378"/>
      <c r="K96" s="1"/>
      <c r="M96" s="1"/>
    </row>
    <row r="97" spans="1:11" x14ac:dyDescent="0.25">
      <c r="A97" s="115"/>
      <c r="B97" s="382"/>
      <c r="C97" s="383"/>
      <c r="D97" s="378" t="s">
        <v>476</v>
      </c>
      <c r="E97" s="378"/>
      <c r="F97" s="378"/>
      <c r="G97" s="378"/>
      <c r="H97" s="378" t="str">
        <f>RIGHT(OTP_conf_main_reg!G7,LEN(OTP_conf_main_reg!G7)-FIND("-",OTP_conf_main_reg!G7,1))</f>
        <v xml:space="preserve"> 60mV/µs</v>
      </c>
      <c r="I97" s="378"/>
      <c r="J97" s="378"/>
      <c r="K97" s="1"/>
    </row>
    <row r="98" spans="1:11" x14ac:dyDescent="0.25">
      <c r="A98" s="115"/>
      <c r="B98" s="382"/>
      <c r="C98" s="383"/>
      <c r="D98" s="378" t="s">
        <v>477</v>
      </c>
      <c r="E98" s="378"/>
      <c r="F98" s="378"/>
      <c r="G98" s="378"/>
      <c r="H98" s="378" t="str">
        <f>RIGHT(OTP_conf_main_reg!E9,LEN(OTP_conf_main_reg!E9)-FIND("-",OTP_conf_main_reg!E9,1))</f>
        <v xml:space="preserve"> 50mV</v>
      </c>
      <c r="I98" s="378"/>
      <c r="J98" s="378"/>
      <c r="K98" s="1"/>
    </row>
    <row r="99" spans="1:11" x14ac:dyDescent="0.25">
      <c r="A99" s="115"/>
      <c r="B99" s="382"/>
      <c r="C99" s="383"/>
      <c r="D99" s="378" t="s">
        <v>478</v>
      </c>
      <c r="E99" s="378"/>
      <c r="F99" s="378"/>
      <c r="G99" s="378"/>
      <c r="H99" s="378" t="str">
        <f>RIGHT(OTP_conf_main_reg!K9,LEN(OTP_conf_main_reg!K9)-FIND("-",OTP_conf_main_reg!K9,1))</f>
        <v xml:space="preserve"> PU/PD/520mA</v>
      </c>
      <c r="I99" s="378"/>
      <c r="J99" s="378"/>
      <c r="K99" s="1"/>
    </row>
    <row r="100" spans="1:11" x14ac:dyDescent="0.25">
      <c r="A100" s="115"/>
      <c r="B100" s="382"/>
      <c r="C100" s="383"/>
      <c r="D100" s="378" t="s">
        <v>479</v>
      </c>
      <c r="E100" s="378"/>
      <c r="F100" s="378"/>
      <c r="G100" s="378"/>
      <c r="H100" s="378" t="str">
        <f>RIGHT(OTP_conf_main_reg!I9,LEN(OTP_conf_main_reg!I9)-FIND("-",OTP_conf_main_reg!I9,1))</f>
        <v xml:space="preserve"> PU/PD/900mA</v>
      </c>
      <c r="I100" s="378"/>
      <c r="J100" s="378"/>
      <c r="K100" s="1"/>
    </row>
    <row r="101" spans="1:11" x14ac:dyDescent="0.25">
      <c r="A101" s="115"/>
      <c r="B101" s="382"/>
      <c r="C101" s="383"/>
      <c r="D101" s="378" t="s">
        <v>481</v>
      </c>
      <c r="E101" s="378"/>
      <c r="F101" s="378"/>
      <c r="G101" s="378"/>
      <c r="H101" s="378" t="str">
        <f>IF(OTP_conf_main_reg!I43="1 - CLK2",RIGHT(OTP_conf_main_reg!J37,LEN(OTP_conf_main_reg!J37)-FIND("=",OTP_conf_main_reg!J37,1)),RIGHT(OTP_conf_main_reg!K43,LEN(OTP_conf_main_reg!K43)-FIND("=",OTP_conf_main_reg!K43,1)))</f>
        <v>2.22MHz</v>
      </c>
      <c r="I101" s="378"/>
      <c r="J101" s="378"/>
      <c r="K101" s="1"/>
    </row>
    <row r="102" spans="1:11" x14ac:dyDescent="0.25">
      <c r="A102" s="115"/>
      <c r="B102" s="382"/>
      <c r="C102" s="383"/>
      <c r="D102" s="378" t="s">
        <v>495</v>
      </c>
      <c r="E102" s="378"/>
      <c r="F102" s="378"/>
      <c r="G102" s="378"/>
      <c r="H102" s="378" t="str">
        <f>RIGHT(OTP_conf_main_reg!G37,LEN(OTP_conf_main_reg!G37)-FIND("-",OTP_conf_main_reg!G37,1))</f>
        <v xml:space="preserve"> delay 0</v>
      </c>
      <c r="I102" s="378"/>
      <c r="J102" s="378"/>
      <c r="K102" s="1"/>
    </row>
    <row r="103" spans="1:11" x14ac:dyDescent="0.25">
      <c r="A103" s="115"/>
      <c r="B103" s="382"/>
      <c r="C103" s="383"/>
      <c r="D103" s="378" t="s">
        <v>498</v>
      </c>
      <c r="E103" s="378"/>
      <c r="F103" s="378"/>
      <c r="G103" s="378"/>
      <c r="H103" s="378" t="str">
        <f>RIGHT(OTP_conf_main_reg!H47,LEN(OTP_conf_main_reg!H47)-FIND("-",OTP_conf_main_reg!H47,1))</f>
        <v xml:space="preserve"> 250µs</v>
      </c>
      <c r="I103" s="378"/>
      <c r="J103" s="378"/>
      <c r="K103" s="1"/>
    </row>
    <row r="104" spans="1:11" x14ac:dyDescent="0.25">
      <c r="A104" s="115"/>
      <c r="B104" s="384"/>
      <c r="C104" s="385"/>
      <c r="D104" s="378" t="s">
        <v>812</v>
      </c>
      <c r="E104" s="378"/>
      <c r="F104" s="378"/>
      <c r="G104" s="378"/>
      <c r="H104" s="378" t="str">
        <f>RIGHT(OTP_conf_main_reg!G11,LEN(OTP_conf_main_reg!G11)-FIND("-",OTP_conf_main_reg!G11,1))</f>
        <v xml:space="preserve"> APS</v>
      </c>
      <c r="I104" s="378"/>
      <c r="J104" s="378"/>
      <c r="K104" s="1"/>
    </row>
    <row r="105" spans="1:11" x14ac:dyDescent="0.25">
      <c r="A105" s="115"/>
      <c r="B105" s="143"/>
      <c r="C105" s="143"/>
      <c r="D105" s="1"/>
      <c r="E105" s="1"/>
      <c r="F105" s="1"/>
      <c r="G105" s="1"/>
      <c r="H105" s="1"/>
      <c r="I105" s="1"/>
      <c r="J105" s="1"/>
      <c r="K105" s="1"/>
    </row>
    <row r="106" spans="1:11" x14ac:dyDescent="0.25">
      <c r="A106" s="115"/>
      <c r="B106" s="1"/>
      <c r="C106" s="1"/>
      <c r="D106" s="1"/>
      <c r="E106" s="1"/>
      <c r="F106" s="1"/>
      <c r="G106" s="1"/>
      <c r="H106" s="1"/>
      <c r="I106" s="115"/>
      <c r="J106" s="115"/>
      <c r="K106" s="119"/>
    </row>
    <row r="107" spans="1:11" ht="8.1" customHeight="1" x14ac:dyDescent="0.25">
      <c r="A107" s="115"/>
      <c r="B107" s="1"/>
      <c r="C107" s="1"/>
      <c r="D107" s="1"/>
      <c r="E107" s="1"/>
      <c r="F107" s="1"/>
      <c r="G107" s="1"/>
      <c r="H107" s="1"/>
      <c r="I107" s="115"/>
      <c r="J107" s="115"/>
      <c r="K107" s="119"/>
    </row>
    <row r="108" spans="1:11" x14ac:dyDescent="0.25">
      <c r="A108" s="115"/>
      <c r="B108" s="115"/>
      <c r="C108" s="115"/>
      <c r="D108" s="1"/>
      <c r="E108" s="1"/>
      <c r="F108" s="1"/>
      <c r="G108" s="1"/>
      <c r="H108" s="1"/>
      <c r="I108" s="115"/>
      <c r="J108" s="115"/>
      <c r="K108" s="119"/>
    </row>
    <row r="109" spans="1:11" x14ac:dyDescent="0.25">
      <c r="A109" s="115"/>
      <c r="B109" s="115"/>
      <c r="C109" s="115"/>
      <c r="D109" s="1"/>
      <c r="E109" s="1"/>
      <c r="F109" s="1"/>
      <c r="G109" s="1"/>
      <c r="H109" s="1"/>
      <c r="I109" s="115"/>
      <c r="J109" s="115"/>
      <c r="K109" s="119"/>
    </row>
    <row r="110" spans="1:11" x14ac:dyDescent="0.25">
      <c r="A110" s="115"/>
      <c r="B110" s="115"/>
      <c r="C110" s="115"/>
      <c r="D110" s="1"/>
      <c r="E110" s="1"/>
      <c r="F110" s="1"/>
      <c r="G110" s="1"/>
      <c r="H110" s="1"/>
      <c r="I110" s="115"/>
      <c r="J110" s="115"/>
      <c r="K110" s="119"/>
    </row>
    <row r="111" spans="1:11" x14ac:dyDescent="0.25">
      <c r="A111" s="115"/>
      <c r="B111" s="115"/>
      <c r="C111" s="115"/>
      <c r="D111" s="1"/>
      <c r="E111" s="1"/>
      <c r="F111" s="1"/>
      <c r="G111" s="1"/>
      <c r="H111" s="1"/>
      <c r="I111" s="115"/>
      <c r="J111" s="115"/>
      <c r="K111" s="119"/>
    </row>
    <row r="112" spans="1:11" x14ac:dyDescent="0.25">
      <c r="A112" s="115"/>
      <c r="B112" s="115"/>
      <c r="C112" s="115"/>
      <c r="D112" s="1"/>
      <c r="E112" s="1"/>
      <c r="F112" s="1"/>
      <c r="G112" s="1"/>
      <c r="H112" s="1"/>
      <c r="I112" s="115"/>
      <c r="J112" s="115"/>
      <c r="K112" s="119"/>
    </row>
    <row r="113" spans="1:12" x14ac:dyDescent="0.25">
      <c r="A113" s="115"/>
      <c r="B113" s="115"/>
      <c r="C113" s="115"/>
      <c r="D113" s="1"/>
      <c r="E113" s="1"/>
      <c r="F113" s="1"/>
      <c r="G113" s="1"/>
      <c r="H113" s="1"/>
      <c r="I113" s="115"/>
      <c r="J113" s="115"/>
      <c r="K113" s="119"/>
    </row>
    <row r="114" spans="1:12" x14ac:dyDescent="0.25">
      <c r="A114" s="115"/>
      <c r="B114" s="115"/>
      <c r="C114" s="115"/>
      <c r="D114" s="115"/>
      <c r="E114" s="115"/>
      <c r="F114" s="115"/>
      <c r="G114" s="115"/>
      <c r="H114" s="115"/>
      <c r="I114" s="115"/>
      <c r="J114" s="115"/>
      <c r="K114" s="119"/>
    </row>
    <row r="115" spans="1:12" x14ac:dyDescent="0.25">
      <c r="A115" s="115"/>
      <c r="B115" s="115"/>
      <c r="C115" s="115"/>
      <c r="D115" s="115"/>
      <c r="E115" s="115"/>
      <c r="F115" s="115"/>
      <c r="G115" s="115"/>
      <c r="H115" s="115"/>
      <c r="I115" s="115"/>
      <c r="J115" s="115"/>
      <c r="K115" s="119"/>
    </row>
    <row r="116" spans="1:12" x14ac:dyDescent="0.25">
      <c r="A116" s="115"/>
      <c r="B116" s="115"/>
      <c r="C116" s="115"/>
      <c r="D116" s="115"/>
      <c r="E116" s="115"/>
      <c r="F116" s="115"/>
      <c r="G116" s="115"/>
      <c r="H116" s="115"/>
      <c r="I116" s="115"/>
      <c r="J116" s="115"/>
      <c r="K116" s="119"/>
    </row>
    <row r="117" spans="1:12" x14ac:dyDescent="0.25">
      <c r="A117" s="115"/>
      <c r="B117" s="115"/>
      <c r="C117" s="115"/>
      <c r="D117" s="115"/>
      <c r="E117" s="115"/>
      <c r="F117" s="115"/>
      <c r="G117" s="115"/>
      <c r="H117" s="115"/>
      <c r="I117" s="115"/>
      <c r="J117" s="115"/>
      <c r="K117" s="119"/>
    </row>
    <row r="118" spans="1:12" x14ac:dyDescent="0.25">
      <c r="A118" s="115"/>
      <c r="B118" s="155" t="s">
        <v>593</v>
      </c>
      <c r="C118" s="115"/>
      <c r="D118" s="115"/>
      <c r="E118" s="115"/>
      <c r="F118" s="115"/>
      <c r="G118" s="115"/>
      <c r="H118" s="115"/>
      <c r="I118" s="115"/>
      <c r="J118" s="115"/>
      <c r="K118" s="119"/>
    </row>
    <row r="119" spans="1:12" x14ac:dyDescent="0.25">
      <c r="A119" s="115"/>
      <c r="B119" s="377" t="s">
        <v>578</v>
      </c>
      <c r="C119" s="377"/>
      <c r="D119" s="377" t="s">
        <v>579</v>
      </c>
      <c r="E119" s="377"/>
      <c r="F119" s="377"/>
      <c r="G119" s="377"/>
      <c r="H119" s="377" t="s">
        <v>580</v>
      </c>
      <c r="I119" s="377"/>
      <c r="J119" s="377"/>
      <c r="K119" s="119"/>
    </row>
    <row r="120" spans="1:12" x14ac:dyDescent="0.25">
      <c r="A120" s="115"/>
      <c r="B120" s="394" t="s">
        <v>492</v>
      </c>
      <c r="C120" s="394"/>
      <c r="D120" s="378" t="s">
        <v>484</v>
      </c>
      <c r="E120" s="378"/>
      <c r="F120" s="378"/>
      <c r="G120" s="378"/>
      <c r="H120" s="378" t="str">
        <f>IF(RIGHT(OTP_conf_main_reg!E13,LEN(OTP_conf_main_reg!E13)-FIND("-",OTP_conf_main_reg!E13,1))=" enabled", "Yes","No")</f>
        <v>Yes</v>
      </c>
      <c r="I120" s="378"/>
      <c r="J120" s="378"/>
      <c r="K120" s="119"/>
    </row>
    <row r="121" spans="1:12" x14ac:dyDescent="0.25">
      <c r="A121" s="115"/>
      <c r="B121" s="394"/>
      <c r="C121" s="394"/>
      <c r="D121" s="378" t="s">
        <v>475</v>
      </c>
      <c r="E121" s="378"/>
      <c r="F121" s="378"/>
      <c r="G121" s="378"/>
      <c r="H121" s="378" t="str">
        <f>RIGHT(OTP_conf_main_reg!I11,LEN(OTP_conf_main_reg!I11)-FIND("-",OTP_conf_main_reg!I11,1))</f>
        <v xml:space="preserve"> 5.00V</v>
      </c>
      <c r="I121" s="378"/>
      <c r="J121" s="378"/>
      <c r="K121" s="1"/>
      <c r="L121" s="1"/>
    </row>
    <row r="122" spans="1:12" x14ac:dyDescent="0.25">
      <c r="A122" s="115"/>
      <c r="B122" s="394"/>
      <c r="C122" s="394"/>
      <c r="D122" s="378" t="s">
        <v>476</v>
      </c>
      <c r="E122" s="378"/>
      <c r="F122" s="378"/>
      <c r="G122" s="378"/>
      <c r="H122" s="378" t="str">
        <f>RIGHT(OTP_conf_main_reg!H13,LEN(OTP_conf_main_reg!H13)-FIND("-",OTP_conf_main_reg!H13,1))</f>
        <v xml:space="preserve"> 160mV/µs</v>
      </c>
      <c r="I122" s="378"/>
      <c r="J122" s="378"/>
      <c r="K122" s="1"/>
      <c r="L122" s="1"/>
    </row>
    <row r="123" spans="1:12" x14ac:dyDescent="0.25">
      <c r="A123" s="115"/>
      <c r="B123" s="394"/>
      <c r="C123" s="394"/>
      <c r="D123" s="378" t="s">
        <v>493</v>
      </c>
      <c r="E123" s="378"/>
      <c r="F123" s="378"/>
      <c r="G123" s="378"/>
      <c r="H123" s="378" t="str">
        <f>RIGHT(OTP_conf_main_reg!K15,LEN(OTP_conf_main_reg!K15)-FIND("-",OTP_conf_main_reg!K15,1))</f>
        <v xml:space="preserve"> 500V/µs</v>
      </c>
      <c r="I123" s="378"/>
      <c r="J123" s="378"/>
      <c r="K123" s="1"/>
      <c r="L123" s="1"/>
    </row>
    <row r="124" spans="1:12" x14ac:dyDescent="0.25">
      <c r="A124" s="115"/>
      <c r="B124" s="394"/>
      <c r="C124" s="394"/>
      <c r="D124" s="378" t="s">
        <v>488</v>
      </c>
      <c r="E124" s="378"/>
      <c r="F124" s="378"/>
      <c r="G124" s="378"/>
      <c r="H124" s="378" t="str">
        <f>RIGHT(OTP_conf_main_reg!E15,LEN(OTP_conf_main_reg!E15)-FIND("-",OTP_conf_main_reg!E15,1))</f>
        <v xml:space="preserve"> 750kohms</v>
      </c>
      <c r="I124" s="378"/>
      <c r="J124" s="378"/>
      <c r="K124" s="1"/>
      <c r="L124" s="1"/>
    </row>
    <row r="125" spans="1:12" x14ac:dyDescent="0.25">
      <c r="A125" s="115"/>
      <c r="B125" s="394"/>
      <c r="C125" s="394"/>
      <c r="D125" s="378" t="s">
        <v>494</v>
      </c>
      <c r="E125" s="378"/>
      <c r="F125" s="378"/>
      <c r="G125" s="378"/>
      <c r="H125" s="378" t="str">
        <f>RIGHT(OTP_conf_main_reg!G15,LEN(OTP_conf_main_reg!G15)-FIND("-",OTP_conf_main_reg!G15,1))</f>
        <v xml:space="preserve"> 125pF</v>
      </c>
      <c r="I125" s="378"/>
      <c r="J125" s="378"/>
      <c r="K125" s="1"/>
      <c r="L125" s="1"/>
    </row>
    <row r="126" spans="1:12" x14ac:dyDescent="0.25">
      <c r="A126" s="115"/>
      <c r="B126" s="394"/>
      <c r="C126" s="394"/>
      <c r="D126" s="378" t="s">
        <v>481</v>
      </c>
      <c r="E126" s="378"/>
      <c r="F126" s="378"/>
      <c r="G126" s="378"/>
      <c r="H126" s="378" t="str">
        <f>IF(OTP_conf_main_reg!H43="1 - CLK2",RIGHT(OTP_conf_main_reg!J37,LEN(OTP_conf_main_reg!J37)-FIND("=",OTP_conf_main_reg!J37,1)),RIGHT(OTP_conf_main_reg!K43,LEN(OTP_conf_main_reg!K43)-FIND("=",OTP_conf_main_reg!K43,1)))</f>
        <v>2.22MHz</v>
      </c>
      <c r="I126" s="378"/>
      <c r="J126" s="378"/>
      <c r="K126" s="1"/>
      <c r="L126" s="1"/>
    </row>
    <row r="127" spans="1:12" x14ac:dyDescent="0.25">
      <c r="A127" s="115"/>
      <c r="B127" s="394"/>
      <c r="C127" s="394"/>
      <c r="D127" s="378" t="s">
        <v>495</v>
      </c>
      <c r="E127" s="378"/>
      <c r="F127" s="378"/>
      <c r="G127" s="378"/>
      <c r="H127" s="378" t="str">
        <f>RIGHT(OTP_conf_main_reg!J39,LEN(OTP_conf_main_reg!J39)-FIND("-",OTP_conf_main_reg!J39,1))</f>
        <v xml:space="preserve"> delay 0</v>
      </c>
      <c r="I127" s="378"/>
      <c r="J127" s="378"/>
      <c r="K127" s="1"/>
      <c r="L127" s="1"/>
    </row>
    <row r="128" spans="1:12" ht="15" customHeight="1" x14ac:dyDescent="0.25">
      <c r="A128" s="115"/>
      <c r="B128" s="394"/>
      <c r="C128" s="394"/>
      <c r="D128" s="378" t="s">
        <v>496</v>
      </c>
      <c r="E128" s="378"/>
      <c r="F128" s="378"/>
      <c r="G128" s="378"/>
      <c r="H128" s="379" t="str">
        <f>RIGHT(OTP_conf_main_reg!G45,LEN(OTP_conf_main_reg!G45)-FIND("-",OTP_conf_main_reg!G45,1))</f>
        <v xml:space="preserve"> BOOST Shutdown</v>
      </c>
      <c r="I128" s="379"/>
      <c r="J128" s="379"/>
      <c r="K128" s="119"/>
    </row>
    <row r="129" spans="1:11" x14ac:dyDescent="0.25">
      <c r="A129" s="115"/>
      <c r="B129" s="380" t="s">
        <v>480</v>
      </c>
      <c r="C129" s="381"/>
      <c r="D129" s="378" t="s">
        <v>475</v>
      </c>
      <c r="E129" s="378"/>
      <c r="F129" s="378"/>
      <c r="G129" s="378"/>
      <c r="H129" s="378" t="str">
        <f>RIGHT(OTP_conf_main_reg!E17,LEN(OTP_conf_main_reg!E17)-FIND("-",OTP_conf_main_reg!E17,1))</f>
        <v xml:space="preserve"> 1.2V</v>
      </c>
      <c r="I129" s="378"/>
      <c r="J129" s="378"/>
      <c r="K129" s="119"/>
    </row>
    <row r="130" spans="1:11" x14ac:dyDescent="0.25">
      <c r="A130" s="115"/>
      <c r="B130" s="382"/>
      <c r="C130" s="383"/>
      <c r="D130" s="378" t="s">
        <v>482</v>
      </c>
      <c r="E130" s="378"/>
      <c r="F130" s="378"/>
      <c r="G130" s="378"/>
      <c r="H130" s="378" t="str">
        <f>RIGHT(OTP_conf_main_reg!H19,LEN(OTP_conf_main_reg!H19)-FIND("-",OTP_conf_main_reg!H19,1))</f>
        <v xml:space="preserve"> 1µH</v>
      </c>
      <c r="I130" s="378"/>
      <c r="J130" s="378"/>
      <c r="K130" s="119"/>
    </row>
    <row r="131" spans="1:11" x14ac:dyDescent="0.25">
      <c r="A131" s="115"/>
      <c r="B131" s="382"/>
      <c r="C131" s="383"/>
      <c r="D131" s="378" t="s">
        <v>477</v>
      </c>
      <c r="E131" s="378"/>
      <c r="F131" s="378"/>
      <c r="G131" s="378"/>
      <c r="H131" s="378" t="str">
        <f>RIGHT(OTP_conf_main_reg!J19,LEN(OTP_conf_main_reg!J19)-FIND("-",OTP_conf_main_reg!J19,1))</f>
        <v xml:space="preserve"> 4.5A</v>
      </c>
      <c r="I131" s="378"/>
      <c r="J131" s="378"/>
      <c r="K131" s="119"/>
    </row>
    <row r="132" spans="1:11" x14ac:dyDescent="0.25">
      <c r="A132" s="115"/>
      <c r="B132" s="382"/>
      <c r="C132" s="383"/>
      <c r="D132" s="378" t="s">
        <v>487</v>
      </c>
      <c r="E132" s="378"/>
      <c r="F132" s="378"/>
      <c r="G132" s="378"/>
      <c r="H132" s="378" t="str">
        <f>RIGHT(OTP_conf_main_reg!H27,LEN(OTP_conf_main_reg!H27)-FIND("-",OTP_conf_main_reg!H27,1))</f>
        <v xml:space="preserve"> 48.75 GM</v>
      </c>
      <c r="I132" s="378"/>
      <c r="J132" s="378"/>
      <c r="K132" s="119"/>
    </row>
    <row r="133" spans="1:11" x14ac:dyDescent="0.25">
      <c r="A133" s="115"/>
      <c r="B133" s="382"/>
      <c r="C133" s="383"/>
      <c r="D133" s="378" t="s">
        <v>481</v>
      </c>
      <c r="E133" s="378"/>
      <c r="F133" s="378"/>
      <c r="G133" s="378"/>
      <c r="H133" s="378" t="str">
        <f>IF(OTP_conf_main_reg!G43="1 - CLK2",RIGHT(OTP_conf_main_reg!J37,LEN(OTP_conf_main_reg!J37)-FIND("=",OTP_conf_main_reg!J37,1)),RIGHT(OTP_conf_main_reg!K43,LEN(OTP_conf_main_reg!K43)-FIND("=",OTP_conf_main_reg!K43,1)))</f>
        <v>2.22MHz</v>
      </c>
      <c r="I133" s="378"/>
      <c r="J133" s="378"/>
      <c r="K133" s="119"/>
    </row>
    <row r="134" spans="1:11" x14ac:dyDescent="0.25">
      <c r="A134" s="115"/>
      <c r="B134" s="382"/>
      <c r="C134" s="383"/>
      <c r="D134" s="378" t="s">
        <v>495</v>
      </c>
      <c r="E134" s="378"/>
      <c r="F134" s="378"/>
      <c r="G134" s="378"/>
      <c r="H134" s="378" t="str">
        <f>RIGHT(OTP_conf_main_reg!G39,LEN(OTP_conf_main_reg!G39)-FIND("-",OTP_conf_main_reg!G39,1))</f>
        <v xml:space="preserve"> delay 0</v>
      </c>
      <c r="I134" s="378"/>
      <c r="J134" s="378"/>
      <c r="K134" s="119"/>
    </row>
    <row r="135" spans="1:11" x14ac:dyDescent="0.25">
      <c r="A135" s="115"/>
      <c r="B135" s="382"/>
      <c r="C135" s="383"/>
      <c r="D135" s="378" t="s">
        <v>496</v>
      </c>
      <c r="E135" s="378"/>
      <c r="F135" s="378"/>
      <c r="G135" s="378"/>
      <c r="H135" s="378" t="str">
        <f>RIGHT(OTP_conf_main_reg!H45,LEN(OTP_conf_main_reg!H45)-FIND("-",OTP_conf_main_reg!H45,1))</f>
        <v xml:space="preserve"> BUCK1 Shutdown</v>
      </c>
      <c r="I135" s="378"/>
      <c r="J135" s="378"/>
      <c r="K135" s="119"/>
    </row>
    <row r="136" spans="1:11" ht="24.95" customHeight="1" x14ac:dyDescent="0.25">
      <c r="A136" s="115"/>
      <c r="B136" s="382"/>
      <c r="C136" s="383"/>
      <c r="D136" s="378" t="s">
        <v>497</v>
      </c>
      <c r="E136" s="378"/>
      <c r="F136" s="378"/>
      <c r="G136" s="378"/>
      <c r="H136" s="379" t="str">
        <f>RIGHT(OTP_conf_main_reg!J31,LEN(OTP_conf_main_reg!J31)-FIND("-",OTP_conf_main_reg!J31,1))</f>
        <v xml:space="preserve"> Regulator Start and Stop in Slot 2</v>
      </c>
      <c r="I136" s="379"/>
      <c r="J136" s="379"/>
      <c r="K136" s="119"/>
    </row>
    <row r="137" spans="1:11" x14ac:dyDescent="0.25">
      <c r="A137" s="115"/>
      <c r="B137" s="384"/>
      <c r="C137" s="385"/>
      <c r="D137" s="378" t="s">
        <v>822</v>
      </c>
      <c r="E137" s="378"/>
      <c r="F137" s="378"/>
      <c r="G137" s="378"/>
      <c r="H137" s="378" t="str">
        <f>RIGHT(OTP_conf_main_reg!E35,LEN(OTP_conf_main_reg!E35)-FIND("-",OTP_conf_main_reg!E35,1))</f>
        <v xml:space="preserve"> 7.81mV/µs</v>
      </c>
      <c r="I137" s="378"/>
      <c r="J137" s="378"/>
      <c r="K137" s="119"/>
    </row>
    <row r="138" spans="1:11" x14ac:dyDescent="0.25">
      <c r="A138" s="115"/>
      <c r="B138" s="380" t="s">
        <v>483</v>
      </c>
      <c r="C138" s="381"/>
      <c r="D138" s="378" t="s">
        <v>484</v>
      </c>
      <c r="E138" s="378"/>
      <c r="F138" s="378"/>
      <c r="G138" s="378"/>
      <c r="H138" s="378" t="str">
        <f>IF(RIGHT(OTP_conf_main_reg!H23,LEN(OTP_conf_main_reg!H23)-FIND("-",OTP_conf_main_reg!H23,1))=" enabled", "Yes","No")</f>
        <v>Yes</v>
      </c>
      <c r="I138" s="378"/>
      <c r="J138" s="378"/>
      <c r="K138" s="119"/>
    </row>
    <row r="139" spans="1:11" x14ac:dyDescent="0.25">
      <c r="A139" s="115"/>
      <c r="B139" s="382"/>
      <c r="C139" s="383"/>
      <c r="D139" s="378" t="s">
        <v>475</v>
      </c>
      <c r="E139" s="378"/>
      <c r="F139" s="378"/>
      <c r="G139" s="378"/>
      <c r="H139" s="378" t="str">
        <f>RIGHT(OTP_conf_main_reg!E21,LEN(OTP_conf_main_reg!E21)-FIND("-",OTP_conf_main_reg!E21,1))</f>
        <v xml:space="preserve"> 1.25V</v>
      </c>
      <c r="I139" s="378"/>
      <c r="J139" s="378"/>
      <c r="K139" s="119"/>
    </row>
    <row r="140" spans="1:11" x14ac:dyDescent="0.25">
      <c r="A140" s="115"/>
      <c r="B140" s="382"/>
      <c r="C140" s="383"/>
      <c r="D140" s="378" t="s">
        <v>482</v>
      </c>
      <c r="E140" s="378"/>
      <c r="F140" s="378"/>
      <c r="G140" s="378"/>
      <c r="H140" s="378" t="str">
        <f>RIGHT(OTP_conf_main_reg!F23,LEN(OTP_conf_main_reg!F23)-FIND("-",OTP_conf_main_reg!F23,1))</f>
        <v xml:space="preserve"> 1µH</v>
      </c>
      <c r="I140" s="378"/>
      <c r="J140" s="378"/>
      <c r="K140" s="119"/>
    </row>
    <row r="141" spans="1:11" x14ac:dyDescent="0.25">
      <c r="A141" s="115"/>
      <c r="B141" s="382"/>
      <c r="C141" s="383"/>
      <c r="D141" s="378" t="s">
        <v>477</v>
      </c>
      <c r="E141" s="378"/>
      <c r="F141" s="378"/>
      <c r="G141" s="378"/>
      <c r="H141" s="378" t="str">
        <f>RIGHT(OTP_conf_main_reg!I23,LEN(OTP_conf_main_reg!I23)-FIND("-",OTP_conf_main_reg!I23,1))</f>
        <v xml:space="preserve"> 2.6A</v>
      </c>
      <c r="I141" s="378"/>
      <c r="J141" s="378"/>
      <c r="K141" s="119"/>
    </row>
    <row r="142" spans="1:11" x14ac:dyDescent="0.25">
      <c r="A142" s="115"/>
      <c r="B142" s="382"/>
      <c r="C142" s="383"/>
      <c r="D142" s="378" t="s">
        <v>487</v>
      </c>
      <c r="E142" s="378"/>
      <c r="F142" s="378"/>
      <c r="G142" s="378"/>
      <c r="H142" s="378" t="str">
        <f>RIGHT(OTP_conf_main_reg!E27,LEN(OTP_conf_main_reg!E27)-FIND("-",OTP_conf_main_reg!E27,1))</f>
        <v xml:space="preserve"> 48.75 GM</v>
      </c>
      <c r="I142" s="378"/>
      <c r="J142" s="378"/>
      <c r="K142" s="119"/>
    </row>
    <row r="143" spans="1:11" x14ac:dyDescent="0.25">
      <c r="A143" s="115"/>
      <c r="B143" s="382"/>
      <c r="C143" s="383"/>
      <c r="D143" s="378" t="s">
        <v>481</v>
      </c>
      <c r="E143" s="378"/>
      <c r="F143" s="378"/>
      <c r="G143" s="378"/>
      <c r="H143" s="378" t="str">
        <f>IF(OTP_conf_main_reg!F43="1 - CLK2",RIGHT(OTP_conf_main_reg!J37,LEN(OTP_conf_main_reg!J37)-FIND("=",OTP_conf_main_reg!J37,1)),RIGHT(OTP_conf_main_reg!K43,LEN(OTP_conf_main_reg!K43)-FIND("=",OTP_conf_main_reg!K43,1)))</f>
        <v>2.22MHz</v>
      </c>
      <c r="I143" s="378"/>
      <c r="J143" s="378"/>
      <c r="K143" s="1"/>
    </row>
    <row r="144" spans="1:11" x14ac:dyDescent="0.25">
      <c r="A144" s="115"/>
      <c r="B144" s="382"/>
      <c r="C144" s="383"/>
      <c r="D144" s="378" t="s">
        <v>485</v>
      </c>
      <c r="E144" s="378"/>
      <c r="F144" s="378"/>
      <c r="G144" s="378"/>
      <c r="H144" s="378" t="str">
        <f>IF(RIGHT(OTP_conf_main_reg!L19,LEN(OTP_conf_main_reg!L19)-FIND("-",OTP_conf_main_reg!L19,1))=" enabled","Yes","No")</f>
        <v>No</v>
      </c>
      <c r="I144" s="378"/>
      <c r="J144" s="378"/>
      <c r="K144" s="1"/>
    </row>
    <row r="145" spans="1:11" x14ac:dyDescent="0.25">
      <c r="A145" s="115"/>
      <c r="B145" s="382"/>
      <c r="C145" s="383"/>
      <c r="D145" s="378" t="s">
        <v>495</v>
      </c>
      <c r="E145" s="378"/>
      <c r="F145" s="378"/>
      <c r="G145" s="378"/>
      <c r="H145" s="378" t="str">
        <f>RIGHT(OTP_conf_main_reg!J41,LEN(OTP_conf_main_reg!J41)-FIND("-",OTP_conf_main_reg!J41,1))</f>
        <v xml:space="preserve"> delay 2</v>
      </c>
      <c r="I145" s="378"/>
      <c r="J145" s="378"/>
      <c r="K145" s="1"/>
    </row>
    <row r="146" spans="1:11" x14ac:dyDescent="0.25">
      <c r="A146" s="115"/>
      <c r="B146" s="382"/>
      <c r="C146" s="383"/>
      <c r="D146" s="378" t="s">
        <v>496</v>
      </c>
      <c r="E146" s="378"/>
      <c r="F146" s="378"/>
      <c r="G146" s="378"/>
      <c r="H146" s="378" t="str">
        <f>RIGHT(OTP_conf_main_reg!I45,LEN(OTP_conf_main_reg!I45)-FIND("-",OTP_conf_main_reg!I45,1))</f>
        <v xml:space="preserve"> BUCK2 Shutdown</v>
      </c>
      <c r="I146" s="378"/>
      <c r="J146" s="378"/>
      <c r="K146" s="1"/>
    </row>
    <row r="147" spans="1:11" ht="24.95" customHeight="1" x14ac:dyDescent="0.25">
      <c r="A147" s="115"/>
      <c r="B147" s="382"/>
      <c r="C147" s="383"/>
      <c r="D147" s="378" t="s">
        <v>497</v>
      </c>
      <c r="E147" s="378"/>
      <c r="F147" s="378"/>
      <c r="G147" s="378"/>
      <c r="H147" s="379" t="str">
        <f>RIGHT(OTP_conf_main_reg!G31,LEN(OTP_conf_main_reg!G31)-FIND("-",OTP_conf_main_reg!G31,1))</f>
        <v xml:space="preserve"> Regulator does not Start (Enabled by SPI/I2C)</v>
      </c>
      <c r="I147" s="379"/>
      <c r="J147" s="379"/>
      <c r="K147" s="1"/>
    </row>
    <row r="148" spans="1:11" x14ac:dyDescent="0.25">
      <c r="A148" s="115"/>
      <c r="B148" s="384"/>
      <c r="C148" s="385"/>
      <c r="D148" s="378" t="s">
        <v>822</v>
      </c>
      <c r="E148" s="378"/>
      <c r="F148" s="378"/>
      <c r="G148" s="378"/>
      <c r="H148" s="378" t="str">
        <f>RIGHT(OTP_conf_main_reg!E35,LEN(OTP_conf_main_reg!E35)-FIND("-",OTP_conf_main_reg!E35,1))</f>
        <v xml:space="preserve"> 7.81mV/µs</v>
      </c>
      <c r="I148" s="378"/>
      <c r="J148" s="378"/>
      <c r="K148" s="119"/>
    </row>
    <row r="149" spans="1:11" x14ac:dyDescent="0.25">
      <c r="A149" s="115"/>
      <c r="K149" s="119"/>
    </row>
    <row r="150" spans="1:11" x14ac:dyDescent="0.25">
      <c r="A150" s="115"/>
      <c r="K150" s="119"/>
    </row>
    <row r="151" spans="1:11" x14ac:dyDescent="0.25">
      <c r="A151" s="115"/>
      <c r="K151" s="119"/>
    </row>
    <row r="152" spans="1:11" x14ac:dyDescent="0.25">
      <c r="A152" s="115"/>
      <c r="K152" s="119"/>
    </row>
    <row r="153" spans="1:11" x14ac:dyDescent="0.25">
      <c r="A153" s="115"/>
      <c r="K153" s="119"/>
    </row>
    <row r="154" spans="1:11" x14ac:dyDescent="0.25">
      <c r="A154" s="115"/>
      <c r="K154" s="1"/>
    </row>
    <row r="155" spans="1:11" x14ac:dyDescent="0.25">
      <c r="A155" s="115"/>
      <c r="K155" s="1"/>
    </row>
    <row r="156" spans="1:11" x14ac:dyDescent="0.25">
      <c r="A156" s="115"/>
      <c r="K156" s="1"/>
    </row>
    <row r="157" spans="1:11" x14ac:dyDescent="0.25">
      <c r="A157" s="115"/>
      <c r="K157" s="1"/>
    </row>
    <row r="158" spans="1:11" ht="24.95" customHeight="1" x14ac:dyDescent="0.25">
      <c r="A158" s="115"/>
      <c r="K158" s="1"/>
    </row>
    <row r="159" spans="1:11" ht="15" customHeight="1" x14ac:dyDescent="0.25">
      <c r="A159" s="115"/>
      <c r="B159" s="145"/>
      <c r="C159" s="145"/>
      <c r="D159" s="145"/>
      <c r="E159" s="145"/>
      <c r="F159" s="143"/>
      <c r="G159" s="1"/>
      <c r="H159" s="1"/>
      <c r="I159" s="1"/>
      <c r="J159" s="1"/>
      <c r="K159" s="1"/>
    </row>
    <row r="160" spans="1:11" ht="15" customHeight="1" x14ac:dyDescent="0.25">
      <c r="A160" s="115"/>
      <c r="B160" s="145"/>
      <c r="C160" s="145"/>
      <c r="D160" s="145"/>
      <c r="E160" s="145"/>
      <c r="F160" s="143"/>
      <c r="G160" s="1"/>
      <c r="H160" s="1"/>
      <c r="I160" s="1"/>
      <c r="J160" s="1"/>
      <c r="K160" s="1"/>
    </row>
    <row r="161" spans="1:11" ht="15" customHeight="1" x14ac:dyDescent="0.25">
      <c r="A161" s="115"/>
      <c r="B161" s="145"/>
      <c r="C161" s="145"/>
      <c r="D161" s="145"/>
      <c r="E161" s="145"/>
      <c r="F161" s="143"/>
      <c r="G161" s="1"/>
      <c r="H161" s="1"/>
      <c r="I161" s="1"/>
      <c r="J161" s="1"/>
      <c r="K161" s="1"/>
    </row>
    <row r="162" spans="1:11" ht="15" customHeight="1" x14ac:dyDescent="0.25">
      <c r="A162" s="115"/>
      <c r="B162" s="145"/>
      <c r="C162" s="145"/>
      <c r="D162" s="145"/>
      <c r="E162" s="145"/>
      <c r="F162" s="143"/>
      <c r="G162" s="1"/>
      <c r="H162" s="1"/>
      <c r="I162" s="1"/>
      <c r="J162" s="1"/>
      <c r="K162" s="1"/>
    </row>
    <row r="163" spans="1:11" x14ac:dyDescent="0.25">
      <c r="A163" s="115"/>
      <c r="B163" s="1"/>
      <c r="C163" s="1"/>
      <c r="D163" s="1"/>
      <c r="E163" s="1"/>
      <c r="F163" s="115"/>
      <c r="G163" s="115"/>
      <c r="H163" s="115"/>
      <c r="I163" s="115"/>
      <c r="J163" s="115"/>
      <c r="K163" s="119"/>
    </row>
    <row r="164" spans="1:11" x14ac:dyDescent="0.25">
      <c r="A164" s="115"/>
      <c r="B164" s="1"/>
      <c r="C164" s="121"/>
      <c r="D164" s="121"/>
      <c r="E164" s="1"/>
      <c r="F164" s="115"/>
      <c r="G164" s="115"/>
      <c r="H164" s="115"/>
      <c r="I164" s="115"/>
      <c r="J164" s="115"/>
      <c r="K164" s="119"/>
    </row>
    <row r="165" spans="1:11" x14ac:dyDescent="0.25">
      <c r="A165" s="115"/>
      <c r="B165" s="155" t="s">
        <v>593</v>
      </c>
      <c r="C165" s="121"/>
      <c r="D165" s="121"/>
      <c r="E165" s="1"/>
      <c r="F165" s="115"/>
      <c r="G165" s="115"/>
      <c r="H165" s="115"/>
      <c r="I165" s="115"/>
      <c r="J165" s="115"/>
      <c r="K165" s="119"/>
    </row>
    <row r="166" spans="1:11" x14ac:dyDescent="0.25">
      <c r="A166" s="115"/>
      <c r="B166" s="377" t="s">
        <v>578</v>
      </c>
      <c r="C166" s="377"/>
      <c r="D166" s="377" t="s">
        <v>579</v>
      </c>
      <c r="E166" s="377"/>
      <c r="F166" s="377"/>
      <c r="G166" s="377"/>
      <c r="H166" s="377" t="s">
        <v>580</v>
      </c>
      <c r="I166" s="377"/>
      <c r="J166" s="377"/>
      <c r="K166" s="119"/>
    </row>
    <row r="167" spans="1:11" x14ac:dyDescent="0.25">
      <c r="A167" s="115"/>
      <c r="B167" s="380" t="s">
        <v>486</v>
      </c>
      <c r="C167" s="381"/>
      <c r="D167" s="378" t="s">
        <v>484</v>
      </c>
      <c r="E167" s="378"/>
      <c r="F167" s="378"/>
      <c r="G167" s="378"/>
      <c r="H167" s="378" t="str">
        <f>IF(RIGHT(OTP_conf_main_reg!E25,LEN(OTP_conf_main_reg!E25)-FIND("-",OTP_conf_main_reg!E25,1))=" enabled", "Yes","No")</f>
        <v>Yes</v>
      </c>
      <c r="I167" s="378"/>
      <c r="J167" s="378"/>
      <c r="K167" s="119"/>
    </row>
    <row r="168" spans="1:11" x14ac:dyDescent="0.25">
      <c r="A168" s="115"/>
      <c r="B168" s="382"/>
      <c r="C168" s="383"/>
      <c r="D168" s="378" t="s">
        <v>475</v>
      </c>
      <c r="E168" s="378"/>
      <c r="F168" s="378"/>
      <c r="G168" s="378"/>
      <c r="H168" s="378" t="str">
        <f>RIGHT(OTP_conf_main_reg!H25,LEN(OTP_conf_main_reg!H25)-FIND("-",OTP_conf_main_reg!H25,1))</f>
        <v xml:space="preserve"> 3.3V</v>
      </c>
      <c r="I168" s="378"/>
      <c r="J168" s="378"/>
      <c r="K168" s="119"/>
    </row>
    <row r="169" spans="1:11" x14ac:dyDescent="0.25">
      <c r="A169" s="115"/>
      <c r="B169" s="382"/>
      <c r="C169" s="383"/>
      <c r="D169" s="378" t="s">
        <v>482</v>
      </c>
      <c r="E169" s="378"/>
      <c r="F169" s="378"/>
      <c r="G169" s="378"/>
      <c r="H169" s="378" t="str">
        <f>RIGHT(OTP_conf_main_reg!F25,LEN(OTP_conf_main_reg!F25)-FIND("-",OTP_conf_main_reg!F25,1))</f>
        <v xml:space="preserve"> 1µH</v>
      </c>
      <c r="I169" s="378"/>
      <c r="J169" s="378"/>
      <c r="K169" s="119"/>
    </row>
    <row r="170" spans="1:11" x14ac:dyDescent="0.25">
      <c r="A170" s="115"/>
      <c r="B170" s="382"/>
      <c r="C170" s="383"/>
      <c r="D170" s="378" t="s">
        <v>477</v>
      </c>
      <c r="E170" s="378"/>
      <c r="F170" s="378"/>
      <c r="G170" s="378"/>
      <c r="H170" s="378" t="str">
        <f>RIGHT(OTP_conf_main_reg!K27,LEN(OTP_conf_main_reg!K27)-FIND("-",OTP_conf_main_reg!K27,1))</f>
        <v xml:space="preserve"> 4.5A</v>
      </c>
      <c r="I170" s="378"/>
      <c r="J170" s="378"/>
      <c r="K170" s="119"/>
    </row>
    <row r="171" spans="1:11" x14ac:dyDescent="0.25">
      <c r="A171" s="115"/>
      <c r="B171" s="382"/>
      <c r="C171" s="383"/>
      <c r="D171" s="378" t="s">
        <v>488</v>
      </c>
      <c r="E171" s="378"/>
      <c r="F171" s="378"/>
      <c r="G171" s="378"/>
      <c r="H171" s="378" t="str">
        <f>RIGHT(OTP_conf_main_reg!K23,LEN(OTP_conf_main_reg!K23)-FIND("-",OTP_conf_main_reg!K23,1))</f>
        <v xml:space="preserve"> Default</v>
      </c>
      <c r="I171" s="378"/>
      <c r="J171" s="378"/>
      <c r="K171" s="119"/>
    </row>
    <row r="172" spans="1:11" x14ac:dyDescent="0.25">
      <c r="A172" s="115"/>
      <c r="B172" s="382"/>
      <c r="C172" s="383"/>
      <c r="D172" s="378" t="s">
        <v>489</v>
      </c>
      <c r="E172" s="378"/>
      <c r="F172" s="378"/>
      <c r="G172" s="378"/>
      <c r="H172" s="378" t="str">
        <f>RIGHT(OTP_conf_main_reg!L23,LEN(OTP_conf_main_reg!L23)-FIND("-",OTP_conf_main_reg!L23,1))</f>
        <v xml:space="preserve"> Default</v>
      </c>
      <c r="I172" s="378"/>
      <c r="J172" s="378"/>
      <c r="K172" s="119"/>
    </row>
    <row r="173" spans="1:11" x14ac:dyDescent="0.25">
      <c r="A173" s="115"/>
      <c r="B173" s="382"/>
      <c r="C173" s="383"/>
      <c r="D173" s="378" t="s">
        <v>481</v>
      </c>
      <c r="E173" s="378"/>
      <c r="F173" s="378"/>
      <c r="G173" s="378"/>
      <c r="H173" s="378" t="str">
        <f>IF(OTP_conf_main_reg!E43="1 - CLK2",RIGHT(OTP_conf_main_reg!J37,LEN(OTP_conf_main_reg!J37)-FIND("=",OTP_conf_main_reg!J37,1)),RIGHT(OTP_conf_main_reg!K43,LEN(OTP_conf_main_reg!K43)-FIND("=",OTP_conf_main_reg!K43,1)))</f>
        <v>2.22MHz</v>
      </c>
      <c r="I173" s="378"/>
      <c r="J173" s="378"/>
      <c r="K173" s="119"/>
    </row>
    <row r="174" spans="1:11" x14ac:dyDescent="0.25">
      <c r="A174" s="115"/>
      <c r="B174" s="382"/>
      <c r="C174" s="383"/>
      <c r="D174" s="378" t="s">
        <v>495</v>
      </c>
      <c r="E174" s="378"/>
      <c r="F174" s="378"/>
      <c r="G174" s="378"/>
      <c r="H174" s="378" t="str">
        <f>RIGHT(OTP_conf_main_reg!G41,LEN(OTP_conf_main_reg!G41)-FIND("-",OTP_conf_main_reg!G41,1))</f>
        <v xml:space="preserve"> delay 0</v>
      </c>
      <c r="I174" s="378"/>
      <c r="J174" s="378"/>
      <c r="K174" s="119"/>
    </row>
    <row r="175" spans="1:11" x14ac:dyDescent="0.25">
      <c r="A175" s="115"/>
      <c r="B175" s="382"/>
      <c r="C175" s="383"/>
      <c r="D175" s="378" t="s">
        <v>496</v>
      </c>
      <c r="E175" s="378"/>
      <c r="F175" s="378"/>
      <c r="G175" s="378"/>
      <c r="H175" s="378" t="str">
        <f>RIGHT(OTP_conf_main_reg!J45,LEN(OTP_conf_main_reg!J45)-FIND("-",OTP_conf_main_reg!J45,1))</f>
        <v xml:space="preserve"> BUCK3 Shutdown</v>
      </c>
      <c r="I175" s="378"/>
      <c r="J175" s="378"/>
      <c r="K175" s="119"/>
    </row>
    <row r="176" spans="1:11" ht="24.95" customHeight="1" x14ac:dyDescent="0.25">
      <c r="A176" s="115"/>
      <c r="B176" s="382"/>
      <c r="C176" s="383"/>
      <c r="D176" s="378" t="s">
        <v>497</v>
      </c>
      <c r="E176" s="378"/>
      <c r="F176" s="378"/>
      <c r="G176" s="378"/>
      <c r="H176" s="379" t="str">
        <f>RIGHT(OTP_conf_main_reg!J35,LEN(OTP_conf_main_reg!J35)-FIND("-",OTP_conf_main_reg!J35,1))</f>
        <v xml:space="preserve"> Regulator Start and Stop in Slot 2</v>
      </c>
      <c r="I176" s="379"/>
      <c r="J176" s="379"/>
      <c r="K176" s="119"/>
    </row>
    <row r="177" spans="1:11" x14ac:dyDescent="0.25">
      <c r="A177" s="115"/>
      <c r="B177" s="384"/>
      <c r="C177" s="385"/>
      <c r="D177" s="378" t="s">
        <v>822</v>
      </c>
      <c r="E177" s="378"/>
      <c r="F177" s="378"/>
      <c r="G177" s="378"/>
      <c r="H177" s="378" t="str">
        <f>RIGHT(OTP_conf_main_reg!G35,LEN(OTP_conf_main_reg!G35)-FIND("-",OTP_conf_main_reg!G35,1))</f>
        <v xml:space="preserve"> 10.4mV/µs</v>
      </c>
      <c r="I177" s="378"/>
      <c r="J177" s="378"/>
      <c r="K177" s="119"/>
    </row>
    <row r="178" spans="1:11" x14ac:dyDescent="0.25">
      <c r="A178" s="115"/>
      <c r="B178" s="394" t="s">
        <v>18</v>
      </c>
      <c r="C178" s="394"/>
      <c r="D178" s="378" t="s">
        <v>475</v>
      </c>
      <c r="E178" s="378"/>
      <c r="F178" s="378"/>
      <c r="G178" s="378"/>
      <c r="H178" s="378" t="str">
        <f>RIGHT(OTP_conf_main_reg!J29,LEN(OTP_conf_main_reg!J29)-FIND("-",OTP_conf_main_reg!J29,1))</f>
        <v xml:space="preserve"> 2.5V</v>
      </c>
      <c r="I178" s="378"/>
      <c r="J178" s="378"/>
      <c r="K178" s="1"/>
    </row>
    <row r="179" spans="1:11" x14ac:dyDescent="0.25">
      <c r="A179" s="115"/>
      <c r="B179" s="394"/>
      <c r="C179" s="394"/>
      <c r="D179" s="378" t="s">
        <v>477</v>
      </c>
      <c r="E179" s="378"/>
      <c r="F179" s="378"/>
      <c r="G179" s="378"/>
      <c r="H179" s="378" t="str">
        <f>RIGHT(OTP_conf_main_reg!I29,LEN(OTP_conf_main_reg!I29)-FIND("-",OTP_conf_main_reg!I29,1))</f>
        <v xml:space="preserve"> 400mA</v>
      </c>
      <c r="I179" s="378"/>
      <c r="J179" s="378"/>
      <c r="K179" s="1"/>
    </row>
    <row r="180" spans="1:11" x14ac:dyDescent="0.25">
      <c r="A180" s="115"/>
      <c r="B180" s="394"/>
      <c r="C180" s="394"/>
      <c r="D180" s="378" t="s">
        <v>496</v>
      </c>
      <c r="E180" s="378"/>
      <c r="F180" s="378"/>
      <c r="G180" s="378"/>
      <c r="H180" s="378" t="str">
        <f>RIGHT(OTP_conf_main_reg!K45,LEN(OTP_conf_main_reg!K45)-FIND("-",OTP_conf_main_reg!K45,1))</f>
        <v xml:space="preserve"> LDO1 Shutdown</v>
      </c>
      <c r="I180" s="378"/>
      <c r="J180" s="378"/>
      <c r="K180" s="1"/>
    </row>
    <row r="181" spans="1:11" ht="24.95" customHeight="1" x14ac:dyDescent="0.25">
      <c r="A181" s="115"/>
      <c r="B181" s="394"/>
      <c r="C181" s="394"/>
      <c r="D181" s="378" t="s">
        <v>497</v>
      </c>
      <c r="E181" s="378"/>
      <c r="F181" s="378"/>
      <c r="G181" s="378"/>
      <c r="H181" s="379" t="str">
        <f>RIGHT(OTP_conf_main_reg!J33,LEN(OTP_conf_main_reg!J33)-FIND("-",OTP_conf_main_reg!J33,1))</f>
        <v xml:space="preserve"> Regulator does not Start (Enabled by SPI/I2C)</v>
      </c>
      <c r="I181" s="379"/>
      <c r="J181" s="379"/>
      <c r="K181" s="1"/>
    </row>
    <row r="182" spans="1:11" x14ac:dyDescent="0.25">
      <c r="A182" s="115"/>
      <c r="B182" s="394" t="s">
        <v>17</v>
      </c>
      <c r="C182" s="394"/>
      <c r="D182" s="378" t="s">
        <v>475</v>
      </c>
      <c r="E182" s="378"/>
      <c r="F182" s="378"/>
      <c r="G182" s="378"/>
      <c r="H182" s="378" t="str">
        <f>RIGHT(OTP_conf_main_reg!F29,LEN(OTP_conf_main_reg!F29)-FIND("-",OTP_conf_main_reg!F29,1))</f>
        <v xml:space="preserve"> 3.3V</v>
      </c>
      <c r="I182" s="378"/>
      <c r="J182" s="378"/>
      <c r="K182" s="1"/>
    </row>
    <row r="183" spans="1:11" x14ac:dyDescent="0.25">
      <c r="A183" s="115"/>
      <c r="B183" s="394"/>
      <c r="C183" s="394"/>
      <c r="D183" s="378" t="s">
        <v>477</v>
      </c>
      <c r="E183" s="378"/>
      <c r="F183" s="378"/>
      <c r="G183" s="378"/>
      <c r="H183" s="378" t="str">
        <f>RIGHT(OTP_conf_main_reg!E29,LEN(OTP_conf_main_reg!E29)-FIND("-",OTP_conf_main_reg!E29,1))</f>
        <v xml:space="preserve"> 150mA</v>
      </c>
      <c r="I183" s="378"/>
      <c r="J183" s="378"/>
      <c r="K183" s="1"/>
    </row>
    <row r="184" spans="1:11" x14ac:dyDescent="0.25">
      <c r="A184" s="115"/>
      <c r="B184" s="394"/>
      <c r="C184" s="394"/>
      <c r="D184" s="378" t="s">
        <v>496</v>
      </c>
      <c r="E184" s="378"/>
      <c r="F184" s="378"/>
      <c r="G184" s="378"/>
      <c r="H184" s="378" t="str">
        <f>RIGHT(OTP_conf_main_reg!L45,LEN(OTP_conf_main_reg!L45)-FIND("-",OTP_conf_main_reg!L45,1))</f>
        <v xml:space="preserve"> LDO2 Shutdown</v>
      </c>
      <c r="I184" s="378"/>
      <c r="J184" s="378"/>
      <c r="K184" s="1"/>
    </row>
    <row r="185" spans="1:11" ht="24.95" customHeight="1" x14ac:dyDescent="0.25">
      <c r="A185" s="115"/>
      <c r="B185" s="394"/>
      <c r="C185" s="394"/>
      <c r="D185" s="378" t="s">
        <v>497</v>
      </c>
      <c r="E185" s="378"/>
      <c r="F185" s="378"/>
      <c r="G185" s="378"/>
      <c r="H185" s="379" t="str">
        <f>RIGHT(OTP_conf_main_reg!G33,LEN(OTP_conf_main_reg!G33)-FIND("-",OTP_conf_main_reg!G33,1))</f>
        <v xml:space="preserve"> Regulator does not Start (Enabled by SPI/I2C)</v>
      </c>
      <c r="I185" s="379"/>
      <c r="J185" s="379"/>
      <c r="K185" s="1"/>
    </row>
    <row r="186" spans="1:11" x14ac:dyDescent="0.25">
      <c r="A186" s="115"/>
      <c r="B186" s="394" t="s">
        <v>591</v>
      </c>
      <c r="C186" s="394"/>
      <c r="D186" s="395" t="s">
        <v>823</v>
      </c>
      <c r="E186" s="396"/>
      <c r="F186" s="396"/>
      <c r="G186" s="397"/>
      <c r="H186" s="378" t="str">
        <f>RIGHT(OTP_conf_main_reg!I35,LEN(OTP_conf_main_reg!I35)-FIND("-",OTP_conf_main_reg!I35,1))</f>
        <v xml:space="preserve"> 250µs</v>
      </c>
      <c r="I186" s="378"/>
      <c r="J186" s="378"/>
      <c r="K186" s="1"/>
    </row>
    <row r="187" spans="1:11" x14ac:dyDescent="0.25">
      <c r="A187" s="115"/>
      <c r="B187" s="394"/>
      <c r="C187" s="394"/>
      <c r="D187" s="378" t="s">
        <v>499</v>
      </c>
      <c r="E187" s="378"/>
      <c r="F187" s="378"/>
      <c r="G187" s="378"/>
      <c r="H187" s="395" t="str">
        <f>IF(OTP_conf_main_reg!L47="1 - Enabled",RIGHT(OTP_conf_main_reg!K47,LEN(OTP_conf_main_reg!K47)-FIND("-",OTP_conf_main_reg!K47,1)),"Disabled")</f>
        <v>Disabled</v>
      </c>
      <c r="I187" s="396"/>
      <c r="J187" s="397"/>
      <c r="K187" s="1"/>
    </row>
    <row r="188" spans="1:11" x14ac:dyDescent="0.25">
      <c r="A188" s="115"/>
      <c r="B188" s="394"/>
      <c r="C188" s="394"/>
      <c r="D188" s="378" t="s">
        <v>563</v>
      </c>
      <c r="E188" s="378"/>
      <c r="F188" s="378"/>
      <c r="G188" s="378"/>
      <c r="H188" s="378" t="str">
        <f>IF(RIGHT(OTP_conf_main_reg!J43,LEN(OTP_conf_main_reg!J43)-FIND("-",OTP_conf_main_reg!J43,1))=" enabled", "Yes","No")</f>
        <v>No</v>
      </c>
      <c r="I188" s="378"/>
      <c r="J188" s="378"/>
      <c r="K188" s="1"/>
    </row>
    <row r="189" spans="1:11" x14ac:dyDescent="0.25">
      <c r="A189" s="115"/>
      <c r="B189" s="394"/>
      <c r="C189" s="394"/>
      <c r="D189" s="378" t="s">
        <v>520</v>
      </c>
      <c r="E189" s="378"/>
      <c r="F189" s="378"/>
      <c r="G189" s="378"/>
      <c r="H189" s="378" t="str">
        <f>IF(OTP_conf_main_reg!J47="1 - Enabled",IF(OTP_conf_main_reg!I47="1 - Enabled","Infinite","x15"),"Disabled")</f>
        <v>Disabled</v>
      </c>
      <c r="I189" s="378"/>
      <c r="J189" s="378"/>
      <c r="K189" s="1"/>
    </row>
    <row r="190" spans="1:11" x14ac:dyDescent="0.25">
      <c r="A190" s="115"/>
      <c r="B190" s="394"/>
      <c r="C190" s="394"/>
      <c r="D190" s="378" t="s">
        <v>503</v>
      </c>
      <c r="E190" s="378"/>
      <c r="F190" s="378"/>
      <c r="G190" s="378"/>
      <c r="H190" s="378" t="str">
        <f>RIGHT(OTP_conf_main_reg!L49,LEN(OTP_conf_main_reg!L49)-FIND("-",OTP_conf_main_reg!L49,1))</f>
        <v xml:space="preserve"> 4.9V for Vpre &lt; 4.5V</v>
      </c>
      <c r="I190" s="378"/>
      <c r="J190" s="378"/>
      <c r="K190" s="1"/>
    </row>
    <row r="191" spans="1:11" x14ac:dyDescent="0.25">
      <c r="A191" s="115"/>
      <c r="B191" s="394"/>
      <c r="C191" s="394"/>
      <c r="D191" s="378" t="s">
        <v>295</v>
      </c>
      <c r="E191" s="378"/>
      <c r="F191" s="378"/>
      <c r="G191" s="378"/>
      <c r="H191" s="378" t="str">
        <f>RIGHT(OTP_conf_main_reg!J53,LEN(OTP_conf_main_reg!J53)-FIND("-",OTP_conf_main_reg!J53,1))</f>
        <v xml:space="preserve"> VPRE</v>
      </c>
      <c r="I191" s="378"/>
      <c r="J191" s="378"/>
      <c r="K191" s="1"/>
    </row>
    <row r="192" spans="1:11" x14ac:dyDescent="0.25">
      <c r="A192" s="115"/>
      <c r="B192" s="394"/>
      <c r="C192" s="394"/>
      <c r="D192" s="378" t="s">
        <v>501</v>
      </c>
      <c r="E192" s="378"/>
      <c r="F192" s="378"/>
      <c r="G192" s="378"/>
      <c r="H192" s="378" t="str">
        <f>"0x"&amp;BIN2HEX("01"&amp;LEFT(OTP_conf_main_reg!I51,4)&amp;"0")</f>
        <v>0x20</v>
      </c>
      <c r="I192" s="378"/>
      <c r="J192" s="378"/>
      <c r="K192" s="1"/>
    </row>
    <row r="193" spans="1:11" x14ac:dyDescent="0.25">
      <c r="A193" s="115"/>
      <c r="B193" s="394"/>
      <c r="C193" s="394"/>
      <c r="D193" s="378" t="s">
        <v>502</v>
      </c>
      <c r="E193" s="378"/>
      <c r="F193" s="378"/>
      <c r="G193" s="378"/>
      <c r="H193" s="378" t="str">
        <f>OTP_conf_main_reg!E55</f>
        <v>00000001</v>
      </c>
      <c r="I193" s="378"/>
      <c r="J193" s="378"/>
      <c r="K193" s="1"/>
    </row>
    <row r="194" spans="1:11" x14ac:dyDescent="0.25">
      <c r="A194" s="115"/>
      <c r="B194" s="115"/>
      <c r="C194" s="115"/>
      <c r="D194" s="115"/>
      <c r="E194" s="115"/>
      <c r="F194" s="115"/>
      <c r="G194" s="115"/>
      <c r="H194" s="115"/>
      <c r="I194" s="115"/>
      <c r="J194" s="115"/>
      <c r="K194" s="119"/>
    </row>
    <row r="195" spans="1:11" x14ac:dyDescent="0.25">
      <c r="A195" s="115"/>
      <c r="B195" s="155" t="s">
        <v>594</v>
      </c>
      <c r="C195" s="115"/>
      <c r="D195" s="115"/>
      <c r="E195" s="115"/>
      <c r="F195" s="115"/>
      <c r="G195" s="115"/>
      <c r="H195" s="115"/>
      <c r="I195" s="115"/>
      <c r="J195" s="115"/>
      <c r="K195" s="119"/>
    </row>
    <row r="196" spans="1:11" x14ac:dyDescent="0.25">
      <c r="A196" s="115"/>
      <c r="B196" s="377" t="s">
        <v>578</v>
      </c>
      <c r="C196" s="377"/>
      <c r="D196" s="377" t="s">
        <v>579</v>
      </c>
      <c r="E196" s="377"/>
      <c r="F196" s="377"/>
      <c r="G196" s="377"/>
      <c r="H196" s="377" t="s">
        <v>580</v>
      </c>
      <c r="I196" s="377"/>
      <c r="J196" s="377"/>
      <c r="K196" s="119"/>
    </row>
    <row r="197" spans="1:11" x14ac:dyDescent="0.25">
      <c r="A197" s="115"/>
      <c r="B197" s="394" t="s">
        <v>504</v>
      </c>
      <c r="C197" s="394"/>
      <c r="D197" s="378" t="s">
        <v>505</v>
      </c>
      <c r="E197" s="378"/>
      <c r="F197" s="378"/>
      <c r="G197" s="378"/>
      <c r="H197" s="378" t="str">
        <f>RIGHT(OTP_conf_failsafe_reg!E5,LEN(OTP_conf_failsafe_reg!E5)-FIND("-",OTP_conf_failsafe_reg!E5,1))</f>
        <v xml:space="preserve"> 1.2V</v>
      </c>
      <c r="I197" s="378"/>
      <c r="J197" s="378"/>
      <c r="K197" s="1"/>
    </row>
    <row r="198" spans="1:11" x14ac:dyDescent="0.25">
      <c r="A198" s="115"/>
      <c r="B198" s="394"/>
      <c r="C198" s="394"/>
      <c r="D198" s="378" t="s">
        <v>506</v>
      </c>
      <c r="E198" s="378"/>
      <c r="F198" s="378"/>
      <c r="G198" s="378"/>
      <c r="H198" s="378" t="str">
        <f>RIGHT(OTP_conf_failsafe_reg!I7,LEN(OTP_conf_failsafe_reg!I7)-FIND("-",OTP_conf_failsafe_reg!I7,1))</f>
        <v xml:space="preserve"> 112%</v>
      </c>
      <c r="I198" s="378"/>
      <c r="J198" s="378"/>
      <c r="K198" s="1"/>
    </row>
    <row r="199" spans="1:11" x14ac:dyDescent="0.25">
      <c r="A199" s="115"/>
      <c r="B199" s="394"/>
      <c r="C199" s="394"/>
      <c r="D199" s="378" t="s">
        <v>507</v>
      </c>
      <c r="E199" s="378"/>
      <c r="F199" s="378"/>
      <c r="G199" s="378"/>
      <c r="H199" s="378" t="str">
        <f>RIGHT(OTP_conf_failsafe_reg!I15,LEN(OTP_conf_failsafe_reg!I15)-FIND("-",OTP_conf_failsafe_reg!I15,1))</f>
        <v xml:space="preserve"> 88%</v>
      </c>
      <c r="I199" s="378"/>
      <c r="J199" s="378"/>
      <c r="K199" s="1"/>
    </row>
    <row r="200" spans="1:11" x14ac:dyDescent="0.25">
      <c r="A200" s="115"/>
      <c r="B200" s="394"/>
      <c r="C200" s="394"/>
      <c r="D200" s="378" t="s">
        <v>558</v>
      </c>
      <c r="E200" s="378"/>
      <c r="F200" s="378"/>
      <c r="G200" s="378"/>
      <c r="H200" s="378" t="str">
        <f>RIGHT(OTP_conf_failsafe_reg!I29,LEN(OTP_conf_failsafe_reg!I29)-FIND("-",OTP_conf_failsafe_reg!I29,1))</f>
        <v xml:space="preserve"> 45µs</v>
      </c>
      <c r="I200" s="378"/>
      <c r="J200" s="378"/>
      <c r="K200" s="1"/>
    </row>
    <row r="201" spans="1:11" x14ac:dyDescent="0.25">
      <c r="A201" s="115"/>
      <c r="B201" s="394"/>
      <c r="C201" s="394"/>
      <c r="D201" s="378" t="s">
        <v>559</v>
      </c>
      <c r="E201" s="378"/>
      <c r="F201" s="378"/>
      <c r="G201" s="378"/>
      <c r="H201" s="378" t="str">
        <f>RIGHT(OTP_conf_failsafe_reg!G29,LEN(OTP_conf_failsafe_reg!G29)-FIND("-",OTP_conf_failsafe_reg!G29,1))</f>
        <v xml:space="preserve"> 40µs</v>
      </c>
      <c r="I201" s="378"/>
      <c r="J201" s="378"/>
      <c r="K201" s="1"/>
    </row>
    <row r="202" spans="1:11" x14ac:dyDescent="0.25">
      <c r="A202" s="115"/>
      <c r="B202" s="394"/>
      <c r="C202" s="394"/>
      <c r="D202" s="378" t="s">
        <v>508</v>
      </c>
      <c r="E202" s="378"/>
      <c r="F202" s="378"/>
      <c r="G202" s="378"/>
      <c r="H202" s="378" t="str">
        <f>RIGHT(OTP_conf_failsafe_reg!H9,LEN(OTP_conf_failsafe_reg!H9)-FIND("-",OTP_conf_failsafe_reg!H9,1))</f>
        <v xml:space="preserve"> 16 steps available</v>
      </c>
      <c r="I202" s="378"/>
      <c r="J202" s="378"/>
      <c r="K202" s="1"/>
    </row>
    <row r="203" spans="1:11" x14ac:dyDescent="0.25">
      <c r="A203" s="115"/>
      <c r="B203" s="1"/>
      <c r="C203" s="1"/>
      <c r="D203" s="1"/>
      <c r="E203" s="1"/>
      <c r="F203" s="1"/>
      <c r="G203" s="1"/>
      <c r="H203" s="1"/>
      <c r="I203" s="1"/>
      <c r="J203" s="1"/>
      <c r="K203" s="1"/>
    </row>
    <row r="204" spans="1:11" x14ac:dyDescent="0.25">
      <c r="A204" s="115"/>
      <c r="B204" s="1"/>
      <c r="C204" s="1"/>
      <c r="D204" s="1"/>
      <c r="E204" s="1"/>
      <c r="F204" s="1"/>
      <c r="G204" s="1"/>
      <c r="H204" s="1"/>
      <c r="I204" s="1"/>
      <c r="J204" s="1"/>
      <c r="K204" s="1"/>
    </row>
    <row r="205" spans="1:11" x14ac:dyDescent="0.25">
      <c r="A205" s="115"/>
      <c r="B205" s="152"/>
      <c r="C205" s="152"/>
      <c r="D205" s="153"/>
      <c r="E205" s="153"/>
      <c r="F205" s="153"/>
      <c r="G205" s="153"/>
      <c r="H205" s="153"/>
      <c r="I205" s="153"/>
      <c r="J205" s="153"/>
      <c r="K205" s="119"/>
    </row>
    <row r="206" spans="1:11" x14ac:dyDescent="0.25">
      <c r="A206" s="115"/>
      <c r="B206" s="152"/>
      <c r="C206" s="152"/>
      <c r="D206" s="153"/>
      <c r="E206" s="153"/>
      <c r="F206" s="153"/>
      <c r="G206" s="153"/>
      <c r="H206" s="153"/>
      <c r="I206" s="153"/>
      <c r="J206" s="153"/>
      <c r="K206" s="119"/>
    </row>
    <row r="207" spans="1:11" x14ac:dyDescent="0.25">
      <c r="A207" s="115"/>
      <c r="B207" s="115"/>
      <c r="C207" s="115"/>
      <c r="D207" s="115"/>
      <c r="E207" s="115"/>
      <c r="F207" s="115"/>
      <c r="G207" s="115"/>
      <c r="H207" s="115"/>
      <c r="I207" s="115"/>
      <c r="J207" s="115"/>
      <c r="K207" s="119"/>
    </row>
    <row r="208" spans="1:11" x14ac:dyDescent="0.25">
      <c r="A208" s="115"/>
      <c r="B208" s="115"/>
      <c r="C208" s="115"/>
      <c r="D208" s="115"/>
      <c r="E208" s="115"/>
      <c r="F208" s="115"/>
      <c r="G208" s="115"/>
      <c r="H208" s="115"/>
      <c r="I208" s="115"/>
      <c r="J208" s="115"/>
      <c r="K208" s="119"/>
    </row>
    <row r="209" spans="1:11" x14ac:dyDescent="0.25">
      <c r="A209" s="115"/>
      <c r="B209" s="115"/>
      <c r="C209" s="115"/>
      <c r="D209" s="115"/>
      <c r="E209" s="115"/>
      <c r="F209" s="115"/>
      <c r="G209" s="115"/>
      <c r="H209" s="115"/>
      <c r="I209" s="115"/>
      <c r="J209" s="115"/>
      <c r="K209" s="119"/>
    </row>
    <row r="210" spans="1:11" x14ac:dyDescent="0.25">
      <c r="A210" s="115"/>
      <c r="B210" s="115"/>
      <c r="C210" s="115"/>
      <c r="D210" s="115"/>
      <c r="E210" s="115"/>
      <c r="F210" s="115"/>
      <c r="G210" s="115"/>
      <c r="H210" s="115"/>
      <c r="I210" s="115"/>
      <c r="J210" s="115"/>
      <c r="K210" s="119"/>
    </row>
    <row r="211" spans="1:11" x14ac:dyDescent="0.25">
      <c r="A211" s="115"/>
      <c r="B211" s="115"/>
      <c r="C211" s="115"/>
      <c r="D211" s="115"/>
      <c r="E211" s="115"/>
      <c r="F211" s="115"/>
      <c r="G211" s="115"/>
      <c r="H211" s="115"/>
      <c r="I211" s="115"/>
      <c r="J211" s="115"/>
      <c r="K211" s="119"/>
    </row>
    <row r="212" spans="1:11" x14ac:dyDescent="0.25">
      <c r="A212" s="115"/>
      <c r="B212" s="115"/>
      <c r="C212" s="115"/>
      <c r="D212" s="115"/>
      <c r="E212" s="115"/>
      <c r="F212" s="115"/>
      <c r="G212" s="115"/>
      <c r="H212" s="115"/>
      <c r="I212" s="115"/>
      <c r="J212" s="115"/>
      <c r="K212" s="119"/>
    </row>
    <row r="213" spans="1:11" x14ac:dyDescent="0.25">
      <c r="A213" s="115"/>
      <c r="B213" s="115"/>
      <c r="C213" s="115"/>
      <c r="D213" s="115"/>
      <c r="E213" s="115"/>
      <c r="F213" s="115"/>
      <c r="G213" s="115"/>
      <c r="H213" s="115"/>
      <c r="I213" s="115"/>
      <c r="J213" s="115"/>
      <c r="K213" s="119"/>
    </row>
    <row r="214" spans="1:11" x14ac:dyDescent="0.25">
      <c r="A214" s="115"/>
      <c r="B214" s="155" t="s">
        <v>595</v>
      </c>
      <c r="C214" s="115"/>
      <c r="D214" s="115"/>
      <c r="E214" s="115"/>
      <c r="F214" s="115"/>
      <c r="G214" s="115"/>
      <c r="H214" s="115"/>
      <c r="I214" s="115"/>
      <c r="J214" s="115"/>
      <c r="K214" s="119"/>
    </row>
    <row r="215" spans="1:11" x14ac:dyDescent="0.25">
      <c r="A215" s="115"/>
      <c r="B215" s="377" t="s">
        <v>578</v>
      </c>
      <c r="C215" s="377"/>
      <c r="D215" s="377" t="s">
        <v>579</v>
      </c>
      <c r="E215" s="377"/>
      <c r="F215" s="377"/>
      <c r="G215" s="377"/>
      <c r="H215" s="377" t="s">
        <v>580</v>
      </c>
      <c r="I215" s="377"/>
      <c r="J215" s="377"/>
      <c r="K215" s="119"/>
    </row>
    <row r="216" spans="1:11" x14ac:dyDescent="0.25">
      <c r="A216" s="115"/>
      <c r="B216" s="394" t="s">
        <v>509</v>
      </c>
      <c r="C216" s="394"/>
      <c r="D216" s="378" t="s">
        <v>505</v>
      </c>
      <c r="E216" s="378"/>
      <c r="F216" s="378"/>
      <c r="G216" s="378"/>
      <c r="H216" s="378" t="str">
        <f>RIGHT(OTP_conf_failsafe_reg!G9,LEN(OTP_conf_failsafe_reg!G9)-FIND("-",OTP_conf_failsafe_reg!G9,1))</f>
        <v xml:space="preserve"> 3.3V</v>
      </c>
      <c r="I216" s="378"/>
      <c r="J216" s="378"/>
      <c r="K216" s="119"/>
    </row>
    <row r="217" spans="1:11" x14ac:dyDescent="0.25">
      <c r="A217" s="115"/>
      <c r="B217" s="394"/>
      <c r="C217" s="394"/>
      <c r="D217" s="378" t="s">
        <v>506</v>
      </c>
      <c r="E217" s="378"/>
      <c r="F217" s="378"/>
      <c r="G217" s="378"/>
      <c r="H217" s="378" t="str">
        <f>RIGHT(OTP_conf_failsafe_reg!E7,LEN(OTP_conf_failsafe_reg!E7)-FIND("-",OTP_conf_failsafe_reg!E7,1))</f>
        <v xml:space="preserve"> 112%</v>
      </c>
      <c r="I217" s="378"/>
      <c r="J217" s="378"/>
      <c r="K217" s="119"/>
    </row>
    <row r="218" spans="1:11" x14ac:dyDescent="0.25">
      <c r="A218" s="115"/>
      <c r="B218" s="394"/>
      <c r="C218" s="394"/>
      <c r="D218" s="378" t="s">
        <v>507</v>
      </c>
      <c r="E218" s="378"/>
      <c r="F218" s="378"/>
      <c r="G218" s="378"/>
      <c r="H218" s="378" t="str">
        <f>RIGHT(OTP_conf_failsafe_reg!E15,LEN(OTP_conf_failsafe_reg!E15)-FIND("-",OTP_conf_failsafe_reg!E15,1))</f>
        <v xml:space="preserve"> 88%</v>
      </c>
      <c r="I218" s="378"/>
      <c r="J218" s="378"/>
      <c r="K218" s="119"/>
    </row>
    <row r="219" spans="1:11" x14ac:dyDescent="0.25">
      <c r="A219" s="115"/>
      <c r="B219" s="394"/>
      <c r="C219" s="394"/>
      <c r="D219" s="378" t="s">
        <v>558</v>
      </c>
      <c r="E219" s="378"/>
      <c r="F219" s="378"/>
      <c r="G219" s="378"/>
      <c r="H219" s="378" t="str">
        <f>RIGHT(OTP_conf_failsafe_reg!L29,LEN(OTP_conf_failsafe_reg!L29)-FIND("-",OTP_conf_failsafe_reg!L29,1))</f>
        <v xml:space="preserve"> 45µs</v>
      </c>
      <c r="I219" s="378"/>
      <c r="J219" s="378"/>
      <c r="K219" s="119"/>
    </row>
    <row r="220" spans="1:11" x14ac:dyDescent="0.25">
      <c r="A220" s="115"/>
      <c r="B220" s="394"/>
      <c r="C220" s="394"/>
      <c r="D220" s="378" t="s">
        <v>559</v>
      </c>
      <c r="E220" s="378"/>
      <c r="F220" s="378"/>
      <c r="G220" s="378"/>
      <c r="H220" s="378" t="str">
        <f>RIGHT(OTP_conf_failsafe_reg!J29,LEN(OTP_conf_failsafe_reg!J29)-FIND("-",OTP_conf_failsafe_reg!J29,1))</f>
        <v xml:space="preserve"> 40µs</v>
      </c>
      <c r="I220" s="378"/>
      <c r="J220" s="378"/>
      <c r="K220" s="119"/>
    </row>
    <row r="221" spans="1:11" x14ac:dyDescent="0.25">
      <c r="A221" s="115"/>
      <c r="B221" s="394" t="s">
        <v>413</v>
      </c>
      <c r="C221" s="394"/>
      <c r="D221" s="378" t="s">
        <v>506</v>
      </c>
      <c r="E221" s="378"/>
      <c r="F221" s="378"/>
      <c r="G221" s="378"/>
      <c r="H221" s="378" t="str">
        <f>RIGHT(OTP_conf_failsafe_reg!I11,LEN(OTP_conf_failsafe_reg!I11)-FIND("-",OTP_conf_failsafe_reg!I11,1))</f>
        <v xml:space="preserve"> 107%</v>
      </c>
      <c r="I221" s="378"/>
      <c r="J221" s="378"/>
      <c r="K221" s="119"/>
    </row>
    <row r="222" spans="1:11" x14ac:dyDescent="0.25">
      <c r="A222" s="115"/>
      <c r="B222" s="394"/>
      <c r="C222" s="394"/>
      <c r="D222" s="378" t="s">
        <v>507</v>
      </c>
      <c r="E222" s="378"/>
      <c r="F222" s="378"/>
      <c r="G222" s="378"/>
      <c r="H222" s="378" t="str">
        <f>RIGHT(OTP_conf_failsafe_reg!I17,LEN(OTP_conf_failsafe_reg!I17)-FIND("-",OTP_conf_failsafe_reg!I17,1))</f>
        <v xml:space="preserve"> 88%</v>
      </c>
      <c r="I222" s="378"/>
      <c r="J222" s="378"/>
      <c r="K222" s="119"/>
    </row>
    <row r="223" spans="1:11" x14ac:dyDescent="0.25">
      <c r="A223" s="115"/>
      <c r="B223" s="394"/>
      <c r="C223" s="394"/>
      <c r="D223" s="378" t="s">
        <v>558</v>
      </c>
      <c r="E223" s="378"/>
      <c r="F223" s="378"/>
      <c r="G223" s="378"/>
      <c r="H223" s="378" t="str">
        <f>RIGHT(OTP_conf_failsafe_reg!L31,LEN(OTP_conf_failsafe_reg!L31)-FIND("-",OTP_conf_failsafe_reg!L31,1))</f>
        <v xml:space="preserve"> 45µs</v>
      </c>
      <c r="I223" s="378"/>
      <c r="J223" s="378"/>
      <c r="K223" s="119"/>
    </row>
    <row r="224" spans="1:11" x14ac:dyDescent="0.25">
      <c r="A224" s="115"/>
      <c r="B224" s="394"/>
      <c r="C224" s="394"/>
      <c r="D224" s="378" t="s">
        <v>559</v>
      </c>
      <c r="E224" s="378"/>
      <c r="F224" s="378"/>
      <c r="G224" s="378"/>
      <c r="H224" s="378" t="str">
        <f>RIGHT(OTP_conf_failsafe_reg!J31,LEN(OTP_conf_failsafe_reg!J31)-FIND("-",OTP_conf_failsafe_reg!J31,1))</f>
        <v xml:space="preserve"> 40µs</v>
      </c>
      <c r="I224" s="378"/>
      <c r="J224" s="378"/>
      <c r="K224" s="119"/>
    </row>
    <row r="225" spans="1:11" x14ac:dyDescent="0.25">
      <c r="A225" s="115"/>
      <c r="B225" s="394" t="s">
        <v>411</v>
      </c>
      <c r="C225" s="394"/>
      <c r="D225" s="378" t="s">
        <v>506</v>
      </c>
      <c r="E225" s="378"/>
      <c r="F225" s="378"/>
      <c r="G225" s="378"/>
      <c r="H225" s="378" t="str">
        <f>RIGHT(OTP_conf_failsafe_reg!E11,LEN(OTP_conf_failsafe_reg!E11)-FIND("-",OTP_conf_failsafe_reg!E11,1))</f>
        <v xml:space="preserve"> 105.5%</v>
      </c>
      <c r="I225" s="378"/>
      <c r="J225" s="378"/>
      <c r="K225" s="119"/>
    </row>
    <row r="226" spans="1:11" x14ac:dyDescent="0.25">
      <c r="A226" s="115"/>
      <c r="B226" s="394"/>
      <c r="C226" s="394"/>
      <c r="D226" s="378" t="s">
        <v>507</v>
      </c>
      <c r="E226" s="378"/>
      <c r="F226" s="378"/>
      <c r="G226" s="378"/>
      <c r="H226" s="378" t="str">
        <f>RIGHT(OTP_conf_failsafe_reg!E17,LEN(OTP_conf_failsafe_reg!E17)-FIND("-",OTP_conf_failsafe_reg!E17,1))</f>
        <v xml:space="preserve"> 88%</v>
      </c>
      <c r="I226" s="378"/>
      <c r="J226" s="378"/>
      <c r="K226" s="119"/>
    </row>
    <row r="227" spans="1:11" x14ac:dyDescent="0.25">
      <c r="A227" s="115"/>
      <c r="B227" s="394"/>
      <c r="C227" s="394"/>
      <c r="D227" s="378" t="s">
        <v>558</v>
      </c>
      <c r="E227" s="378"/>
      <c r="F227" s="378"/>
      <c r="G227" s="378"/>
      <c r="H227" s="378" t="str">
        <f>RIGHT(OTP_conf_failsafe_reg!L31,LEN(OTP_conf_failsafe_reg!L31)-FIND("-",OTP_conf_failsafe_reg!L31,1))</f>
        <v xml:space="preserve"> 45µs</v>
      </c>
      <c r="I227" s="378"/>
      <c r="J227" s="378"/>
      <c r="K227" s="119"/>
    </row>
    <row r="228" spans="1:11" x14ac:dyDescent="0.25">
      <c r="A228" s="115"/>
      <c r="B228" s="394"/>
      <c r="C228" s="394"/>
      <c r="D228" s="378" t="s">
        <v>559</v>
      </c>
      <c r="E228" s="378"/>
      <c r="F228" s="378"/>
      <c r="G228" s="378"/>
      <c r="H228" s="378" t="str">
        <f>RIGHT(OTP_conf_failsafe_reg!J31,LEN(OTP_conf_failsafe_reg!J31)-FIND("-",OTP_conf_failsafe_reg!J31,1))</f>
        <v xml:space="preserve"> 40µs</v>
      </c>
      <c r="I228" s="378"/>
      <c r="J228" s="378"/>
      <c r="K228" s="119"/>
    </row>
    <row r="229" spans="1:11" x14ac:dyDescent="0.25">
      <c r="A229" s="115"/>
      <c r="B229" s="394" t="s">
        <v>409</v>
      </c>
      <c r="C229" s="394"/>
      <c r="D229" s="378" t="s">
        <v>506</v>
      </c>
      <c r="E229" s="378"/>
      <c r="F229" s="378"/>
      <c r="G229" s="378"/>
      <c r="H229" s="378" t="str">
        <f>RIGHT(OTP_conf_failsafe_reg!I13,LEN(OTP_conf_failsafe_reg!I13)-FIND("-",OTP_conf_failsafe_reg!I13,1))</f>
        <v xml:space="preserve"> 112%</v>
      </c>
      <c r="I229" s="378"/>
      <c r="J229" s="378"/>
      <c r="K229" s="119"/>
    </row>
    <row r="230" spans="1:11" x14ac:dyDescent="0.25">
      <c r="A230" s="115"/>
      <c r="B230" s="394"/>
      <c r="C230" s="394"/>
      <c r="D230" s="378" t="s">
        <v>507</v>
      </c>
      <c r="E230" s="378"/>
      <c r="F230" s="378"/>
      <c r="G230" s="378"/>
      <c r="H230" s="378" t="str">
        <f>RIGHT(OTP_conf_failsafe_reg!I19,LEN(OTP_conf_failsafe_reg!I19)-FIND("-",OTP_conf_failsafe_reg!I19,1))</f>
        <v xml:space="preserve"> 88%</v>
      </c>
      <c r="I230" s="378"/>
      <c r="J230" s="378"/>
      <c r="K230" s="119"/>
    </row>
    <row r="231" spans="1:11" x14ac:dyDescent="0.25">
      <c r="A231" s="115"/>
      <c r="B231" s="394"/>
      <c r="C231" s="394"/>
      <c r="D231" s="378" t="s">
        <v>558</v>
      </c>
      <c r="E231" s="378"/>
      <c r="F231" s="378"/>
      <c r="G231" s="378"/>
      <c r="H231" s="378" t="str">
        <f>RIGHT(OTP_conf_failsafe_reg!L31,LEN(OTP_conf_failsafe_reg!L31)-FIND("-",OTP_conf_failsafe_reg!L31,1))</f>
        <v xml:space="preserve"> 45µs</v>
      </c>
      <c r="I231" s="378"/>
      <c r="J231" s="378"/>
      <c r="K231" s="119"/>
    </row>
    <row r="232" spans="1:11" x14ac:dyDescent="0.25">
      <c r="A232" s="115"/>
      <c r="B232" s="394"/>
      <c r="C232" s="394"/>
      <c r="D232" s="378" t="s">
        <v>559</v>
      </c>
      <c r="E232" s="378"/>
      <c r="F232" s="378"/>
      <c r="G232" s="378"/>
      <c r="H232" s="378" t="str">
        <f>RIGHT(OTP_conf_failsafe_reg!J31,LEN(OTP_conf_failsafe_reg!J31)-FIND("-",OTP_conf_failsafe_reg!J31,1))</f>
        <v xml:space="preserve"> 40µs</v>
      </c>
      <c r="I232" s="378"/>
      <c r="J232" s="378"/>
      <c r="K232" s="119"/>
    </row>
    <row r="233" spans="1:11" x14ac:dyDescent="0.25">
      <c r="A233" s="115"/>
      <c r="B233" s="394" t="s">
        <v>407</v>
      </c>
      <c r="C233" s="394"/>
      <c r="D233" s="378" t="s">
        <v>506</v>
      </c>
      <c r="E233" s="378"/>
      <c r="F233" s="378"/>
      <c r="G233" s="378"/>
      <c r="H233" s="378" t="str">
        <f>RIGHT(OTP_conf_failsafe_reg!E13,LEN(OTP_conf_failsafe_reg!E13)-FIND("-",OTP_conf_failsafe_reg!E13,1))</f>
        <v xml:space="preserve"> 112%</v>
      </c>
      <c r="I233" s="378"/>
      <c r="J233" s="378"/>
      <c r="K233" s="1"/>
    </row>
    <row r="234" spans="1:11" x14ac:dyDescent="0.25">
      <c r="A234" s="115"/>
      <c r="B234" s="394"/>
      <c r="C234" s="394"/>
      <c r="D234" s="378" t="s">
        <v>507</v>
      </c>
      <c r="E234" s="378"/>
      <c r="F234" s="378"/>
      <c r="G234" s="378"/>
      <c r="H234" s="378" t="str">
        <f>RIGHT(OTP_conf_failsafe_reg!E19,LEN(OTP_conf_failsafe_reg!E19)-FIND("-",OTP_conf_failsafe_reg!E19,1))</f>
        <v xml:space="preserve"> 88%</v>
      </c>
      <c r="I234" s="378"/>
      <c r="J234" s="378"/>
      <c r="K234" s="1"/>
    </row>
    <row r="235" spans="1:11" x14ac:dyDescent="0.25">
      <c r="A235" s="115"/>
      <c r="B235" s="394"/>
      <c r="C235" s="394"/>
      <c r="D235" s="378" t="s">
        <v>558</v>
      </c>
      <c r="E235" s="378"/>
      <c r="F235" s="378"/>
      <c r="G235" s="378"/>
      <c r="H235" s="378" t="str">
        <f>RIGHT(OTP_conf_failsafe_reg!L31,LEN(OTP_conf_failsafe_reg!L31)-FIND("-",OTP_conf_failsafe_reg!L31,1))</f>
        <v xml:space="preserve"> 45µs</v>
      </c>
      <c r="I235" s="378"/>
      <c r="J235" s="378"/>
      <c r="K235" s="1"/>
    </row>
    <row r="236" spans="1:11" x14ac:dyDescent="0.25">
      <c r="A236" s="115"/>
      <c r="B236" s="394"/>
      <c r="C236" s="394"/>
      <c r="D236" s="378" t="s">
        <v>559</v>
      </c>
      <c r="E236" s="378"/>
      <c r="F236" s="378"/>
      <c r="G236" s="378"/>
      <c r="H236" s="378" t="str">
        <f>RIGHT(OTP_conf_failsafe_reg!J31,LEN(OTP_conf_failsafe_reg!J31)-FIND("-",OTP_conf_failsafe_reg!J31,1))</f>
        <v xml:space="preserve"> 40µs</v>
      </c>
      <c r="I236" s="378"/>
      <c r="J236" s="378"/>
      <c r="K236" s="1"/>
    </row>
    <row r="237" spans="1:11" x14ac:dyDescent="0.25">
      <c r="A237" s="115"/>
      <c r="B237" s="394" t="s">
        <v>14</v>
      </c>
      <c r="C237" s="394"/>
      <c r="D237" s="378" t="s">
        <v>504</v>
      </c>
      <c r="E237" s="378"/>
      <c r="F237" s="378"/>
      <c r="G237" s="378"/>
      <c r="H237" s="378" t="str">
        <f>IF(RIGHT(OTP_conf_failsafe_reg!L21,LEN(OTP_conf_failsafe_reg!L21)-FIND("-",OTP_conf_failsafe_reg!L21,1))=" Assigned", "Yes","No")</f>
        <v>No</v>
      </c>
      <c r="I237" s="378"/>
      <c r="J237" s="378"/>
      <c r="K237" s="1"/>
    </row>
    <row r="238" spans="1:11" x14ac:dyDescent="0.25">
      <c r="A238" s="115"/>
      <c r="B238" s="394"/>
      <c r="C238" s="394"/>
      <c r="D238" s="378" t="s">
        <v>509</v>
      </c>
      <c r="E238" s="378"/>
      <c r="F238" s="378"/>
      <c r="G238" s="378"/>
      <c r="H238" s="378" t="str">
        <f>IF(RIGHT(OTP_conf_failsafe_reg!K21,LEN(OTP_conf_failsafe_reg!K21)-FIND("-",OTP_conf_failsafe_reg!K21,1))=" Assigned", "Yes","No")</f>
        <v>No</v>
      </c>
      <c r="I238" s="378"/>
      <c r="J238" s="378"/>
      <c r="K238" s="1"/>
    </row>
    <row r="239" spans="1:11" x14ac:dyDescent="0.25">
      <c r="A239" s="115"/>
      <c r="B239" s="394"/>
      <c r="C239" s="394"/>
      <c r="D239" s="378" t="s">
        <v>413</v>
      </c>
      <c r="E239" s="378"/>
      <c r="F239" s="378"/>
      <c r="G239" s="378"/>
      <c r="H239" s="378" t="str">
        <f>IF(RIGHT(OTP_conf_failsafe_reg!J21,LEN(OTP_conf_failsafe_reg!J21)-FIND("-",OTP_conf_failsafe_reg!J21,1))=" Assigned", "Yes","No")</f>
        <v>No</v>
      </c>
      <c r="I239" s="378"/>
      <c r="J239" s="378"/>
      <c r="K239" s="1"/>
    </row>
    <row r="240" spans="1:11" x14ac:dyDescent="0.25">
      <c r="A240" s="115"/>
      <c r="B240" s="394"/>
      <c r="C240" s="394"/>
      <c r="D240" s="378" t="s">
        <v>411</v>
      </c>
      <c r="E240" s="378"/>
      <c r="F240" s="378"/>
      <c r="G240" s="378"/>
      <c r="H240" s="378" t="str">
        <f>IF(RIGHT(OTP_conf_failsafe_reg!I21,LEN(OTP_conf_failsafe_reg!I21)-FIND("-",OTP_conf_failsafe_reg!I21,1))=" Assigned", "Yes","No")</f>
        <v>No</v>
      </c>
      <c r="I240" s="378"/>
      <c r="J240" s="378"/>
      <c r="K240" s="1"/>
    </row>
    <row r="241" spans="1:13" x14ac:dyDescent="0.25">
      <c r="A241" s="115"/>
      <c r="B241" s="394"/>
      <c r="C241" s="394"/>
      <c r="D241" s="378" t="s">
        <v>409</v>
      </c>
      <c r="E241" s="378"/>
      <c r="F241" s="378"/>
      <c r="G241" s="378"/>
      <c r="H241" s="378" t="str">
        <f>IF(RIGHT(OTP_conf_failsafe_reg!H21,LEN(OTP_conf_failsafe_reg!H21)-FIND("-",OTP_conf_failsafe_reg!H21,1))=" Assigned", "Yes","No")</f>
        <v>No</v>
      </c>
      <c r="I241" s="378"/>
      <c r="J241" s="378"/>
      <c r="K241" s="1"/>
    </row>
    <row r="242" spans="1:13" x14ac:dyDescent="0.25">
      <c r="A242" s="115"/>
      <c r="B242" s="394"/>
      <c r="C242" s="394"/>
      <c r="D242" s="378" t="s">
        <v>407</v>
      </c>
      <c r="E242" s="378"/>
      <c r="F242" s="378"/>
      <c r="G242" s="378"/>
      <c r="H242" s="378" t="str">
        <f>IF(RIGHT(OTP_conf_failsafe_reg!G21,LEN(OTP_conf_failsafe_reg!G21)-FIND("-",OTP_conf_failsafe_reg!G21,1))=" Assigned", "Yes","No")</f>
        <v>No</v>
      </c>
      <c r="I242" s="378"/>
      <c r="J242" s="378"/>
      <c r="K242" s="1"/>
    </row>
    <row r="243" spans="1:13" x14ac:dyDescent="0.25">
      <c r="A243" s="115"/>
      <c r="B243" s="394"/>
      <c r="C243" s="394"/>
      <c r="D243" s="378" t="s">
        <v>511</v>
      </c>
      <c r="E243" s="378"/>
      <c r="F243" s="378"/>
      <c r="G243" s="378"/>
      <c r="H243" s="378" t="str">
        <f>IF(RIGHT(OTP_conf_failsafe_reg!F21,LEN(OTP_conf_failsafe_reg!F21)-FIND("-",OTP_conf_failsafe_reg!F21,1))=" Assigned", "Yes","No")</f>
        <v>Yes</v>
      </c>
      <c r="I243" s="378"/>
      <c r="J243" s="378"/>
      <c r="K243" s="1"/>
    </row>
    <row r="244" spans="1:13" x14ac:dyDescent="0.25">
      <c r="A244" s="115"/>
      <c r="B244" s="394" t="s">
        <v>510</v>
      </c>
      <c r="C244" s="394"/>
      <c r="D244" s="378" t="s">
        <v>504</v>
      </c>
      <c r="E244" s="378"/>
      <c r="F244" s="378"/>
      <c r="G244" s="378"/>
      <c r="H244" s="378" t="str">
        <f>IF(RIGHT(OTP_conf_failsafe_reg!L23,LEN(OTP_conf_failsafe_reg!L23)-FIND("-",OTP_conf_failsafe_reg!L23,1))=" Assigned", "Yes","No")</f>
        <v>No</v>
      </c>
      <c r="I244" s="378"/>
      <c r="J244" s="378"/>
      <c r="K244" s="1"/>
    </row>
    <row r="245" spans="1:13" x14ac:dyDescent="0.25">
      <c r="A245" s="115"/>
      <c r="B245" s="394"/>
      <c r="C245" s="394"/>
      <c r="D245" s="378" t="s">
        <v>509</v>
      </c>
      <c r="E245" s="378"/>
      <c r="F245" s="378"/>
      <c r="G245" s="378"/>
      <c r="H245" s="378" t="str">
        <f>IF(RIGHT(OTP_conf_failsafe_reg!K23,LEN(OTP_conf_failsafe_reg!K23)-FIND("-",OTP_conf_failsafe_reg!K23,1))=" Assigned", "Yes","No")</f>
        <v>No</v>
      </c>
      <c r="I245" s="378"/>
      <c r="J245" s="378"/>
      <c r="K245" s="1"/>
    </row>
    <row r="246" spans="1:13" x14ac:dyDescent="0.25">
      <c r="A246" s="115"/>
      <c r="B246" s="394"/>
      <c r="C246" s="394"/>
      <c r="D246" s="378" t="s">
        <v>413</v>
      </c>
      <c r="E246" s="378"/>
      <c r="F246" s="378"/>
      <c r="G246" s="378"/>
      <c r="H246" s="378" t="str">
        <f>IF(RIGHT(OTP_conf_failsafe_reg!J23,LEN(OTP_conf_failsafe_reg!J23)-FIND("-",OTP_conf_failsafe_reg!J23,1))=" Assigned", "Yes","No")</f>
        <v>No</v>
      </c>
      <c r="I246" s="378"/>
      <c r="J246" s="378"/>
      <c r="K246" s="1"/>
      <c r="M246" s="1"/>
    </row>
    <row r="247" spans="1:13" x14ac:dyDescent="0.25">
      <c r="A247" s="115"/>
      <c r="B247" s="394"/>
      <c r="C247" s="394"/>
      <c r="D247" s="378" t="s">
        <v>411</v>
      </c>
      <c r="E247" s="378"/>
      <c r="F247" s="378"/>
      <c r="G247" s="378"/>
      <c r="H247" s="378" t="str">
        <f>IF(RIGHT(OTP_conf_failsafe_reg!I23,LEN(OTP_conf_failsafe_reg!I23)-FIND("-",OTP_conf_failsafe_reg!I23,1))=" Assigned", "Yes","No")</f>
        <v>No</v>
      </c>
      <c r="I247" s="378"/>
      <c r="J247" s="378"/>
      <c r="K247" s="1"/>
      <c r="M247" s="1"/>
    </row>
    <row r="248" spans="1:13" x14ac:dyDescent="0.25">
      <c r="A248" s="115"/>
      <c r="B248" s="394"/>
      <c r="C248" s="394"/>
      <c r="D248" s="378" t="s">
        <v>409</v>
      </c>
      <c r="E248" s="378"/>
      <c r="F248" s="378"/>
      <c r="G248" s="378"/>
      <c r="H248" s="378" t="str">
        <f>IF(RIGHT(OTP_conf_failsafe_reg!H23,LEN(OTP_conf_failsafe_reg!H23)-FIND("-",OTP_conf_failsafe_reg!H23,1))=" Assigned", "Yes","No")</f>
        <v>No</v>
      </c>
      <c r="I248" s="378"/>
      <c r="J248" s="378"/>
      <c r="K248" s="1"/>
      <c r="M248" s="1"/>
    </row>
    <row r="249" spans="1:13" x14ac:dyDescent="0.25">
      <c r="A249" s="115"/>
      <c r="B249" s="394"/>
      <c r="C249" s="394"/>
      <c r="D249" s="378" t="s">
        <v>407</v>
      </c>
      <c r="E249" s="378"/>
      <c r="F249" s="378"/>
      <c r="G249" s="378"/>
      <c r="H249" s="378" t="str">
        <f>IF(RIGHT(OTP_conf_failsafe_reg!G23,LEN(OTP_conf_failsafe_reg!G23)-FIND("-",OTP_conf_failsafe_reg!G23,1))=" Assigned", "Yes","No")</f>
        <v>No</v>
      </c>
      <c r="I249" s="378"/>
      <c r="J249" s="378"/>
      <c r="K249" s="1"/>
      <c r="M249" s="1"/>
    </row>
    <row r="250" spans="1:13" x14ac:dyDescent="0.25">
      <c r="A250" s="115"/>
      <c r="B250" s="1"/>
      <c r="C250" s="1"/>
      <c r="D250" s="1"/>
      <c r="E250" s="1"/>
      <c r="F250" s="1"/>
      <c r="G250" s="1"/>
      <c r="H250" s="1"/>
      <c r="I250" s="1"/>
      <c r="J250" s="1"/>
      <c r="K250" s="1"/>
      <c r="M250" s="1"/>
    </row>
    <row r="251" spans="1:13" x14ac:dyDescent="0.25">
      <c r="A251" s="115"/>
      <c r="B251" s="1"/>
      <c r="C251" s="1"/>
      <c r="D251" s="1"/>
      <c r="E251" s="1"/>
      <c r="F251" s="1"/>
      <c r="G251" s="1"/>
      <c r="H251" s="1"/>
      <c r="I251" s="1"/>
      <c r="J251" s="1"/>
      <c r="K251" s="1"/>
      <c r="M251" s="1"/>
    </row>
    <row r="252" spans="1:13" x14ac:dyDescent="0.25">
      <c r="A252" s="115"/>
      <c r="B252" s="1"/>
      <c r="C252" s="1"/>
      <c r="D252" s="1"/>
      <c r="E252" s="1"/>
      <c r="F252" s="1"/>
      <c r="G252" s="1"/>
      <c r="H252" s="1"/>
      <c r="I252" s="1"/>
      <c r="J252" s="1"/>
      <c r="K252" s="1"/>
      <c r="M252" s="1"/>
    </row>
    <row r="253" spans="1:13" x14ac:dyDescent="0.25">
      <c r="A253" s="115"/>
      <c r="B253" s="1"/>
      <c r="C253" s="1"/>
      <c r="D253" s="1"/>
      <c r="E253" s="1"/>
      <c r="F253" s="1"/>
      <c r="G253" s="1"/>
      <c r="H253" s="1"/>
      <c r="I253" s="1"/>
      <c r="J253" s="1"/>
      <c r="K253" s="1"/>
      <c r="M253" s="1"/>
    </row>
    <row r="254" spans="1:13" x14ac:dyDescent="0.25">
      <c r="A254" s="115"/>
      <c r="B254" s="1"/>
      <c r="C254" s="1"/>
      <c r="D254" s="1"/>
      <c r="E254" s="1"/>
      <c r="F254" s="1"/>
      <c r="G254" s="1"/>
      <c r="H254" s="1"/>
      <c r="I254" s="1"/>
      <c r="J254" s="1"/>
      <c r="K254" s="1"/>
      <c r="M254" s="1"/>
    </row>
    <row r="255" spans="1:13" x14ac:dyDescent="0.25">
      <c r="A255" s="115"/>
      <c r="B255" s="1"/>
      <c r="C255" s="1"/>
      <c r="D255" s="1"/>
      <c r="E255" s="1"/>
      <c r="F255" s="1"/>
      <c r="G255" s="1"/>
      <c r="H255" s="1"/>
      <c r="I255" s="1"/>
      <c r="J255" s="1"/>
      <c r="K255" s="1"/>
      <c r="M255" s="1"/>
    </row>
    <row r="256" spans="1:13" x14ac:dyDescent="0.25">
      <c r="A256" s="115"/>
      <c r="B256" s="1"/>
      <c r="C256" s="1"/>
      <c r="D256" s="1"/>
      <c r="E256" s="1"/>
      <c r="F256" s="1"/>
      <c r="G256" s="1"/>
      <c r="H256" s="1"/>
      <c r="I256" s="1"/>
      <c r="J256" s="1"/>
      <c r="K256" s="1"/>
      <c r="M256" s="1"/>
    </row>
    <row r="257" spans="1:13" x14ac:dyDescent="0.25">
      <c r="A257" s="115"/>
      <c r="B257" s="1"/>
      <c r="C257" s="1"/>
      <c r="D257" s="1"/>
      <c r="E257" s="1"/>
      <c r="F257" s="1"/>
      <c r="G257" s="1"/>
      <c r="H257" s="1"/>
      <c r="I257" s="1"/>
      <c r="J257" s="1"/>
      <c r="K257" s="1"/>
      <c r="M257" s="1"/>
    </row>
    <row r="258" spans="1:13" x14ac:dyDescent="0.25">
      <c r="A258" s="115"/>
      <c r="B258" s="1"/>
      <c r="C258" s="1"/>
      <c r="D258" s="1"/>
      <c r="E258" s="1"/>
      <c r="F258" s="1"/>
      <c r="G258" s="1"/>
      <c r="H258" s="1"/>
      <c r="I258" s="1"/>
      <c r="J258" s="1"/>
      <c r="K258" s="1"/>
      <c r="M258" s="1"/>
    </row>
    <row r="259" spans="1:13" x14ac:dyDescent="0.25">
      <c r="A259" s="1"/>
      <c r="B259" s="1"/>
      <c r="C259" s="1"/>
      <c r="D259" s="1"/>
      <c r="E259" s="121"/>
      <c r="F259" s="121"/>
      <c r="G259" s="121"/>
      <c r="H259" s="121"/>
      <c r="I259" s="121"/>
      <c r="J259" s="121"/>
      <c r="K259" s="1"/>
      <c r="L259" s="1"/>
      <c r="M259" s="1"/>
    </row>
    <row r="260" spans="1:13" x14ac:dyDescent="0.25">
      <c r="A260" s="1"/>
      <c r="B260" s="1"/>
      <c r="C260" s="1"/>
      <c r="D260" s="1"/>
      <c r="E260" s="121"/>
      <c r="F260" s="121"/>
      <c r="G260" s="121"/>
      <c r="H260" s="121"/>
      <c r="I260" s="121"/>
      <c r="J260" s="121"/>
      <c r="K260" s="1"/>
      <c r="L260" s="1"/>
      <c r="M260" s="1"/>
    </row>
    <row r="261" spans="1:13" x14ac:dyDescent="0.25">
      <c r="A261" s="1"/>
      <c r="B261" s="1"/>
      <c r="C261" s="1"/>
      <c r="D261" s="1"/>
      <c r="E261" s="121"/>
      <c r="F261" s="121"/>
      <c r="G261" s="121"/>
      <c r="H261" s="121"/>
      <c r="I261" s="121"/>
      <c r="J261" s="121"/>
      <c r="K261" s="1"/>
      <c r="L261" s="1"/>
      <c r="M261" s="1"/>
    </row>
    <row r="262" spans="1:13" x14ac:dyDescent="0.25">
      <c r="A262" s="1"/>
      <c r="B262" s="1"/>
      <c r="C262" s="1"/>
      <c r="D262" s="1"/>
      <c r="E262" s="121"/>
      <c r="F262" s="121"/>
      <c r="G262" s="121"/>
      <c r="H262" s="121"/>
      <c r="I262" s="121"/>
      <c r="J262" s="121"/>
      <c r="K262" s="1"/>
      <c r="L262" s="1"/>
      <c r="M262" s="1"/>
    </row>
    <row r="263" spans="1:13" x14ac:dyDescent="0.25">
      <c r="A263" s="1"/>
      <c r="B263" s="1"/>
      <c r="C263" s="1"/>
      <c r="D263" s="1"/>
      <c r="E263" s="121"/>
      <c r="F263" s="121"/>
      <c r="G263" s="121"/>
      <c r="H263" s="121"/>
      <c r="I263" s="121"/>
      <c r="J263" s="121"/>
      <c r="K263" s="1"/>
      <c r="L263" s="1"/>
      <c r="M263" s="1"/>
    </row>
    <row r="264" spans="1:13" x14ac:dyDescent="0.25">
      <c r="A264" s="1"/>
      <c r="B264" s="155" t="s">
        <v>595</v>
      </c>
      <c r="C264" s="115"/>
      <c r="D264" s="115"/>
      <c r="E264" s="115"/>
      <c r="F264" s="115"/>
      <c r="G264" s="115"/>
      <c r="H264" s="115"/>
      <c r="I264" s="115"/>
      <c r="J264" s="115"/>
      <c r="K264" s="1"/>
      <c r="L264" s="1"/>
      <c r="M264" s="1"/>
    </row>
    <row r="265" spans="1:13" x14ac:dyDescent="0.25">
      <c r="A265" s="1"/>
      <c r="B265" s="377" t="s">
        <v>578</v>
      </c>
      <c r="C265" s="377"/>
      <c r="D265" s="377" t="s">
        <v>579</v>
      </c>
      <c r="E265" s="377"/>
      <c r="F265" s="377"/>
      <c r="G265" s="377"/>
      <c r="H265" s="377" t="s">
        <v>580</v>
      </c>
      <c r="I265" s="377"/>
      <c r="J265" s="377"/>
      <c r="K265" s="1"/>
      <c r="L265" s="1"/>
      <c r="M265" s="1"/>
    </row>
    <row r="266" spans="1:13" x14ac:dyDescent="0.25">
      <c r="A266" s="1"/>
      <c r="B266" s="394" t="s">
        <v>512</v>
      </c>
      <c r="C266" s="394"/>
      <c r="D266" s="378" t="s">
        <v>413</v>
      </c>
      <c r="E266" s="378"/>
      <c r="F266" s="378"/>
      <c r="G266" s="378"/>
      <c r="H266" s="378" t="str">
        <f>IF(RIGHT(OTP_conf_failsafe_reg!L25,LEN(OTP_conf_failsafe_reg!L25)-FIND("-",OTP_conf_failsafe_reg!L25,1))=" Enabled", "Yes","No")</f>
        <v>No</v>
      </c>
      <c r="I266" s="378"/>
      <c r="J266" s="378"/>
      <c r="K266" s="1"/>
      <c r="L266" s="1"/>
      <c r="M266" s="1"/>
    </row>
    <row r="267" spans="1:13" x14ac:dyDescent="0.25">
      <c r="A267" s="1"/>
      <c r="B267" s="394"/>
      <c r="C267" s="394"/>
      <c r="D267" s="378" t="s">
        <v>411</v>
      </c>
      <c r="E267" s="378"/>
      <c r="F267" s="378"/>
      <c r="G267" s="378"/>
      <c r="H267" s="378" t="str">
        <f>IF(RIGHT(OTP_conf_failsafe_reg!K25,LEN(OTP_conf_failsafe_reg!K25)-FIND("-",OTP_conf_failsafe_reg!K25,1))=" Enabled", "Yes","No")</f>
        <v>No</v>
      </c>
      <c r="I267" s="378"/>
      <c r="J267" s="378"/>
      <c r="K267" s="1"/>
      <c r="L267" s="1"/>
      <c r="M267" s="1"/>
    </row>
    <row r="268" spans="1:13" x14ac:dyDescent="0.25">
      <c r="A268" s="1"/>
      <c r="B268" s="394"/>
      <c r="C268" s="394"/>
      <c r="D268" s="378" t="s">
        <v>409</v>
      </c>
      <c r="E268" s="378"/>
      <c r="F268" s="378"/>
      <c r="G268" s="378"/>
      <c r="H268" s="378" t="str">
        <f>IF(RIGHT(OTP_conf_failsafe_reg!J25,LEN(OTP_conf_failsafe_reg!J25)-FIND("-",OTP_conf_failsafe_reg!J25,1))=" Enabled", "Yes","No")</f>
        <v>No</v>
      </c>
      <c r="I268" s="378"/>
      <c r="J268" s="378"/>
      <c r="K268" s="1"/>
      <c r="L268" s="1"/>
      <c r="M268" s="1"/>
    </row>
    <row r="269" spans="1:13" x14ac:dyDescent="0.25">
      <c r="A269" s="1"/>
      <c r="B269" s="394"/>
      <c r="C269" s="394"/>
      <c r="D269" s="378" t="s">
        <v>407</v>
      </c>
      <c r="E269" s="378"/>
      <c r="F269" s="378"/>
      <c r="G269" s="378"/>
      <c r="H269" s="378" t="str">
        <f>IF(RIGHT(OTP_conf_failsafe_reg!I25,LEN(OTP_conf_failsafe_reg!I25)-FIND("-",OTP_conf_failsafe_reg!I25,1))=" Enabled", "Yes","No")</f>
        <v>No</v>
      </c>
      <c r="I269" s="378"/>
      <c r="J269" s="378"/>
      <c r="K269" s="1"/>
      <c r="L269" s="1"/>
      <c r="M269" s="1"/>
    </row>
    <row r="270" spans="1:13" x14ac:dyDescent="0.25">
      <c r="A270" s="1"/>
      <c r="B270" s="394"/>
      <c r="C270" s="394"/>
      <c r="D270" s="378" t="s">
        <v>513</v>
      </c>
      <c r="E270" s="378"/>
      <c r="F270" s="378"/>
      <c r="G270" s="378"/>
      <c r="H270" s="378" t="str">
        <f>IF(RIGHT(OTP_conf_failsafe_reg!H25,LEN(OTP_conf_failsafe_reg!H25)-FIND("-",OTP_conf_failsafe_reg!H25,1))=" Enabled", "Yes","No")</f>
        <v>No</v>
      </c>
      <c r="I270" s="378"/>
      <c r="J270" s="378"/>
      <c r="K270" s="1"/>
      <c r="L270" s="1"/>
      <c r="M270" s="1"/>
    </row>
    <row r="271" spans="1:13" x14ac:dyDescent="0.25">
      <c r="A271" s="1"/>
      <c r="B271" s="394"/>
      <c r="C271" s="394"/>
      <c r="D271" s="378" t="s">
        <v>514</v>
      </c>
      <c r="E271" s="378"/>
      <c r="F271" s="378"/>
      <c r="G271" s="378"/>
      <c r="H271" s="378" t="str">
        <f>IF(RIGHT(OTP_conf_failsafe_reg!G25,LEN(OTP_conf_failsafe_reg!G25)-FIND("-",OTP_conf_failsafe_reg!G25,1))=" Enabled", "Yes","No")</f>
        <v>No</v>
      </c>
      <c r="I271" s="378"/>
      <c r="J271" s="378"/>
      <c r="K271" s="1"/>
      <c r="L271" s="1"/>
      <c r="M271" s="1"/>
    </row>
    <row r="272" spans="1:13" x14ac:dyDescent="0.25">
      <c r="A272" s="1"/>
      <c r="B272" s="394"/>
      <c r="C272" s="394"/>
      <c r="D272" s="378" t="s">
        <v>16</v>
      </c>
      <c r="E272" s="378"/>
      <c r="F272" s="378"/>
      <c r="G272" s="378"/>
      <c r="H272" s="378" t="str">
        <f>IF(RIGHT(OTP_conf_failsafe_reg!E25,LEN(OTP_conf_failsafe_reg!E25)-FIND("-",OTP_conf_failsafe_reg!E25,1))=" Enabled", RIGHT(OTP_conf_failsafe_reg!F25,LEN(OTP_conf_failsafe_reg!F25)-FIND("-",OTP_conf_failsafe_reg!F25,1)),"No")</f>
        <v xml:space="preserve"> Challenger WD</v>
      </c>
      <c r="I272" s="378"/>
      <c r="J272" s="378"/>
      <c r="K272" s="1"/>
      <c r="L272" s="1"/>
      <c r="M272" s="1"/>
    </row>
    <row r="273" spans="1:13" x14ac:dyDescent="0.25">
      <c r="A273" s="1"/>
      <c r="B273" s="394"/>
      <c r="C273" s="394"/>
      <c r="D273" s="378" t="s">
        <v>515</v>
      </c>
      <c r="E273" s="378"/>
      <c r="F273" s="378"/>
      <c r="G273" s="378"/>
      <c r="H273" s="378" t="str">
        <f>IF(RIGHT(OTP_conf_failsafe_reg!H27,LEN(OTP_conf_failsafe_reg!H27)-FIND("-",OTP_conf_failsafe_reg!H27,1))=" Enabled", "Yes","No")</f>
        <v>Yes</v>
      </c>
      <c r="I273" s="378"/>
      <c r="J273" s="378"/>
      <c r="K273" s="1"/>
      <c r="L273" s="1"/>
      <c r="M273" s="1"/>
    </row>
    <row r="274" spans="1:13" x14ac:dyDescent="0.25">
      <c r="A274" s="1"/>
      <c r="B274" s="394" t="s">
        <v>590</v>
      </c>
      <c r="C274" s="394"/>
      <c r="D274" s="378" t="s">
        <v>501</v>
      </c>
      <c r="E274" s="378"/>
      <c r="F274" s="378"/>
      <c r="G274" s="378"/>
      <c r="H274" s="378" t="str">
        <f>"0x"&amp;BIN2HEX("01"&amp;LEFT(OTP_conf_failsafe_reg!I27,4)&amp;"1")</f>
        <v>0x21</v>
      </c>
      <c r="I274" s="378"/>
      <c r="J274" s="378"/>
      <c r="K274" s="1"/>
      <c r="L274" s="1"/>
      <c r="M274" s="1"/>
    </row>
    <row r="275" spans="1:13" x14ac:dyDescent="0.25">
      <c r="A275" s="1"/>
      <c r="B275" s="1"/>
      <c r="C275" s="1"/>
      <c r="D275" s="1"/>
      <c r="E275" s="121"/>
      <c r="F275" s="121"/>
      <c r="G275" s="121"/>
      <c r="H275" s="121"/>
      <c r="I275" s="121"/>
      <c r="J275" s="121"/>
      <c r="K275" s="1"/>
      <c r="L275" s="1"/>
      <c r="M275" s="1"/>
    </row>
    <row r="276" spans="1:13" x14ac:dyDescent="0.25">
      <c r="A276" s="1"/>
      <c r="B276" s="1"/>
      <c r="C276" s="1"/>
      <c r="D276" s="1"/>
      <c r="E276" s="121"/>
      <c r="F276" s="121"/>
      <c r="G276" s="121"/>
      <c r="H276" s="121"/>
      <c r="I276" s="121"/>
      <c r="J276" s="121"/>
      <c r="K276" s="1"/>
      <c r="L276" s="1"/>
      <c r="M276" s="1"/>
    </row>
    <row r="277" spans="1:13" x14ac:dyDescent="0.25">
      <c r="A277" s="1"/>
      <c r="B277" s="1"/>
      <c r="C277" s="1"/>
      <c r="D277" s="1"/>
      <c r="E277" s="121"/>
      <c r="F277" s="121"/>
      <c r="G277" s="121"/>
      <c r="H277" s="121"/>
      <c r="I277" s="121"/>
      <c r="J277" s="121"/>
      <c r="K277" s="1"/>
      <c r="L277" s="1"/>
      <c r="M277" s="1"/>
    </row>
    <row r="278" spans="1:13" x14ac:dyDescent="0.25">
      <c r="A278" s="1"/>
      <c r="B278" s="1"/>
      <c r="C278" s="1"/>
      <c r="D278" s="1"/>
      <c r="E278" s="121"/>
      <c r="F278" s="121"/>
      <c r="G278" s="121"/>
      <c r="H278" s="121"/>
      <c r="I278" s="121"/>
      <c r="J278" s="121"/>
      <c r="K278" s="1"/>
      <c r="L278" s="1"/>
      <c r="M278" s="1"/>
    </row>
    <row r="279" spans="1:13" x14ac:dyDescent="0.25">
      <c r="A279" s="1"/>
      <c r="B279" s="1"/>
      <c r="C279" s="1"/>
      <c r="D279" s="1"/>
      <c r="E279" s="121"/>
      <c r="F279" s="121"/>
      <c r="G279" s="121"/>
      <c r="H279" s="121"/>
      <c r="I279" s="121"/>
      <c r="J279" s="121"/>
      <c r="K279" s="1"/>
      <c r="L279" s="1"/>
      <c r="M279" s="1"/>
    </row>
    <row r="280" spans="1:13" x14ac:dyDescent="0.25">
      <c r="A280" s="1"/>
      <c r="B280" s="1"/>
      <c r="C280" s="1"/>
      <c r="D280" s="1"/>
      <c r="E280" s="121"/>
      <c r="F280" s="121"/>
      <c r="G280" s="121"/>
      <c r="H280" s="121"/>
      <c r="I280" s="121"/>
      <c r="J280" s="121"/>
      <c r="K280" s="1"/>
      <c r="L280" s="1"/>
      <c r="M280" s="1"/>
    </row>
    <row r="281" spans="1:13" x14ac:dyDescent="0.25">
      <c r="A281" s="1"/>
      <c r="B281" s="1"/>
      <c r="C281" s="1"/>
      <c r="D281" s="1"/>
      <c r="E281" s="121"/>
      <c r="F281" s="121"/>
      <c r="G281" s="121"/>
      <c r="H281" s="121"/>
      <c r="I281" s="121"/>
      <c r="J281" s="121"/>
      <c r="K281" s="1"/>
      <c r="L281" s="1"/>
      <c r="M281" s="1"/>
    </row>
    <row r="282" spans="1:13" x14ac:dyDescent="0.25">
      <c r="A282" s="1"/>
      <c r="B282" s="1"/>
      <c r="C282" s="1"/>
      <c r="D282" s="1"/>
      <c r="E282" s="121"/>
      <c r="F282" s="121"/>
      <c r="G282" s="121"/>
      <c r="H282" s="121"/>
      <c r="I282" s="121"/>
      <c r="J282" s="121"/>
      <c r="K282" s="1"/>
      <c r="L282" s="1"/>
      <c r="M282" s="1"/>
    </row>
    <row r="283" spans="1:13" x14ac:dyDescent="0.25">
      <c r="A283" s="1"/>
      <c r="B283" s="1"/>
      <c r="C283" s="1"/>
      <c r="D283" s="1"/>
      <c r="E283" s="121"/>
      <c r="F283" s="121"/>
      <c r="G283" s="121"/>
      <c r="H283" s="121"/>
      <c r="I283" s="121"/>
      <c r="J283" s="121"/>
      <c r="K283" s="1"/>
      <c r="L283" s="1"/>
      <c r="M283" s="1"/>
    </row>
    <row r="284" spans="1:13" x14ac:dyDescent="0.25">
      <c r="A284" s="1"/>
      <c r="B284" s="1"/>
      <c r="C284" s="1"/>
      <c r="D284" s="1"/>
      <c r="E284" s="121"/>
      <c r="F284" s="121"/>
      <c r="G284" s="121"/>
      <c r="H284" s="121"/>
      <c r="I284" s="121"/>
      <c r="J284" s="121"/>
      <c r="K284" s="1"/>
      <c r="L284" s="1"/>
      <c r="M284" s="1"/>
    </row>
    <row r="285" spans="1:13" x14ac:dyDescent="0.25">
      <c r="A285" s="1"/>
      <c r="B285" s="1"/>
      <c r="C285" s="1"/>
      <c r="D285" s="1"/>
      <c r="E285" s="121"/>
      <c r="F285" s="121"/>
      <c r="G285" s="121"/>
      <c r="H285" s="121"/>
      <c r="I285" s="121"/>
      <c r="J285" s="121"/>
      <c r="K285" s="1"/>
      <c r="L285" s="1"/>
      <c r="M285" s="1"/>
    </row>
    <row r="286" spans="1:13" x14ac:dyDescent="0.25">
      <c r="A286" s="1"/>
      <c r="B286" s="1"/>
      <c r="C286" s="1"/>
      <c r="D286" s="1"/>
      <c r="E286" s="121"/>
      <c r="F286" s="121"/>
      <c r="G286" s="121"/>
      <c r="H286" s="121"/>
      <c r="I286" s="121"/>
      <c r="J286" s="121"/>
      <c r="K286" s="1"/>
      <c r="L286" s="1"/>
      <c r="M286" s="1"/>
    </row>
    <row r="287" spans="1:13" x14ac:dyDescent="0.25">
      <c r="A287" s="1"/>
      <c r="B287" s="1"/>
      <c r="C287" s="1"/>
      <c r="D287" s="1"/>
      <c r="E287" s="121"/>
      <c r="F287" s="121"/>
      <c r="G287" s="121"/>
      <c r="H287" s="121"/>
      <c r="I287" s="121"/>
      <c r="J287" s="121"/>
      <c r="K287" s="1"/>
      <c r="L287" s="1"/>
      <c r="M287" s="1"/>
    </row>
    <row r="288" spans="1:13" x14ac:dyDescent="0.25">
      <c r="A288" s="1"/>
      <c r="B288" s="1"/>
      <c r="C288" s="1"/>
      <c r="D288" s="1"/>
      <c r="E288" s="121"/>
      <c r="F288" s="121"/>
      <c r="G288" s="121"/>
      <c r="H288" s="121"/>
      <c r="I288" s="121"/>
      <c r="J288" s="121"/>
      <c r="K288" s="1"/>
      <c r="L288" s="1"/>
      <c r="M288" s="1"/>
    </row>
    <row r="289" spans="1:13" x14ac:dyDescent="0.25">
      <c r="A289" s="1"/>
      <c r="B289" s="1"/>
      <c r="C289" s="1"/>
      <c r="D289" s="1"/>
      <c r="E289" s="121"/>
      <c r="F289" s="121"/>
      <c r="G289" s="121"/>
      <c r="H289" s="121"/>
      <c r="I289" s="121"/>
      <c r="J289" s="121"/>
      <c r="K289" s="1"/>
      <c r="L289" s="1"/>
      <c r="M289" s="1"/>
    </row>
    <row r="290" spans="1:13" x14ac:dyDescent="0.25">
      <c r="A290" s="1"/>
      <c r="B290" s="1"/>
      <c r="C290" s="1"/>
      <c r="D290" s="1"/>
      <c r="E290" s="121"/>
      <c r="F290" s="121"/>
      <c r="G290" s="121"/>
      <c r="H290" s="121"/>
      <c r="I290" s="121"/>
      <c r="J290" s="121"/>
      <c r="K290" s="1"/>
      <c r="L290" s="1"/>
      <c r="M290" s="1"/>
    </row>
    <row r="291" spans="1:13" x14ac:dyDescent="0.25">
      <c r="A291" s="1"/>
      <c r="B291" s="1"/>
      <c r="C291" s="1"/>
      <c r="D291" s="1"/>
      <c r="E291" s="121"/>
      <c r="F291" s="121"/>
      <c r="G291" s="121"/>
      <c r="H291" s="121"/>
      <c r="I291" s="121"/>
      <c r="J291" s="121"/>
      <c r="K291" s="1"/>
      <c r="L291" s="1"/>
      <c r="M291" s="1"/>
    </row>
    <row r="292" spans="1:13" x14ac:dyDescent="0.25">
      <c r="A292" s="1"/>
      <c r="B292" s="1"/>
      <c r="C292" s="1"/>
      <c r="D292" s="1"/>
      <c r="E292" s="121"/>
      <c r="F292" s="121"/>
      <c r="G292" s="121"/>
      <c r="H292" s="121"/>
      <c r="I292" s="121"/>
      <c r="J292" s="121"/>
      <c r="K292" s="1"/>
      <c r="L292" s="1"/>
      <c r="M292" s="1"/>
    </row>
    <row r="293" spans="1:13" x14ac:dyDescent="0.25">
      <c r="A293" s="1"/>
      <c r="B293" s="1"/>
      <c r="C293" s="1"/>
      <c r="D293" s="1"/>
      <c r="E293" s="121"/>
      <c r="F293" s="121"/>
      <c r="G293" s="121"/>
      <c r="H293" s="121"/>
      <c r="I293" s="121"/>
      <c r="J293" s="121"/>
      <c r="K293" s="1"/>
      <c r="L293" s="1"/>
      <c r="M293" s="1"/>
    </row>
    <row r="294" spans="1:13" x14ac:dyDescent="0.25">
      <c r="A294" s="1"/>
      <c r="B294" s="1"/>
      <c r="C294" s="1"/>
      <c r="D294" s="1"/>
      <c r="E294" s="121"/>
      <c r="F294" s="121"/>
      <c r="G294" s="121"/>
      <c r="H294" s="121"/>
      <c r="I294" s="121"/>
      <c r="J294" s="121"/>
      <c r="K294" s="1"/>
      <c r="L294" s="1"/>
      <c r="M294" s="1"/>
    </row>
    <row r="295" spans="1:13" x14ac:dyDescent="0.25">
      <c r="A295" s="1"/>
      <c r="B295" s="1"/>
      <c r="C295" s="1"/>
      <c r="D295" s="1"/>
      <c r="E295" s="121"/>
      <c r="F295" s="121"/>
      <c r="G295" s="121"/>
      <c r="H295" s="121"/>
      <c r="I295" s="121"/>
      <c r="J295" s="121"/>
      <c r="K295" s="1"/>
      <c r="L295" s="1"/>
      <c r="M295" s="1"/>
    </row>
    <row r="296" spans="1:13" x14ac:dyDescent="0.25">
      <c r="A296" s="1"/>
      <c r="B296" s="1"/>
      <c r="C296" s="1"/>
      <c r="D296" s="1"/>
      <c r="E296" s="121"/>
      <c r="F296" s="121"/>
      <c r="G296" s="121"/>
      <c r="H296" s="121"/>
      <c r="I296" s="121"/>
      <c r="J296" s="121"/>
      <c r="K296" s="1"/>
      <c r="L296" s="1"/>
      <c r="M296" s="1"/>
    </row>
    <row r="297" spans="1:13" x14ac:dyDescent="0.25">
      <c r="A297" s="1"/>
      <c r="B297" s="1"/>
      <c r="C297" s="1"/>
      <c r="D297" s="1"/>
      <c r="E297" s="121"/>
      <c r="F297" s="121"/>
      <c r="G297" s="121"/>
      <c r="H297" s="121"/>
      <c r="I297" s="121"/>
      <c r="J297" s="121"/>
      <c r="K297" s="1"/>
      <c r="L297" s="1"/>
      <c r="M297" s="1"/>
    </row>
    <row r="298" spans="1:13" x14ac:dyDescent="0.25">
      <c r="A298" s="1"/>
      <c r="B298" s="1"/>
      <c r="C298" s="1"/>
      <c r="D298" s="1"/>
      <c r="E298" s="121"/>
      <c r="F298" s="121"/>
      <c r="G298" s="121"/>
      <c r="H298" s="121"/>
      <c r="I298" s="121"/>
      <c r="J298" s="121"/>
      <c r="K298" s="1"/>
      <c r="L298" s="1"/>
      <c r="M298" s="1"/>
    </row>
    <row r="299" spans="1:13" x14ac:dyDescent="0.25">
      <c r="A299" s="1"/>
      <c r="B299" s="1"/>
      <c r="C299" s="1"/>
      <c r="D299" s="1"/>
      <c r="E299" s="121"/>
      <c r="F299" s="121"/>
      <c r="G299" s="121"/>
      <c r="H299" s="121"/>
      <c r="I299" s="121"/>
      <c r="J299" s="121"/>
      <c r="K299" s="1"/>
      <c r="L299" s="1"/>
      <c r="M299" s="1"/>
    </row>
    <row r="300" spans="1:13" x14ac:dyDescent="0.25">
      <c r="A300" s="1"/>
      <c r="B300" s="1"/>
      <c r="C300" s="1"/>
      <c r="D300" s="1"/>
      <c r="E300" s="121"/>
      <c r="F300" s="121"/>
      <c r="G300" s="121"/>
      <c r="H300" s="121"/>
      <c r="I300" s="121"/>
      <c r="J300" s="121"/>
      <c r="K300" s="1"/>
      <c r="L300" s="1"/>
      <c r="M300" s="1"/>
    </row>
    <row r="301" spans="1:13" x14ac:dyDescent="0.25">
      <c r="A301" s="1"/>
      <c r="B301" s="1"/>
      <c r="C301" s="1"/>
      <c r="D301" s="1"/>
      <c r="E301" s="121"/>
      <c r="F301" s="121"/>
      <c r="G301" s="121"/>
      <c r="H301" s="121"/>
      <c r="I301" s="121"/>
      <c r="J301" s="121"/>
      <c r="K301" s="1"/>
      <c r="L301" s="1"/>
      <c r="M301" s="1"/>
    </row>
    <row r="302" spans="1:13" x14ac:dyDescent="0.25">
      <c r="A302" s="1"/>
      <c r="B302" s="1"/>
      <c r="C302" s="1"/>
      <c r="D302" s="1"/>
      <c r="E302" s="121"/>
      <c r="F302" s="121"/>
      <c r="G302" s="121"/>
      <c r="H302" s="121"/>
      <c r="I302" s="121"/>
      <c r="J302" s="121"/>
      <c r="K302" s="1"/>
      <c r="L302" s="1"/>
      <c r="M302" s="1"/>
    </row>
    <row r="303" spans="1:13" x14ac:dyDescent="0.25">
      <c r="A303" s="1"/>
      <c r="B303" s="1"/>
      <c r="C303" s="1"/>
      <c r="D303" s="1"/>
      <c r="E303" s="121"/>
      <c r="F303" s="121"/>
      <c r="G303" s="121"/>
      <c r="H303" s="121"/>
      <c r="I303" s="121"/>
      <c r="J303" s="121"/>
      <c r="K303" s="1"/>
      <c r="L303" s="1"/>
      <c r="M303" s="1"/>
    </row>
    <row r="304" spans="1:13" ht="15" customHeight="1" x14ac:dyDescent="0.25">
      <c r="A304" s="1"/>
      <c r="B304" s="1"/>
      <c r="C304" s="1"/>
      <c r="D304" s="1"/>
      <c r="E304" s="121"/>
      <c r="F304" s="121"/>
      <c r="G304" s="121"/>
      <c r="H304" s="121"/>
      <c r="I304" s="121"/>
      <c r="J304" s="121"/>
      <c r="K304" s="1"/>
      <c r="L304" s="1"/>
      <c r="M304" s="1"/>
    </row>
    <row r="305" spans="1:20" x14ac:dyDescent="0.25">
      <c r="A305" s="1"/>
      <c r="B305" s="1"/>
      <c r="C305" s="1"/>
      <c r="D305" s="1"/>
      <c r="E305" s="121"/>
      <c r="F305" s="121"/>
      <c r="G305" s="121"/>
      <c r="H305" s="121"/>
      <c r="I305" s="121"/>
      <c r="J305" s="121"/>
      <c r="K305" s="1"/>
      <c r="L305" s="1"/>
      <c r="M305" s="1"/>
    </row>
    <row r="306" spans="1:20" s="113" customFormat="1" x14ac:dyDescent="0.25">
      <c r="E306" s="121"/>
      <c r="F306" s="121"/>
      <c r="G306" s="121"/>
      <c r="H306" s="121"/>
      <c r="I306" s="121"/>
      <c r="J306" s="121"/>
      <c r="N306" s="38"/>
      <c r="O306" s="38"/>
      <c r="P306" s="38"/>
    </row>
    <row r="307" spans="1:20" s="113" customFormat="1" x14ac:dyDescent="0.25">
      <c r="E307" s="121"/>
      <c r="F307" s="121"/>
      <c r="G307" s="121"/>
      <c r="H307" s="121"/>
      <c r="I307" s="121"/>
      <c r="J307" s="121"/>
      <c r="N307" s="38"/>
      <c r="O307" s="38"/>
      <c r="P307" s="38"/>
    </row>
    <row r="308" spans="1:20" s="113" customFormat="1" x14ac:dyDescent="0.25">
      <c r="E308" s="121"/>
      <c r="F308" s="121"/>
      <c r="G308" s="121"/>
      <c r="H308" s="121"/>
      <c r="I308" s="121"/>
      <c r="J308" s="121"/>
      <c r="N308" s="38"/>
      <c r="O308" s="38"/>
      <c r="P308" s="38"/>
    </row>
    <row r="309" spans="1:20" s="113" customFormat="1" x14ac:dyDescent="0.25">
      <c r="E309" s="121"/>
      <c r="F309" s="121"/>
      <c r="G309" s="121"/>
      <c r="H309" s="121"/>
      <c r="I309" s="121"/>
      <c r="J309" s="121"/>
      <c r="L309" s="121"/>
      <c r="N309" s="38"/>
      <c r="O309" s="38"/>
      <c r="P309" s="38"/>
    </row>
    <row r="310" spans="1:20" x14ac:dyDescent="0.25">
      <c r="A310" s="121"/>
      <c r="B310" s="121"/>
      <c r="C310" s="121"/>
      <c r="D310" s="121"/>
      <c r="E310" s="121"/>
      <c r="F310" s="121"/>
      <c r="G310" s="121"/>
      <c r="H310" s="121"/>
      <c r="I310" s="121"/>
      <c r="J310" s="121"/>
      <c r="K310" s="122"/>
      <c r="L310" s="120"/>
      <c r="M310" s="38"/>
      <c r="N310" s="38"/>
      <c r="O310" s="38"/>
      <c r="P310" s="38"/>
      <c r="Q310" s="113"/>
      <c r="R310" s="113"/>
      <c r="S310" s="113"/>
      <c r="T310" s="113"/>
    </row>
    <row r="311" spans="1:20" x14ac:dyDescent="0.25">
      <c r="A311" s="121"/>
      <c r="B311" s="121"/>
      <c r="C311" s="121"/>
      <c r="D311" s="121"/>
      <c r="E311" s="121"/>
      <c r="F311" s="121"/>
      <c r="G311" s="121"/>
      <c r="H311" s="121"/>
      <c r="I311" s="121"/>
      <c r="J311" s="121"/>
      <c r="K311" s="122"/>
      <c r="L311" s="120"/>
      <c r="M311" s="38"/>
      <c r="N311" s="38"/>
      <c r="O311" s="38"/>
      <c r="P311" s="38"/>
      <c r="Q311" s="113"/>
      <c r="R311" s="113"/>
      <c r="S311" s="113"/>
      <c r="T311" s="113"/>
    </row>
    <row r="312" spans="1:20" x14ac:dyDescent="0.25">
      <c r="A312" s="121"/>
      <c r="B312" s="121"/>
      <c r="C312" s="121"/>
      <c r="D312" s="121"/>
      <c r="E312" s="121"/>
      <c r="F312" s="121"/>
      <c r="G312" s="121"/>
      <c r="H312" s="121"/>
      <c r="I312" s="121"/>
      <c r="J312" s="121"/>
      <c r="K312" s="122"/>
      <c r="L312" s="120"/>
      <c r="M312" s="38"/>
      <c r="N312" s="38"/>
      <c r="O312" s="38"/>
      <c r="P312" s="38"/>
      <c r="Q312" s="113"/>
      <c r="R312" s="113"/>
      <c r="S312" s="113"/>
      <c r="T312" s="113"/>
    </row>
    <row r="313" spans="1:20" x14ac:dyDescent="0.25">
      <c r="A313" s="121"/>
      <c r="B313" s="121"/>
      <c r="C313" s="121"/>
      <c r="D313" s="121"/>
      <c r="E313" s="121"/>
      <c r="F313" s="121"/>
      <c r="G313" s="121"/>
      <c r="H313" s="121"/>
      <c r="I313" s="121"/>
      <c r="J313" s="121"/>
      <c r="K313" s="122"/>
      <c r="L313" s="120"/>
      <c r="M313" s="38"/>
      <c r="N313" s="38"/>
      <c r="O313" s="38"/>
      <c r="P313" s="38"/>
      <c r="Q313" s="113"/>
      <c r="R313" s="113"/>
      <c r="S313" s="113"/>
      <c r="T313" s="113"/>
    </row>
    <row r="314" spans="1:20" x14ac:dyDescent="0.25">
      <c r="A314" s="121"/>
      <c r="B314" s="121"/>
      <c r="C314" s="121"/>
      <c r="D314" s="121"/>
      <c r="E314" s="121"/>
      <c r="F314" s="121"/>
      <c r="G314" s="121"/>
      <c r="H314" s="121"/>
      <c r="I314" s="121"/>
      <c r="J314" s="121"/>
      <c r="K314" s="122"/>
      <c r="L314" s="120"/>
      <c r="M314" s="38"/>
      <c r="N314" s="38"/>
      <c r="O314" s="38"/>
      <c r="P314" s="38"/>
      <c r="Q314" s="113"/>
      <c r="R314" s="113"/>
      <c r="S314" s="113"/>
      <c r="T314" s="113"/>
    </row>
    <row r="315" spans="1:20" s="113" customFormat="1" ht="18" x14ac:dyDescent="0.25">
      <c r="A315" s="135" t="s">
        <v>588</v>
      </c>
      <c r="B315" s="135"/>
      <c r="C315" s="135"/>
      <c r="D315" s="135"/>
      <c r="E315" s="135"/>
      <c r="F315" s="135"/>
      <c r="G315" s="135"/>
      <c r="H315" s="135"/>
      <c r="I315" s="135"/>
      <c r="J315" s="135"/>
      <c r="K315" s="148"/>
      <c r="L315" s="149"/>
      <c r="M315" s="38"/>
      <c r="N315" s="38"/>
      <c r="O315" s="38"/>
      <c r="P315" s="38"/>
    </row>
    <row r="317" spans="1:20" s="113" customFormat="1" x14ac:dyDescent="0.25">
      <c r="A317" s="38"/>
      <c r="B317" s="38"/>
      <c r="C317" s="38"/>
      <c r="D317" s="38"/>
      <c r="E317" s="38"/>
      <c r="F317" s="38"/>
      <c r="G317" s="38"/>
      <c r="H317" s="38"/>
      <c r="I317" s="38"/>
      <c r="J317" s="38"/>
      <c r="K317" s="128"/>
      <c r="L317" s="38"/>
      <c r="M317" s="38"/>
      <c r="N317" s="38"/>
      <c r="O317" s="38"/>
      <c r="P317" s="38"/>
    </row>
    <row r="318" spans="1:20" s="113" customFormat="1" x14ac:dyDescent="0.25">
      <c r="A318" s="38"/>
      <c r="B318" s="38"/>
      <c r="C318" s="38"/>
      <c r="D318" s="38"/>
      <c r="E318" s="38"/>
      <c r="F318" s="38"/>
      <c r="G318" s="38"/>
      <c r="H318" s="38"/>
      <c r="I318" s="38"/>
      <c r="J318" s="38"/>
      <c r="K318" s="128"/>
      <c r="L318" s="38"/>
      <c r="M318" s="38"/>
      <c r="N318" s="38"/>
      <c r="O318" s="38"/>
      <c r="P318" s="38"/>
    </row>
    <row r="326" spans="1:10" x14ac:dyDescent="0.25">
      <c r="A326" s="38"/>
      <c r="B326" s="38"/>
      <c r="C326" s="38"/>
      <c r="D326" s="38"/>
      <c r="E326" s="38"/>
      <c r="F326" s="38"/>
      <c r="G326" s="38"/>
      <c r="H326" s="38"/>
      <c r="I326" s="38"/>
      <c r="J326" s="38"/>
    </row>
    <row r="355" spans="1:16" x14ac:dyDescent="0.25">
      <c r="K355" s="147"/>
    </row>
    <row r="363" spans="1:16" x14ac:dyDescent="0.25">
      <c r="K363" s="142"/>
    </row>
    <row r="364" spans="1:16" s="113" customFormat="1" ht="18" x14ac:dyDescent="0.25">
      <c r="A364" s="135" t="s">
        <v>589</v>
      </c>
      <c r="B364" s="135"/>
      <c r="C364" s="135"/>
      <c r="D364" s="135"/>
      <c r="E364" s="135"/>
      <c r="F364" s="135"/>
      <c r="G364" s="135"/>
      <c r="H364" s="135"/>
      <c r="I364" s="135"/>
      <c r="J364" s="135"/>
      <c r="K364" s="148"/>
      <c r="L364" s="149"/>
      <c r="M364" s="38"/>
      <c r="N364" s="38"/>
      <c r="O364" s="38"/>
      <c r="P364" s="38"/>
    </row>
    <row r="365" spans="1:16" ht="18" x14ac:dyDescent="0.25">
      <c r="A365" s="135"/>
      <c r="B365" s="135"/>
      <c r="C365" s="135"/>
      <c r="D365" s="135"/>
      <c r="E365" s="135"/>
      <c r="F365" s="135"/>
      <c r="G365" s="135"/>
      <c r="H365" s="135"/>
      <c r="I365" s="135"/>
      <c r="J365" s="135"/>
      <c r="K365" s="148"/>
      <c r="L365" s="149"/>
    </row>
    <row r="366" spans="1:16" ht="117.75" customHeight="1" x14ac:dyDescent="0.25"/>
    <row r="367" spans="1:16" x14ac:dyDescent="0.25">
      <c r="K367" s="141"/>
    </row>
    <row r="368" spans="1:16" x14ac:dyDescent="0.25">
      <c r="K368" s="141"/>
    </row>
    <row r="369" spans="11:11" x14ac:dyDescent="0.25">
      <c r="K369" s="141"/>
    </row>
    <row r="370" spans="11:11" x14ac:dyDescent="0.25">
      <c r="K370" s="141"/>
    </row>
    <row r="371" spans="11:11" x14ac:dyDescent="0.25">
      <c r="K371" s="141"/>
    </row>
    <row r="372" spans="11:11" x14ac:dyDescent="0.25">
      <c r="K372" s="141"/>
    </row>
    <row r="373" spans="11:11" x14ac:dyDescent="0.25">
      <c r="K373" s="141"/>
    </row>
    <row r="374" spans="11:11" x14ac:dyDescent="0.25">
      <c r="K374" s="141"/>
    </row>
    <row r="375" spans="11:11" x14ac:dyDescent="0.25">
      <c r="K375" s="141"/>
    </row>
    <row r="376" spans="11:11" x14ac:dyDescent="0.25">
      <c r="K376" s="141"/>
    </row>
    <row r="377" spans="11:11" x14ac:dyDescent="0.25">
      <c r="K377" s="141"/>
    </row>
    <row r="378" spans="11:11" x14ac:dyDescent="0.25">
      <c r="K378" s="141"/>
    </row>
    <row r="379" spans="11:11" x14ac:dyDescent="0.25">
      <c r="K379" s="141"/>
    </row>
    <row r="380" spans="11:11" x14ac:dyDescent="0.25">
      <c r="K380" s="141"/>
    </row>
    <row r="381" spans="11:11" x14ac:dyDescent="0.25">
      <c r="K381" s="141"/>
    </row>
    <row r="382" spans="11:11" x14ac:dyDescent="0.25">
      <c r="K382" s="141"/>
    </row>
    <row r="383" spans="11:11" x14ac:dyDescent="0.25">
      <c r="K383" s="141"/>
    </row>
    <row r="384" spans="11:11" x14ac:dyDescent="0.25">
      <c r="K384" s="141"/>
    </row>
    <row r="385" spans="10:12" x14ac:dyDescent="0.25">
      <c r="K385" s="141"/>
    </row>
    <row r="386" spans="10:12" x14ac:dyDescent="0.25">
      <c r="K386" s="141"/>
    </row>
    <row r="387" spans="10:12" x14ac:dyDescent="0.25">
      <c r="K387" s="141"/>
    </row>
    <row r="388" spans="10:12" x14ac:dyDescent="0.25">
      <c r="K388" s="141"/>
    </row>
    <row r="389" spans="10:12" x14ac:dyDescent="0.25">
      <c r="K389" s="141"/>
    </row>
    <row r="390" spans="10:12" x14ac:dyDescent="0.25">
      <c r="K390" s="141"/>
    </row>
    <row r="395" spans="10:12" x14ac:dyDescent="0.25">
      <c r="K395" s="141"/>
    </row>
    <row r="396" spans="10:12" x14ac:dyDescent="0.25">
      <c r="K396" s="141"/>
    </row>
    <row r="397" spans="10:12" ht="9.9499999999999993" customHeight="1" x14ac:dyDescent="0.25">
      <c r="K397" s="154"/>
    </row>
    <row r="398" spans="10:12" x14ac:dyDescent="0.25">
      <c r="K398" s="141"/>
    </row>
    <row r="399" spans="10:12" x14ac:dyDescent="0.25">
      <c r="J399" s="359" t="s">
        <v>948</v>
      </c>
      <c r="K399" s="398">
        <f ca="1">TODAY()</f>
        <v>44505</v>
      </c>
      <c r="L399" s="398"/>
    </row>
    <row r="400" spans="10:12" x14ac:dyDescent="0.25">
      <c r="K400" s="123" t="str">
        <f>_xlfn.CONCAT("Document identifier: ",K2)</f>
        <v>Document identifier: R_PC33FS8530A0ES_Rev_A</v>
      </c>
      <c r="L400" s="38"/>
    </row>
  </sheetData>
  <sheetProtection algorithmName="SHA-512" hashValue="PluK5oqc5hjXBUxdMs0FD5ufv1D0R6ZNhWlbYTjB8ioL05IK1gEoQOxCEzw8M/kib6Om7MsKg7QQL4VR69dwMQ==" saltValue="RUd7fvVJj8TE8ZWZGuf+ng==" spinCount="100000" sheet="1" objects="1" scenarios="1"/>
  <dataConsolidate/>
  <mergeCells count="277">
    <mergeCell ref="K399:L399"/>
    <mergeCell ref="B229:C232"/>
    <mergeCell ref="D229:G229"/>
    <mergeCell ref="D230:G230"/>
    <mergeCell ref="D231:G231"/>
    <mergeCell ref="D232:G232"/>
    <mergeCell ref="B266:C273"/>
    <mergeCell ref="B274:C274"/>
    <mergeCell ref="D272:G272"/>
    <mergeCell ref="H272:J272"/>
    <mergeCell ref="D273:G273"/>
    <mergeCell ref="H273:J273"/>
    <mergeCell ref="D274:G274"/>
    <mergeCell ref="H274:J274"/>
    <mergeCell ref="D269:G269"/>
    <mergeCell ref="H269:J269"/>
    <mergeCell ref="D270:G270"/>
    <mergeCell ref="H270:J270"/>
    <mergeCell ref="D271:G271"/>
    <mergeCell ref="H271:J271"/>
    <mergeCell ref="D266:G266"/>
    <mergeCell ref="H266:J266"/>
    <mergeCell ref="D267:G267"/>
    <mergeCell ref="H267:J267"/>
    <mergeCell ref="D268:G268"/>
    <mergeCell ref="H268:J268"/>
    <mergeCell ref="D249:G249"/>
    <mergeCell ref="H249:J249"/>
    <mergeCell ref="B225:C228"/>
    <mergeCell ref="B233:C236"/>
    <mergeCell ref="B237:C243"/>
    <mergeCell ref="B244:C249"/>
    <mergeCell ref="D246:G246"/>
    <mergeCell ref="H246:J246"/>
    <mergeCell ref="D247:G247"/>
    <mergeCell ref="H247:J247"/>
    <mergeCell ref="D248:G248"/>
    <mergeCell ref="H248:J248"/>
    <mergeCell ref="D243:G243"/>
    <mergeCell ref="H243:J243"/>
    <mergeCell ref="D244:G244"/>
    <mergeCell ref="H244:J244"/>
    <mergeCell ref="D245:G245"/>
    <mergeCell ref="H245:J245"/>
    <mergeCell ref="D240:G240"/>
    <mergeCell ref="H240:J240"/>
    <mergeCell ref="D241:G241"/>
    <mergeCell ref="H241:J241"/>
    <mergeCell ref="D242:G242"/>
    <mergeCell ref="H242:J242"/>
    <mergeCell ref="D237:G237"/>
    <mergeCell ref="H237:J237"/>
    <mergeCell ref="D238:G238"/>
    <mergeCell ref="H238:J238"/>
    <mergeCell ref="D239:G239"/>
    <mergeCell ref="H239:J239"/>
    <mergeCell ref="D234:G234"/>
    <mergeCell ref="H234:J234"/>
    <mergeCell ref="D235:G235"/>
    <mergeCell ref="H235:J235"/>
    <mergeCell ref="D236:G236"/>
    <mergeCell ref="H236:J236"/>
    <mergeCell ref="H231:J231"/>
    <mergeCell ref="H232:J232"/>
    <mergeCell ref="D233:G233"/>
    <mergeCell ref="H233:J233"/>
    <mergeCell ref="D228:G228"/>
    <mergeCell ref="H228:J228"/>
    <mergeCell ref="H229:J229"/>
    <mergeCell ref="H230:J230"/>
    <mergeCell ref="D225:G225"/>
    <mergeCell ref="H225:J225"/>
    <mergeCell ref="D226:G226"/>
    <mergeCell ref="H226:J226"/>
    <mergeCell ref="D227:G227"/>
    <mergeCell ref="H227:J227"/>
    <mergeCell ref="B216:C220"/>
    <mergeCell ref="B221:C224"/>
    <mergeCell ref="B215:C215"/>
    <mergeCell ref="D215:G215"/>
    <mergeCell ref="H215:J215"/>
    <mergeCell ref="D222:G222"/>
    <mergeCell ref="H222:J222"/>
    <mergeCell ref="D223:G223"/>
    <mergeCell ref="H223:J223"/>
    <mergeCell ref="D224:G224"/>
    <mergeCell ref="H224:J224"/>
    <mergeCell ref="D219:G219"/>
    <mergeCell ref="H219:J219"/>
    <mergeCell ref="D220:G220"/>
    <mergeCell ref="H220:J220"/>
    <mergeCell ref="D221:G221"/>
    <mergeCell ref="H221:J221"/>
    <mergeCell ref="D216:G216"/>
    <mergeCell ref="H216:J216"/>
    <mergeCell ref="D217:G217"/>
    <mergeCell ref="H217:J217"/>
    <mergeCell ref="D218:G218"/>
    <mergeCell ref="H218:J218"/>
    <mergeCell ref="D202:G202"/>
    <mergeCell ref="H202:J202"/>
    <mergeCell ref="B197:C202"/>
    <mergeCell ref="D198:G198"/>
    <mergeCell ref="H198:J198"/>
    <mergeCell ref="D199:G199"/>
    <mergeCell ref="H199:J199"/>
    <mergeCell ref="D200:G200"/>
    <mergeCell ref="H200:J200"/>
    <mergeCell ref="H189:J189"/>
    <mergeCell ref="D190:G190"/>
    <mergeCell ref="H190:J190"/>
    <mergeCell ref="D191:G191"/>
    <mergeCell ref="H188:J188"/>
    <mergeCell ref="D187:G187"/>
    <mergeCell ref="H187:J187"/>
    <mergeCell ref="D201:G201"/>
    <mergeCell ref="H201:J201"/>
    <mergeCell ref="B166:C166"/>
    <mergeCell ref="D166:G166"/>
    <mergeCell ref="H166:J166"/>
    <mergeCell ref="D177:G177"/>
    <mergeCell ref="H177:J177"/>
    <mergeCell ref="B167:C177"/>
    <mergeCell ref="D168:G168"/>
    <mergeCell ref="H168:J168"/>
    <mergeCell ref="D169:G169"/>
    <mergeCell ref="H169:J169"/>
    <mergeCell ref="D170:G170"/>
    <mergeCell ref="H170:J170"/>
    <mergeCell ref="D185:G185"/>
    <mergeCell ref="H185:J185"/>
    <mergeCell ref="B178:C181"/>
    <mergeCell ref="B182:C185"/>
    <mergeCell ref="D178:G178"/>
    <mergeCell ref="H178:J178"/>
    <mergeCell ref="D186:G186"/>
    <mergeCell ref="H186:J186"/>
    <mergeCell ref="D182:G182"/>
    <mergeCell ref="H182:J182"/>
    <mergeCell ref="D183:G183"/>
    <mergeCell ref="H183:J183"/>
    <mergeCell ref="D184:G184"/>
    <mergeCell ref="H184:J184"/>
    <mergeCell ref="D179:G179"/>
    <mergeCell ref="H179:J179"/>
    <mergeCell ref="D180:G180"/>
    <mergeCell ref="H180:J180"/>
    <mergeCell ref="D181:G181"/>
    <mergeCell ref="H181:J181"/>
    <mergeCell ref="B186:C193"/>
    <mergeCell ref="H191:J191"/>
    <mergeCell ref="D192:G192"/>
    <mergeCell ref="D189:G189"/>
    <mergeCell ref="H133:J133"/>
    <mergeCell ref="H134:J134"/>
    <mergeCell ref="H135:J135"/>
    <mergeCell ref="H136:J136"/>
    <mergeCell ref="D136:G136"/>
    <mergeCell ref="D135:G135"/>
    <mergeCell ref="H142:J142"/>
    <mergeCell ref="H141:J141"/>
    <mergeCell ref="H140:J140"/>
    <mergeCell ref="D144:G144"/>
    <mergeCell ref="D143:G143"/>
    <mergeCell ref="D142:G142"/>
    <mergeCell ref="D141:G141"/>
    <mergeCell ref="D140:G140"/>
    <mergeCell ref="B138:C148"/>
    <mergeCell ref="H139:J139"/>
    <mergeCell ref="H138:J138"/>
    <mergeCell ref="H147:J147"/>
    <mergeCell ref="H146:J146"/>
    <mergeCell ref="H145:J145"/>
    <mergeCell ref="H144:J144"/>
    <mergeCell ref="D145:G145"/>
    <mergeCell ref="B119:C119"/>
    <mergeCell ref="D119:G119"/>
    <mergeCell ref="H119:J119"/>
    <mergeCell ref="B120:C128"/>
    <mergeCell ref="D128:G128"/>
    <mergeCell ref="D127:G127"/>
    <mergeCell ref="D126:G126"/>
    <mergeCell ref="D125:G125"/>
    <mergeCell ref="D124:G124"/>
    <mergeCell ref="D123:G123"/>
    <mergeCell ref="D122:G122"/>
    <mergeCell ref="D121:G121"/>
    <mergeCell ref="D120:G120"/>
    <mergeCell ref="H128:J128"/>
    <mergeCell ref="H123:J123"/>
    <mergeCell ref="H127:J127"/>
    <mergeCell ref="H126:J126"/>
    <mergeCell ref="H125:J125"/>
    <mergeCell ref="H124:J124"/>
    <mergeCell ref="H132:J132"/>
    <mergeCell ref="H101:J101"/>
    <mergeCell ref="D139:G139"/>
    <mergeCell ref="D138:G138"/>
    <mergeCell ref="D167:G167"/>
    <mergeCell ref="H167:J167"/>
    <mergeCell ref="D134:G134"/>
    <mergeCell ref="D133:G133"/>
    <mergeCell ref="D132:G132"/>
    <mergeCell ref="D131:G131"/>
    <mergeCell ref="D130:G130"/>
    <mergeCell ref="D148:G148"/>
    <mergeCell ref="H148:J148"/>
    <mergeCell ref="D103:G103"/>
    <mergeCell ref="D102:G102"/>
    <mergeCell ref="H103:J103"/>
    <mergeCell ref="H102:J102"/>
    <mergeCell ref="D129:G129"/>
    <mergeCell ref="H129:J129"/>
    <mergeCell ref="H130:J130"/>
    <mergeCell ref="H131:J131"/>
    <mergeCell ref="H143:J143"/>
    <mergeCell ref="D147:G147"/>
    <mergeCell ref="D146:G146"/>
    <mergeCell ref="D100:G100"/>
    <mergeCell ref="D99:G99"/>
    <mergeCell ref="D98:G98"/>
    <mergeCell ref="D97:G97"/>
    <mergeCell ref="D96:G96"/>
    <mergeCell ref="H98:J98"/>
    <mergeCell ref="H97:J97"/>
    <mergeCell ref="H96:J96"/>
    <mergeCell ref="H122:J122"/>
    <mergeCell ref="H121:J121"/>
    <mergeCell ref="H120:J120"/>
    <mergeCell ref="B96:C104"/>
    <mergeCell ref="D104:G104"/>
    <mergeCell ref="H104:J104"/>
    <mergeCell ref="D137:G137"/>
    <mergeCell ref="H137:J137"/>
    <mergeCell ref="B129:C137"/>
    <mergeCell ref="K9:L9"/>
    <mergeCell ref="D95:G95"/>
    <mergeCell ref="K13:L13"/>
    <mergeCell ref="K16:L16"/>
    <mergeCell ref="B32:C32"/>
    <mergeCell ref="B30:C31"/>
    <mergeCell ref="D31:E31"/>
    <mergeCell ref="D30:K30"/>
    <mergeCell ref="D32:E32"/>
    <mergeCell ref="J31:K31"/>
    <mergeCell ref="J32:K32"/>
    <mergeCell ref="F31:I31"/>
    <mergeCell ref="F32:I32"/>
    <mergeCell ref="B95:C95"/>
    <mergeCell ref="H95:J95"/>
    <mergeCell ref="H100:J100"/>
    <mergeCell ref="H99:J99"/>
    <mergeCell ref="D101:G101"/>
    <mergeCell ref="B265:C265"/>
    <mergeCell ref="D265:G265"/>
    <mergeCell ref="H265:J265"/>
    <mergeCell ref="D174:G174"/>
    <mergeCell ref="H174:J174"/>
    <mergeCell ref="D175:G175"/>
    <mergeCell ref="H175:J175"/>
    <mergeCell ref="D171:G171"/>
    <mergeCell ref="H171:J171"/>
    <mergeCell ref="D172:G172"/>
    <mergeCell ref="H172:J172"/>
    <mergeCell ref="D173:G173"/>
    <mergeCell ref="H173:J173"/>
    <mergeCell ref="D176:G176"/>
    <mergeCell ref="H176:J176"/>
    <mergeCell ref="D188:G188"/>
    <mergeCell ref="B196:C196"/>
    <mergeCell ref="D196:G196"/>
    <mergeCell ref="H196:J196"/>
    <mergeCell ref="D197:G197"/>
    <mergeCell ref="H197:J197"/>
    <mergeCell ref="H192:J192"/>
    <mergeCell ref="D193:G193"/>
    <mergeCell ref="H193:J193"/>
  </mergeCells>
  <pageMargins left="0.5" right="0.5" top="0.5" bottom="0.25" header="0" footer="0"/>
  <pageSetup orientation="portrait" r:id="rId1"/>
  <headerFooter differentFirst="1" scaleWithDoc="0" alignWithMargins="0">
    <oddFooter>&amp;R&amp;"-,Bold"&amp;10&amp;K003883&amp;P / &amp;N</oddFooter>
  </headerFooter>
  <drawing r:id="rId2"/>
  <legacyDrawing r:id="rId3"/>
  <controls>
    <mc:AlternateContent xmlns:mc="http://schemas.openxmlformats.org/markup-compatibility/2006">
      <mc:Choice Requires="x14">
        <control shapeId="12291" r:id="rId4" name="Create_PDF_File">
          <controlPr defaultSize="0" autoLine="0" r:id="rId5">
            <anchor moveWithCells="1">
              <from>
                <xdr:col>0</xdr:col>
                <xdr:colOff>76200</xdr:colOff>
                <xdr:row>0</xdr:row>
                <xdr:rowOff>85725</xdr:rowOff>
              </from>
              <to>
                <xdr:col>3</xdr:col>
                <xdr:colOff>409575</xdr:colOff>
                <xdr:row>2</xdr:row>
                <xdr:rowOff>114300</xdr:rowOff>
              </to>
            </anchor>
          </controlPr>
        </control>
      </mc:Choice>
      <mc:Fallback>
        <control shapeId="12291" r:id="rId4" name="Create_PDF_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63D0F-420E-4FD0-8C8D-C08959CF7B57}">
  <sheetPr codeName="Sheet11"/>
  <dimension ref="A4:X53"/>
  <sheetViews>
    <sheetView zoomScale="85" zoomScaleNormal="85" workbookViewId="0">
      <selection activeCell="F3" sqref="F3"/>
    </sheetView>
  </sheetViews>
  <sheetFormatPr defaultColWidth="9.140625" defaultRowHeight="15" x14ac:dyDescent="0.25"/>
  <cols>
    <col min="1" max="1" width="22.5703125" style="232" bestFit="1" customWidth="1"/>
    <col min="2" max="2" width="25.7109375" style="232" customWidth="1"/>
    <col min="3" max="3" width="2.7109375" style="1" customWidth="1"/>
    <col min="4" max="4" width="15.7109375" style="232" customWidth="1"/>
    <col min="5" max="5" width="2.7109375" style="1" customWidth="1"/>
    <col min="6" max="13" width="4.7109375" style="232" customWidth="1"/>
    <col min="14" max="14" width="2.7109375" style="1" customWidth="1"/>
    <col min="15" max="15" width="21.5703125" style="1" bestFit="1" customWidth="1"/>
    <col min="16" max="16" width="15.7109375" style="232" customWidth="1"/>
    <col min="17" max="17" width="18.7109375" style="232" customWidth="1"/>
    <col min="18" max="18" width="22.7109375" style="232" customWidth="1"/>
    <col min="19" max="19" width="24.85546875" style="232" bestFit="1" customWidth="1"/>
    <col min="20" max="23" width="24.7109375" style="232" customWidth="1"/>
    <col min="24" max="24" width="2.7109375" style="1" customWidth="1"/>
    <col min="25" max="16384" width="9.140625" style="1"/>
  </cols>
  <sheetData>
    <row r="4" spans="1:24" x14ac:dyDescent="0.25">
      <c r="A4" s="411"/>
      <c r="B4" s="412"/>
      <c r="C4" s="326"/>
      <c r="D4" s="327" t="s">
        <v>937</v>
      </c>
      <c r="E4" s="328"/>
      <c r="F4" s="327" t="s">
        <v>938</v>
      </c>
      <c r="G4" s="329"/>
      <c r="H4" s="329"/>
      <c r="I4" s="329"/>
      <c r="J4" s="329"/>
      <c r="K4" s="329"/>
      <c r="L4" s="329"/>
      <c r="M4" s="329"/>
      <c r="N4" s="326"/>
      <c r="O4" s="327" t="s">
        <v>883</v>
      </c>
      <c r="P4" s="327" t="s">
        <v>824</v>
      </c>
      <c r="Q4" s="327" t="s">
        <v>911</v>
      </c>
      <c r="R4" s="327" t="s">
        <v>570</v>
      </c>
      <c r="S4" s="327" t="s">
        <v>912</v>
      </c>
      <c r="T4" s="329"/>
      <c r="U4" s="329"/>
      <c r="V4" s="329"/>
      <c r="W4" s="329"/>
      <c r="X4" s="233"/>
    </row>
    <row r="5" spans="1:24" x14ac:dyDescent="0.25">
      <c r="A5" s="330" t="s">
        <v>879</v>
      </c>
      <c r="B5" s="330" t="s">
        <v>826</v>
      </c>
      <c r="C5" s="326"/>
      <c r="D5" s="354"/>
      <c r="E5" s="326"/>
      <c r="F5" s="354"/>
      <c r="G5" s="329"/>
      <c r="H5" s="329"/>
      <c r="I5" s="329"/>
      <c r="J5" s="329"/>
      <c r="K5" s="329"/>
      <c r="L5" s="329"/>
      <c r="M5" s="329"/>
      <c r="N5" s="326"/>
      <c r="O5" s="331" t="str" cm="1">
        <f t="array" ref="O5">INDEX(OTP_conf_file_generation!G19:G21,IF(ISNA(O6),1,O6))</f>
        <v>PC - Sampling</v>
      </c>
      <c r="P5" s="331" t="str">
        <f>IFERROR(P6,OTP_conf_file_generation!I22)</f>
        <v>FS8530</v>
      </c>
      <c r="Q5" s="332" t="str">
        <f>IF(Q6="","--",Q6)</f>
        <v>--</v>
      </c>
      <c r="R5" s="332" t="str" cm="1">
        <f t="array" ref="R5">IF(R6="",OTP_conf_file_generation!G17,INDEX(OTP_conf_file_generation!G16:G17,IFERROR(MATCH(UPPER(R6),LEFT(OTP_conf_file_generation!G16:G17,2),0),2)))</f>
        <v>KS - Dimple</v>
      </c>
      <c r="S5" s="332" t="str">
        <f>IF(S6="","-",IFERROR(S6,"-"))</f>
        <v>-</v>
      </c>
      <c r="T5" s="333"/>
      <c r="U5" s="329"/>
      <c r="V5" s="329"/>
      <c r="W5" s="329"/>
      <c r="X5" s="233"/>
    </row>
    <row r="6" spans="1:24" x14ac:dyDescent="0.25">
      <c r="A6" s="330" t="s">
        <v>880</v>
      </c>
      <c r="B6" s="356"/>
      <c r="C6" s="326"/>
      <c r="D6" s="355"/>
      <c r="E6" s="326"/>
      <c r="F6" s="329"/>
      <c r="G6" s="329"/>
      <c r="H6" s="329"/>
      <c r="I6" s="329"/>
      <c r="J6" s="329"/>
      <c r="K6" s="329"/>
      <c r="L6" s="329"/>
      <c r="M6" s="329"/>
      <c r="N6" s="326"/>
      <c r="O6" s="334" t="e" cm="1">
        <f t="array" ref="O6">MATCH(LEFT(D5,2),LEFT(OTP_conf_file_generation!G19:G21,2),0)</f>
        <v>#N/A</v>
      </c>
      <c r="P6" s="334" t="str">
        <f>IFERROR(MID(D5, SEARCH("FS8",D5,1),6),"FS8530")</f>
        <v>FS8530</v>
      </c>
      <c r="Q6" s="334" t="str">
        <f>IFERROR(MID(D5, SEARCH("FS8",D5,1)+6,2),"")</f>
        <v/>
      </c>
      <c r="R6" s="334" t="str">
        <f>IFERROR(MID(D5, SEARCH("FS",D5,1)+8,2),"")</f>
        <v/>
      </c>
      <c r="S6" s="335" t="str">
        <f>RIGHT(F5,1)</f>
        <v/>
      </c>
      <c r="T6" s="329"/>
      <c r="U6" s="329"/>
      <c r="V6" s="329"/>
      <c r="W6" s="329"/>
      <c r="X6" s="233"/>
    </row>
    <row r="7" spans="1:24" x14ac:dyDescent="0.25">
      <c r="A7" s="336" t="s">
        <v>490</v>
      </c>
      <c r="B7" s="337"/>
      <c r="C7" s="326"/>
      <c r="D7" s="329"/>
      <c r="E7" s="326"/>
      <c r="F7" s="338"/>
      <c r="G7" s="338"/>
      <c r="H7" s="338"/>
      <c r="I7" s="338"/>
      <c r="J7" s="338"/>
      <c r="K7" s="338"/>
      <c r="L7" s="338"/>
      <c r="M7" s="338"/>
      <c r="N7" s="326"/>
      <c r="O7" s="327" t="s">
        <v>793</v>
      </c>
      <c r="P7" s="327" t="s">
        <v>794</v>
      </c>
      <c r="Q7" s="327" t="s">
        <v>795</v>
      </c>
      <c r="R7" s="327" t="s">
        <v>796</v>
      </c>
      <c r="S7" s="327" t="s">
        <v>797</v>
      </c>
      <c r="T7" s="327" t="s">
        <v>798</v>
      </c>
      <c r="U7" s="327" t="s">
        <v>799</v>
      </c>
      <c r="V7" s="327" t="s">
        <v>800</v>
      </c>
      <c r="W7" s="327" t="s">
        <v>801</v>
      </c>
      <c r="X7" s="233"/>
    </row>
    <row r="8" spans="1:24" x14ac:dyDescent="0.25">
      <c r="A8" s="339">
        <v>14</v>
      </c>
      <c r="B8" s="339" t="s">
        <v>301</v>
      </c>
      <c r="C8" s="326"/>
      <c r="D8" s="340" t="str">
        <f>HEX2BIN(B8,8)</f>
        <v>00001111</v>
      </c>
      <c r="E8" s="326"/>
      <c r="F8" s="340" t="str">
        <f t="shared" ref="F8:F35" si="0">LEFT(D8,1)</f>
        <v>0</v>
      </c>
      <c r="G8" s="340" t="str">
        <f t="shared" ref="G8:G35" si="1">MID(D8,2,1)</f>
        <v>0</v>
      </c>
      <c r="H8" s="340" t="str">
        <f t="shared" ref="H8:H35" si="2">MID(D8,3,1)</f>
        <v>0</v>
      </c>
      <c r="I8" s="340" t="str">
        <f>MID(D8,4,1)</f>
        <v>0</v>
      </c>
      <c r="J8" s="340" t="str">
        <f t="shared" ref="J8:J35" si="3">MID(D8,5,1)</f>
        <v>1</v>
      </c>
      <c r="K8" s="340" t="str">
        <f t="shared" ref="K8:K35" si="4">MID(D8,6,1)</f>
        <v>1</v>
      </c>
      <c r="L8" s="340" t="str">
        <f t="shared" ref="L8:L35" si="5">MID(D8,7,1)</f>
        <v>1</v>
      </c>
      <c r="M8" s="340" t="str">
        <f t="shared" ref="M8:M35" si="6">RIGHT(D8,1)</f>
        <v>1</v>
      </c>
      <c r="N8" s="326"/>
      <c r="O8" s="341" t="s">
        <v>97</v>
      </c>
      <c r="P8" s="342">
        <v>0</v>
      </c>
      <c r="Q8" s="342">
        <v>0</v>
      </c>
      <c r="R8" s="413" t="str">
        <f>VLOOKUP(_xlfn.CONCAT(H8:M8),OTP_conf_main_bits!B2:C6,2,FALSE)</f>
        <v>001111 - 3.3V</v>
      </c>
      <c r="S8" s="413"/>
      <c r="T8" s="413"/>
      <c r="U8" s="413"/>
      <c r="V8" s="413"/>
      <c r="W8" s="413"/>
      <c r="X8" s="233"/>
    </row>
    <row r="9" spans="1:24" x14ac:dyDescent="0.25">
      <c r="A9" s="339">
        <v>15</v>
      </c>
      <c r="B9" s="339">
        <v>6</v>
      </c>
      <c r="C9" s="326"/>
      <c r="D9" s="340" t="str">
        <f t="shared" ref="D9:D52" si="7">HEX2BIN(B9,8)</f>
        <v>00000110</v>
      </c>
      <c r="E9" s="326"/>
      <c r="F9" s="340" t="str">
        <f t="shared" si="0"/>
        <v>0</v>
      </c>
      <c r="G9" s="340" t="str">
        <f t="shared" si="1"/>
        <v>0</v>
      </c>
      <c r="H9" s="340" t="str">
        <f t="shared" si="2"/>
        <v>0</v>
      </c>
      <c r="I9" s="340" t="str">
        <f t="shared" ref="I9:I52" si="8">MID(D9,4,1)</f>
        <v>0</v>
      </c>
      <c r="J9" s="340" t="str">
        <f t="shared" si="3"/>
        <v>0</v>
      </c>
      <c r="K9" s="340" t="str">
        <f t="shared" si="4"/>
        <v>1</v>
      </c>
      <c r="L9" s="340" t="str">
        <f t="shared" si="5"/>
        <v>1</v>
      </c>
      <c r="M9" s="340" t="str">
        <f t="shared" si="6"/>
        <v>0</v>
      </c>
      <c r="N9" s="326"/>
      <c r="O9" s="341" t="s">
        <v>98</v>
      </c>
      <c r="P9" s="342">
        <v>0</v>
      </c>
      <c r="Q9" s="342">
        <v>0</v>
      </c>
      <c r="R9" s="413" t="str">
        <f>VLOOKUP(_xlfn.CONCAT(H9:M9),OTP_conf_main_bits!B8:C18,2,FALSE)</f>
        <v>000110 - 60mV/µs</v>
      </c>
      <c r="S9" s="413"/>
      <c r="T9" s="413"/>
      <c r="U9" s="413"/>
      <c r="V9" s="413"/>
      <c r="W9" s="413"/>
      <c r="X9" s="233"/>
    </row>
    <row r="10" spans="1:24" x14ac:dyDescent="0.25">
      <c r="A10" s="339">
        <v>16</v>
      </c>
      <c r="B10" s="339" t="s">
        <v>200</v>
      </c>
      <c r="C10" s="326"/>
      <c r="D10" s="340" t="str">
        <f t="shared" si="7"/>
        <v>00101110</v>
      </c>
      <c r="E10" s="326"/>
      <c r="F10" s="340" t="str">
        <f t="shared" si="0"/>
        <v>0</v>
      </c>
      <c r="G10" s="340" t="str">
        <f t="shared" si="1"/>
        <v>0</v>
      </c>
      <c r="H10" s="340" t="str">
        <f t="shared" si="2"/>
        <v>1</v>
      </c>
      <c r="I10" s="340" t="str">
        <f t="shared" si="8"/>
        <v>0</v>
      </c>
      <c r="J10" s="340" t="str">
        <f t="shared" si="3"/>
        <v>1</v>
      </c>
      <c r="K10" s="340" t="str">
        <f t="shared" si="4"/>
        <v>1</v>
      </c>
      <c r="L10" s="340" t="str">
        <f t="shared" si="5"/>
        <v>1</v>
      </c>
      <c r="M10" s="340" t="str">
        <f t="shared" si="6"/>
        <v>0</v>
      </c>
      <c r="N10" s="326"/>
      <c r="O10" s="341" t="s">
        <v>99</v>
      </c>
      <c r="P10" s="413" t="str">
        <f>VLOOKUP(_xlfn.CONCAT(F10,G10),OTP_conf_main_bits!B20:C23,2,FALSE)</f>
        <v>00 - 50mV</v>
      </c>
      <c r="Q10" s="413"/>
      <c r="R10" s="413" t="str">
        <f>VLOOKUP(_xlfn.CONCAT(H10,I10),OTP_conf_main_bits!B25:C25,2,FALSE)</f>
        <v>10 - 40ns</v>
      </c>
      <c r="S10" s="413"/>
      <c r="T10" s="413" t="s">
        <v>608</v>
      </c>
      <c r="U10" s="413"/>
      <c r="V10" s="413" t="str">
        <f>VLOOKUP(_xlfn.CONCAT(L10,M10),OTP_conf_main_bits!B29:C32,2,FALSE)</f>
        <v>10 - PU/PD/520mA</v>
      </c>
      <c r="W10" s="413"/>
      <c r="X10" s="233"/>
    </row>
    <row r="11" spans="1:24" x14ac:dyDescent="0.25">
      <c r="A11" s="339">
        <v>17</v>
      </c>
      <c r="B11" s="339">
        <v>6</v>
      </c>
      <c r="C11" s="326"/>
      <c r="D11" s="340" t="str">
        <f t="shared" si="7"/>
        <v>00000110</v>
      </c>
      <c r="E11" s="326"/>
      <c r="F11" s="340" t="str">
        <f t="shared" si="0"/>
        <v>0</v>
      </c>
      <c r="G11" s="340" t="str">
        <f t="shared" si="1"/>
        <v>0</v>
      </c>
      <c r="H11" s="340" t="str">
        <f t="shared" si="2"/>
        <v>0</v>
      </c>
      <c r="I11" s="340" t="str">
        <f t="shared" si="8"/>
        <v>0</v>
      </c>
      <c r="J11" s="340" t="str">
        <f t="shared" si="3"/>
        <v>0</v>
      </c>
      <c r="K11" s="340" t="str">
        <f t="shared" si="4"/>
        <v>1</v>
      </c>
      <c r="L11" s="340" t="str">
        <f t="shared" si="5"/>
        <v>1</v>
      </c>
      <c r="M11" s="340" t="str">
        <f t="shared" si="6"/>
        <v>0</v>
      </c>
      <c r="N11" s="326"/>
      <c r="O11" s="341" t="s">
        <v>100</v>
      </c>
      <c r="P11" s="343">
        <v>0</v>
      </c>
      <c r="Q11" s="344">
        <v>0</v>
      </c>
      <c r="R11" s="331" t="str">
        <f>VLOOKUP(H11,OTP_conf_main_bits!B34:C35,2,FALSE)</f>
        <v>0 - Force PWM</v>
      </c>
      <c r="S11" s="344">
        <v>0</v>
      </c>
      <c r="T11" s="407" t="str">
        <f>VLOOKUP(_xlfn.CONCAT(J11:M11),OTP_conf_main_bits!B37:C38,2,FALSE)</f>
        <v>0110 - 5.00V</v>
      </c>
      <c r="U11" s="410"/>
      <c r="V11" s="410"/>
      <c r="W11" s="408"/>
      <c r="X11" s="233"/>
    </row>
    <row r="12" spans="1:24" x14ac:dyDescent="0.25">
      <c r="A12" s="339">
        <v>18</v>
      </c>
      <c r="B12" s="339">
        <v>86</v>
      </c>
      <c r="C12" s="326"/>
      <c r="D12" s="340" t="str">
        <f t="shared" si="7"/>
        <v>10000110</v>
      </c>
      <c r="E12" s="326"/>
      <c r="F12" s="340" t="str">
        <f t="shared" si="0"/>
        <v>1</v>
      </c>
      <c r="G12" s="340" t="str">
        <f t="shared" si="1"/>
        <v>0</v>
      </c>
      <c r="H12" s="340" t="str">
        <f t="shared" si="2"/>
        <v>0</v>
      </c>
      <c r="I12" s="340" t="str">
        <f t="shared" si="8"/>
        <v>0</v>
      </c>
      <c r="J12" s="340" t="str">
        <f t="shared" si="3"/>
        <v>0</v>
      </c>
      <c r="K12" s="340" t="str">
        <f t="shared" si="4"/>
        <v>1</v>
      </c>
      <c r="L12" s="340" t="str">
        <f t="shared" si="5"/>
        <v>1</v>
      </c>
      <c r="M12" s="340" t="str">
        <f t="shared" si="6"/>
        <v>0</v>
      </c>
      <c r="N12" s="326"/>
      <c r="O12" s="341" t="s">
        <v>101</v>
      </c>
      <c r="P12" s="331" t="str">
        <f>VLOOKUP(F12,OTP_conf_main_bits!B40:C41,2,FALSE)</f>
        <v>1 - Enabled</v>
      </c>
      <c r="Q12" s="407" t="str">
        <f>VLOOKUP(_xlfn.CONCAT(G12,H12),OTP_conf_main_bits!B43:C44,2,FALSE)</f>
        <v>00 - 60ns</v>
      </c>
      <c r="R12" s="408"/>
      <c r="S12" s="407" t="str">
        <f>VLOOKUP(_xlfn.CONCAT(I12:M12),OTP_conf_main_bits!B46:C48,2,FALSE)</f>
        <v>00110 - 160mV/µs</v>
      </c>
      <c r="T12" s="410"/>
      <c r="U12" s="410"/>
      <c r="V12" s="410"/>
      <c r="W12" s="408"/>
      <c r="X12" s="233"/>
    </row>
    <row r="13" spans="1:24" x14ac:dyDescent="0.25">
      <c r="A13" s="339">
        <v>19</v>
      </c>
      <c r="B13" s="339">
        <v>7</v>
      </c>
      <c r="C13" s="326"/>
      <c r="D13" s="340" t="str">
        <f t="shared" si="7"/>
        <v>00000111</v>
      </c>
      <c r="E13" s="326"/>
      <c r="F13" s="340" t="str">
        <f t="shared" si="0"/>
        <v>0</v>
      </c>
      <c r="G13" s="340" t="str">
        <f t="shared" si="1"/>
        <v>0</v>
      </c>
      <c r="H13" s="340" t="str">
        <f t="shared" si="2"/>
        <v>0</v>
      </c>
      <c r="I13" s="340" t="str">
        <f t="shared" si="8"/>
        <v>0</v>
      </c>
      <c r="J13" s="340" t="str">
        <f t="shared" si="3"/>
        <v>0</v>
      </c>
      <c r="K13" s="340" t="str">
        <f t="shared" si="4"/>
        <v>1</v>
      </c>
      <c r="L13" s="340" t="str">
        <f t="shared" si="5"/>
        <v>1</v>
      </c>
      <c r="M13" s="340" t="str">
        <f t="shared" si="6"/>
        <v>1</v>
      </c>
      <c r="N13" s="326"/>
      <c r="O13" s="341" t="s">
        <v>102</v>
      </c>
      <c r="P13" s="407" t="str">
        <f>VLOOKUP(_xlfn.CONCAT(F13,G13),OTP_conf_main_bits!B50:C51,2,FALSE)</f>
        <v>00 - 750kohms</v>
      </c>
      <c r="Q13" s="408"/>
      <c r="R13" s="407" t="str">
        <f>VLOOKUP(_xlfn.CONCAT(H13,I13),OTP_conf_main_bits!B53:C53,2,FALSE)</f>
        <v>00 - 125pF</v>
      </c>
      <c r="S13" s="408"/>
      <c r="T13" s="407" t="str">
        <f>VLOOKUP(_xlfn.CONCAT(J13,K13),OTP_conf_main_bits!B55:C55,2,FALSE)</f>
        <v>01 - 2A</v>
      </c>
      <c r="U13" s="408"/>
      <c r="V13" s="407" t="str">
        <f>VLOOKUP(_xlfn.CONCAT(L13,M13),OTP_conf_main_bits!B57:C58,2,FALSE)</f>
        <v>11 - 500V/µs</v>
      </c>
      <c r="W13" s="408"/>
      <c r="X13" s="233"/>
    </row>
    <row r="14" spans="1:24" x14ac:dyDescent="0.25">
      <c r="A14" s="339" t="s">
        <v>180</v>
      </c>
      <c r="B14" s="339">
        <v>50</v>
      </c>
      <c r="C14" s="326"/>
      <c r="D14" s="340" t="str">
        <f t="shared" si="7"/>
        <v>01010000</v>
      </c>
      <c r="E14" s="326"/>
      <c r="F14" s="340" t="str">
        <f t="shared" si="0"/>
        <v>0</v>
      </c>
      <c r="G14" s="340" t="str">
        <f t="shared" si="1"/>
        <v>1</v>
      </c>
      <c r="H14" s="340" t="str">
        <f t="shared" si="2"/>
        <v>0</v>
      </c>
      <c r="I14" s="340" t="str">
        <f t="shared" si="8"/>
        <v>1</v>
      </c>
      <c r="J14" s="340" t="str">
        <f t="shared" si="3"/>
        <v>0</v>
      </c>
      <c r="K14" s="340" t="str">
        <f t="shared" si="4"/>
        <v>0</v>
      </c>
      <c r="L14" s="340" t="str">
        <f t="shared" si="5"/>
        <v>0</v>
      </c>
      <c r="M14" s="340" t="str">
        <f t="shared" si="6"/>
        <v>0</v>
      </c>
      <c r="N14" s="326"/>
      <c r="O14" s="341" t="s">
        <v>34</v>
      </c>
      <c r="P14" s="407" t="str">
        <f>VLOOKUP(_xlfn.CONCAT(F14:M14),OTP_conf_main_bits!B60:C79,2,FALSE)</f>
        <v>01010000 - 0.9V</v>
      </c>
      <c r="Q14" s="410"/>
      <c r="R14" s="410"/>
      <c r="S14" s="410"/>
      <c r="T14" s="410"/>
      <c r="U14" s="410"/>
      <c r="V14" s="410"/>
      <c r="W14" s="408"/>
      <c r="X14" s="233"/>
    </row>
    <row r="15" spans="1:24" x14ac:dyDescent="0.25">
      <c r="A15" s="339" t="s">
        <v>181</v>
      </c>
      <c r="B15" s="339">
        <v>2</v>
      </c>
      <c r="C15" s="326"/>
      <c r="D15" s="340" t="str">
        <f t="shared" si="7"/>
        <v>00000010</v>
      </c>
      <c r="E15" s="326"/>
      <c r="F15" s="340" t="str">
        <f t="shared" si="0"/>
        <v>0</v>
      </c>
      <c r="G15" s="340" t="str">
        <f t="shared" si="1"/>
        <v>0</v>
      </c>
      <c r="H15" s="340" t="str">
        <f t="shared" si="2"/>
        <v>0</v>
      </c>
      <c r="I15" s="340" t="str">
        <f t="shared" si="8"/>
        <v>0</v>
      </c>
      <c r="J15" s="340" t="str">
        <f t="shared" si="3"/>
        <v>0</v>
      </c>
      <c r="K15" s="340" t="str">
        <f t="shared" si="4"/>
        <v>0</v>
      </c>
      <c r="L15" s="340" t="str">
        <f t="shared" si="5"/>
        <v>1</v>
      </c>
      <c r="M15" s="340" t="str">
        <f t="shared" si="6"/>
        <v>0</v>
      </c>
      <c r="N15" s="326"/>
      <c r="O15" s="341" t="s">
        <v>35</v>
      </c>
      <c r="P15" s="344">
        <v>0</v>
      </c>
      <c r="Q15" s="344">
        <v>0</v>
      </c>
      <c r="R15" s="344">
        <v>0</v>
      </c>
      <c r="S15" s="407" t="str">
        <f>VLOOKUP(_xlfn.CONCAT(I15:J15),OTP_conf_main_bits!B81:C83,2,FALSE)</f>
        <v>00 - 1µH</v>
      </c>
      <c r="T15" s="408"/>
      <c r="U15" s="407" t="str">
        <f>VLOOKUP(_xlfn.CONCAT(K15:L15),OTP_conf_main_bits!B85:C86,2,FALSE)</f>
        <v>01 - 2.6A</v>
      </c>
      <c r="V15" s="408"/>
      <c r="W15" s="331" t="str">
        <f>VLOOKUP(M15,OTP_conf_main_bits!B88:C89,2,FALSE)</f>
        <v>0 - Disabled</v>
      </c>
      <c r="X15" s="233"/>
    </row>
    <row r="16" spans="1:24" x14ac:dyDescent="0.25">
      <c r="A16" s="339" t="s">
        <v>182</v>
      </c>
      <c r="B16" s="339">
        <v>88</v>
      </c>
      <c r="C16" s="326"/>
      <c r="D16" s="340" t="str">
        <f t="shared" si="7"/>
        <v>10001000</v>
      </c>
      <c r="E16" s="326"/>
      <c r="F16" s="340" t="str">
        <f t="shared" si="0"/>
        <v>1</v>
      </c>
      <c r="G16" s="340" t="str">
        <f t="shared" si="1"/>
        <v>0</v>
      </c>
      <c r="H16" s="340" t="str">
        <f t="shared" si="2"/>
        <v>0</v>
      </c>
      <c r="I16" s="340" t="str">
        <f t="shared" si="8"/>
        <v>0</v>
      </c>
      <c r="J16" s="340" t="str">
        <f t="shared" si="3"/>
        <v>1</v>
      </c>
      <c r="K16" s="340" t="str">
        <f t="shared" si="4"/>
        <v>0</v>
      </c>
      <c r="L16" s="340" t="str">
        <f t="shared" si="5"/>
        <v>0</v>
      </c>
      <c r="M16" s="340" t="str">
        <f t="shared" si="6"/>
        <v>0</v>
      </c>
      <c r="N16" s="326"/>
      <c r="O16" s="341" t="s">
        <v>38</v>
      </c>
      <c r="P16" s="407" t="str">
        <f>VLOOKUP(_xlfn.CONCAT(F16:M16),OTP_conf_main_bits!B91:C110,2,FALSE)</f>
        <v>10001000 - 1.25V</v>
      </c>
      <c r="Q16" s="410"/>
      <c r="R16" s="410"/>
      <c r="S16" s="410"/>
      <c r="T16" s="410"/>
      <c r="U16" s="410"/>
      <c r="V16" s="410"/>
      <c r="W16" s="408"/>
      <c r="X16" s="233"/>
    </row>
    <row r="17" spans="1:24" x14ac:dyDescent="0.25">
      <c r="A17" s="339" t="s">
        <v>183</v>
      </c>
      <c r="B17" s="339">
        <v>14</v>
      </c>
      <c r="C17" s="326"/>
      <c r="D17" s="340" t="str">
        <f t="shared" si="7"/>
        <v>00010100</v>
      </c>
      <c r="E17" s="326"/>
      <c r="F17" s="340" t="str">
        <f t="shared" si="0"/>
        <v>0</v>
      </c>
      <c r="G17" s="340" t="str">
        <f t="shared" si="1"/>
        <v>0</v>
      </c>
      <c r="H17" s="340" t="str">
        <f t="shared" si="2"/>
        <v>0</v>
      </c>
      <c r="I17" s="340" t="str">
        <f t="shared" si="8"/>
        <v>1</v>
      </c>
      <c r="J17" s="340" t="str">
        <f t="shared" si="3"/>
        <v>0</v>
      </c>
      <c r="K17" s="340" t="str">
        <f t="shared" si="4"/>
        <v>1</v>
      </c>
      <c r="L17" s="340" t="str">
        <f t="shared" si="5"/>
        <v>0</v>
      </c>
      <c r="M17" s="340" t="str">
        <f t="shared" si="6"/>
        <v>0</v>
      </c>
      <c r="N17" s="326"/>
      <c r="O17" s="341" t="s">
        <v>39</v>
      </c>
      <c r="P17" s="344">
        <v>0</v>
      </c>
      <c r="Q17" s="407" t="str">
        <f>VLOOKUP(_xlfn.CONCAT(G17:H17),OTP_conf_main_bits!B112:C114,2,FALSE)</f>
        <v>00 - 1µH</v>
      </c>
      <c r="R17" s="408"/>
      <c r="S17" s="331" t="str">
        <f>VLOOKUP(I17,OTP_conf_main_bits!B116:C117,2,FALSE)</f>
        <v>1 - Enabled</v>
      </c>
      <c r="T17" s="407" t="str">
        <f>VLOOKUP(_xlfn.CONCAT(J17:K17),OTP_conf_main_bits!B119:C120,2,FALSE)</f>
        <v>01 - 2.6A</v>
      </c>
      <c r="U17" s="408"/>
      <c r="V17" s="331" t="str">
        <f>VLOOKUP(L17,OTP_conf_main_bits!B122:C122,2,FALSE)</f>
        <v>0 - Default</v>
      </c>
      <c r="W17" s="331" t="str">
        <f>VLOOKUP(M17,OTP_conf_main_bits!B124:C124,2,FALSE)</f>
        <v>0 - Default</v>
      </c>
      <c r="X17" s="233"/>
    </row>
    <row r="18" spans="1:24" x14ac:dyDescent="0.25">
      <c r="A18" s="339" t="s">
        <v>184</v>
      </c>
      <c r="B18" s="339">
        <v>10</v>
      </c>
      <c r="C18" s="326"/>
      <c r="D18" s="340" t="str">
        <f t="shared" si="7"/>
        <v>00010000</v>
      </c>
      <c r="E18" s="326"/>
      <c r="F18" s="340" t="str">
        <f t="shared" si="0"/>
        <v>0</v>
      </c>
      <c r="G18" s="340" t="str">
        <f t="shared" si="1"/>
        <v>0</v>
      </c>
      <c r="H18" s="340" t="str">
        <f t="shared" si="2"/>
        <v>0</v>
      </c>
      <c r="I18" s="340" t="str">
        <f t="shared" si="8"/>
        <v>1</v>
      </c>
      <c r="J18" s="340" t="str">
        <f t="shared" si="3"/>
        <v>0</v>
      </c>
      <c r="K18" s="340" t="str">
        <f t="shared" si="4"/>
        <v>0</v>
      </c>
      <c r="L18" s="340" t="str">
        <f t="shared" si="5"/>
        <v>0</v>
      </c>
      <c r="M18" s="340" t="str">
        <f t="shared" si="6"/>
        <v>0</v>
      </c>
      <c r="N18" s="326"/>
      <c r="O18" s="341" t="s">
        <v>42</v>
      </c>
      <c r="P18" s="331" t="str">
        <f>VLOOKUP(F18,OTP_conf_main_bits!B126:C127,2,FALSE)</f>
        <v>0 - Disabled</v>
      </c>
      <c r="Q18" s="407" t="str">
        <f>VLOOKUP(_xlfn.CONCAT(G18:H18),OTP_conf_main_bits!B129:C131,2,FALSE)</f>
        <v>00 - 1µH</v>
      </c>
      <c r="R18" s="408"/>
      <c r="S18" s="407" t="str">
        <f>VLOOKUP(_xlfn.CONCAT(I18,J18,K18,L18,M18),OTP_conf_main_bits!B133:C145,2,FALSE)</f>
        <v>10000 - 2.5V</v>
      </c>
      <c r="T18" s="410"/>
      <c r="U18" s="410"/>
      <c r="V18" s="410"/>
      <c r="W18" s="408"/>
      <c r="X18" s="233"/>
    </row>
    <row r="19" spans="1:24" x14ac:dyDescent="0.25">
      <c r="A19" s="339" t="s">
        <v>185</v>
      </c>
      <c r="B19" s="339" t="s">
        <v>940</v>
      </c>
      <c r="C19" s="326"/>
      <c r="D19" s="340" t="str">
        <f t="shared" si="7"/>
        <v>01101101</v>
      </c>
      <c r="E19" s="326"/>
      <c r="F19" s="340" t="str">
        <f t="shared" si="0"/>
        <v>0</v>
      </c>
      <c r="G19" s="340" t="str">
        <f t="shared" si="1"/>
        <v>1</v>
      </c>
      <c r="H19" s="340" t="str">
        <f t="shared" si="2"/>
        <v>1</v>
      </c>
      <c r="I19" s="340" t="str">
        <f t="shared" si="8"/>
        <v>0</v>
      </c>
      <c r="J19" s="340" t="str">
        <f t="shared" si="3"/>
        <v>1</v>
      </c>
      <c r="K19" s="340" t="str">
        <f t="shared" si="4"/>
        <v>1</v>
      </c>
      <c r="L19" s="340" t="str">
        <f t="shared" si="5"/>
        <v>0</v>
      </c>
      <c r="M19" s="340" t="str">
        <f t="shared" si="6"/>
        <v>1</v>
      </c>
      <c r="N19" s="326"/>
      <c r="O19" s="341" t="s">
        <v>43</v>
      </c>
      <c r="P19" s="409" t="str">
        <f>VLOOKUP(_xlfn.CONCAT(F19:H19),OTP_conf_main_bits!B147:C152,2,FALSE)</f>
        <v>011 - 48.75 GM</v>
      </c>
      <c r="Q19" s="410"/>
      <c r="R19" s="408"/>
      <c r="S19" s="409" t="str">
        <f>VLOOKUP(_xlfn.CONCAT(I19:K19),OTP_conf_main_bits!B154:C159,2,FALSE)</f>
        <v>011 - 48.75 GM</v>
      </c>
      <c r="T19" s="410"/>
      <c r="U19" s="408"/>
      <c r="V19" s="407" t="str">
        <f>VLOOKUP(_xlfn.CONCAT(L19:M19),OTP_conf_main_bits!B161:C162,2,FALSE)</f>
        <v>01 - 2.6A</v>
      </c>
      <c r="W19" s="408"/>
      <c r="X19" s="233"/>
    </row>
    <row r="20" spans="1:24" x14ac:dyDescent="0.25">
      <c r="A20" s="339">
        <v>20</v>
      </c>
      <c r="B20" s="339" t="s">
        <v>941</v>
      </c>
      <c r="C20" s="326"/>
      <c r="D20" s="340" t="str">
        <f t="shared" si="7"/>
        <v>11100100</v>
      </c>
      <c r="E20" s="326"/>
      <c r="F20" s="340" t="str">
        <f t="shared" si="0"/>
        <v>1</v>
      </c>
      <c r="G20" s="340" t="str">
        <f t="shared" si="1"/>
        <v>1</v>
      </c>
      <c r="H20" s="340" t="str">
        <f t="shared" si="2"/>
        <v>1</v>
      </c>
      <c r="I20" s="340" t="str">
        <f t="shared" si="8"/>
        <v>0</v>
      </c>
      <c r="J20" s="340" t="str">
        <f t="shared" si="3"/>
        <v>0</v>
      </c>
      <c r="K20" s="340" t="str">
        <f t="shared" si="4"/>
        <v>1</v>
      </c>
      <c r="L20" s="340" t="str">
        <f t="shared" si="5"/>
        <v>0</v>
      </c>
      <c r="M20" s="340" t="str">
        <f t="shared" si="6"/>
        <v>0</v>
      </c>
      <c r="N20" s="326"/>
      <c r="O20" s="341" t="s">
        <v>48</v>
      </c>
      <c r="P20" s="331" t="str">
        <f>VLOOKUP(F20,OTP_conf_main_bits!B164:C165,2,FALSE)</f>
        <v>1 - 150mA</v>
      </c>
      <c r="Q20" s="409" t="str">
        <f>VLOOKUP(_xlfn.CONCAT(G20:I20),OTP_conf_main_bits!B167:C174,2,FALSE)</f>
        <v>110 - 3.3V</v>
      </c>
      <c r="R20" s="410"/>
      <c r="S20" s="408"/>
      <c r="T20" s="331" t="str">
        <f>VLOOKUP(J20,OTP_conf_main_bits!B176:C177,2,FALSE)</f>
        <v>0 - 400mA</v>
      </c>
      <c r="U20" s="409" t="str">
        <f>VLOOKUP(_xlfn.CONCAT(K20:M20),OTP_conf_main_bits!B179:C186,2,FALSE)</f>
        <v>100 - 2.5V</v>
      </c>
      <c r="V20" s="410"/>
      <c r="W20" s="408"/>
      <c r="X20" s="233"/>
    </row>
    <row r="21" spans="1:24" x14ac:dyDescent="0.25">
      <c r="A21" s="339">
        <v>21</v>
      </c>
      <c r="B21" s="339">
        <v>2</v>
      </c>
      <c r="C21" s="326"/>
      <c r="D21" s="340" t="str">
        <f t="shared" si="7"/>
        <v>00000010</v>
      </c>
      <c r="E21" s="326"/>
      <c r="F21" s="340" t="str">
        <f t="shared" si="0"/>
        <v>0</v>
      </c>
      <c r="G21" s="340" t="str">
        <f t="shared" si="1"/>
        <v>0</v>
      </c>
      <c r="H21" s="340" t="str">
        <f t="shared" si="2"/>
        <v>0</v>
      </c>
      <c r="I21" s="340" t="str">
        <f t="shared" si="8"/>
        <v>0</v>
      </c>
      <c r="J21" s="340" t="str">
        <f t="shared" si="3"/>
        <v>0</v>
      </c>
      <c r="K21" s="340" t="str">
        <f t="shared" si="4"/>
        <v>0</v>
      </c>
      <c r="L21" s="340" t="str">
        <f t="shared" si="5"/>
        <v>1</v>
      </c>
      <c r="M21" s="340" t="str">
        <f t="shared" si="6"/>
        <v>0</v>
      </c>
      <c r="N21" s="326"/>
      <c r="O21" s="341" t="s">
        <v>103</v>
      </c>
      <c r="P21" s="344">
        <v>0</v>
      </c>
      <c r="Q21" s="344">
        <v>0</v>
      </c>
      <c r="R21" s="409" t="str">
        <f>VLOOKUP(_xlfn.CONCAT(H21:J21),OTP_conf_main_bits!B188:C195,2,FALSE)</f>
        <v>000 - Regulator Start and Stop in Slot 0</v>
      </c>
      <c r="S21" s="410"/>
      <c r="T21" s="408"/>
      <c r="U21" s="409" t="str">
        <f>VLOOKUP(_xlfn.CONCAT(K21:M21),OTP_conf_main_bits!B197:C204,2,FALSE)</f>
        <v>010 - Regulator Start and Stop in Slot 2</v>
      </c>
      <c r="V21" s="410"/>
      <c r="W21" s="408"/>
      <c r="X21" s="233"/>
    </row>
    <row r="22" spans="1:24" x14ac:dyDescent="0.25">
      <c r="A22" s="339">
        <v>22</v>
      </c>
      <c r="B22" s="339">
        <v>7</v>
      </c>
      <c r="C22" s="326"/>
      <c r="D22" s="340" t="str">
        <f t="shared" si="7"/>
        <v>00000111</v>
      </c>
      <c r="E22" s="326"/>
      <c r="F22" s="340" t="str">
        <f t="shared" si="0"/>
        <v>0</v>
      </c>
      <c r="G22" s="340" t="str">
        <f t="shared" si="1"/>
        <v>0</v>
      </c>
      <c r="H22" s="340" t="str">
        <f t="shared" si="2"/>
        <v>0</v>
      </c>
      <c r="I22" s="340" t="str">
        <f t="shared" si="8"/>
        <v>0</v>
      </c>
      <c r="J22" s="340" t="str">
        <f t="shared" si="3"/>
        <v>0</v>
      </c>
      <c r="K22" s="340" t="str">
        <f t="shared" si="4"/>
        <v>1</v>
      </c>
      <c r="L22" s="340" t="str">
        <f t="shared" si="5"/>
        <v>1</v>
      </c>
      <c r="M22" s="340" t="str">
        <f t="shared" si="6"/>
        <v>1</v>
      </c>
      <c r="N22" s="326"/>
      <c r="O22" s="341" t="s">
        <v>104</v>
      </c>
      <c r="P22" s="344">
        <v>0</v>
      </c>
      <c r="Q22" s="344">
        <v>0</v>
      </c>
      <c r="R22" s="409" t="str">
        <f>VLOOKUP(_xlfn.CONCAT(H22:J22),OTP_conf_main_bits!B206:C213,2,FALSE)</f>
        <v>000 - Regulator Start and Stop in Slot 0</v>
      </c>
      <c r="S22" s="410"/>
      <c r="T22" s="408"/>
      <c r="U22" s="409" t="str">
        <f>VLOOKUP(_xlfn.CONCAT(K22:M22),OTP_conf_main_bits!B215:C222,2,FALSE)</f>
        <v>111 - Regulator does not Start (Enabled by SPI/I2C)</v>
      </c>
      <c r="V22" s="410"/>
      <c r="W22" s="408"/>
      <c r="X22" s="233"/>
    </row>
    <row r="23" spans="1:24" x14ac:dyDescent="0.25">
      <c r="A23" s="339">
        <v>23</v>
      </c>
      <c r="B23" s="339">
        <v>7</v>
      </c>
      <c r="C23" s="326"/>
      <c r="D23" s="340" t="str">
        <f t="shared" si="7"/>
        <v>00000111</v>
      </c>
      <c r="E23" s="326"/>
      <c r="F23" s="340" t="str">
        <f t="shared" si="0"/>
        <v>0</v>
      </c>
      <c r="G23" s="340" t="str">
        <f t="shared" si="1"/>
        <v>0</v>
      </c>
      <c r="H23" s="340" t="str">
        <f t="shared" si="2"/>
        <v>0</v>
      </c>
      <c r="I23" s="340" t="str">
        <f t="shared" si="8"/>
        <v>0</v>
      </c>
      <c r="J23" s="340" t="str">
        <f t="shared" si="3"/>
        <v>0</v>
      </c>
      <c r="K23" s="340" t="str">
        <f t="shared" si="4"/>
        <v>1</v>
      </c>
      <c r="L23" s="340" t="str">
        <f t="shared" si="5"/>
        <v>1</v>
      </c>
      <c r="M23" s="340" t="str">
        <f t="shared" si="6"/>
        <v>1</v>
      </c>
      <c r="N23" s="326"/>
      <c r="O23" s="341" t="s">
        <v>105</v>
      </c>
      <c r="P23" s="407" t="str">
        <f>VLOOKUP(_xlfn.CONCAT(F23,G23),OTP_conf_main_bits!B233:C236,2,FALSE)</f>
        <v>00 - 7.81mV/µs</v>
      </c>
      <c r="Q23" s="408"/>
      <c r="R23" s="407" t="str">
        <f>VLOOKUP(_xlfn.CONCAT(H23,I23),OTP_conf_main_bits!B238:C241,2,FALSE)</f>
        <v>00 - 10.4mV/µs</v>
      </c>
      <c r="S23" s="408"/>
      <c r="T23" s="331" t="str">
        <f>VLOOKUP(J23,OTP_conf_main_bits!B243:C244,2,FALSE)</f>
        <v>0 - 250µs</v>
      </c>
      <c r="U23" s="409" t="str">
        <f>VLOOKUP(_xlfn.CONCAT(K23:M23),OTP_conf_main_bits!B224:C231,2,FALSE)</f>
        <v>111 - Regulator does not Start (Enabled by SPI/I2C)</v>
      </c>
      <c r="V23" s="410"/>
      <c r="W23" s="408"/>
      <c r="X23" s="233"/>
    </row>
    <row r="24" spans="1:24" x14ac:dyDescent="0.25">
      <c r="A24" s="339">
        <v>24</v>
      </c>
      <c r="B24" s="339">
        <v>4</v>
      </c>
      <c r="C24" s="326"/>
      <c r="D24" s="340" t="str">
        <f t="shared" si="7"/>
        <v>00000100</v>
      </c>
      <c r="E24" s="326"/>
      <c r="F24" s="340" t="str">
        <f t="shared" si="0"/>
        <v>0</v>
      </c>
      <c r="G24" s="340" t="str">
        <f t="shared" si="1"/>
        <v>0</v>
      </c>
      <c r="H24" s="340" t="str">
        <f t="shared" si="2"/>
        <v>0</v>
      </c>
      <c r="I24" s="340" t="str">
        <f t="shared" si="8"/>
        <v>0</v>
      </c>
      <c r="J24" s="340" t="str">
        <f t="shared" si="3"/>
        <v>0</v>
      </c>
      <c r="K24" s="340" t="str">
        <f t="shared" si="4"/>
        <v>1</v>
      </c>
      <c r="L24" s="340" t="str">
        <f t="shared" si="5"/>
        <v>0</v>
      </c>
      <c r="M24" s="340" t="str">
        <f t="shared" si="6"/>
        <v>0</v>
      </c>
      <c r="N24" s="326"/>
      <c r="O24" s="341" t="s">
        <v>106</v>
      </c>
      <c r="P24" s="342">
        <v>0</v>
      </c>
      <c r="Q24" s="342">
        <v>0</v>
      </c>
      <c r="R24" s="406" t="str">
        <f>VLOOKUP(_xlfn.CONCAT(H24:J24),OTP_conf_main_bits!B246:C253,2,FALSE)</f>
        <v>000 - delay 0</v>
      </c>
      <c r="S24" s="401"/>
      <c r="T24" s="400"/>
      <c r="U24" s="406" t="str">
        <f>VLOOKUP(_xlfn.CONCAT(K24:M24),OTP_conf_main_bits!B255:C262,2,FALSE)</f>
        <v>100 - divide by 44 - CLK2=455KHz</v>
      </c>
      <c r="V24" s="401"/>
      <c r="W24" s="400"/>
      <c r="X24" s="233"/>
    </row>
    <row r="25" spans="1:24" x14ac:dyDescent="0.25">
      <c r="A25" s="339">
        <v>25</v>
      </c>
      <c r="B25" s="339">
        <v>8</v>
      </c>
      <c r="C25" s="326"/>
      <c r="D25" s="340" t="str">
        <f t="shared" si="7"/>
        <v>00001000</v>
      </c>
      <c r="E25" s="326"/>
      <c r="F25" s="340" t="str">
        <f t="shared" si="0"/>
        <v>0</v>
      </c>
      <c r="G25" s="340" t="str">
        <f t="shared" si="1"/>
        <v>0</v>
      </c>
      <c r="H25" s="340" t="str">
        <f t="shared" si="2"/>
        <v>0</v>
      </c>
      <c r="I25" s="340" t="str">
        <f t="shared" si="8"/>
        <v>0</v>
      </c>
      <c r="J25" s="340" t="str">
        <f t="shared" si="3"/>
        <v>1</v>
      </c>
      <c r="K25" s="340" t="str">
        <f t="shared" si="4"/>
        <v>0</v>
      </c>
      <c r="L25" s="340" t="str">
        <f t="shared" si="5"/>
        <v>0</v>
      </c>
      <c r="M25" s="340" t="str">
        <f t="shared" si="6"/>
        <v>0</v>
      </c>
      <c r="N25" s="326"/>
      <c r="O25" s="341" t="s">
        <v>107</v>
      </c>
      <c r="P25" s="342">
        <v>0</v>
      </c>
      <c r="Q25" s="342">
        <v>0</v>
      </c>
      <c r="R25" s="406" t="str">
        <f>VLOOKUP(_xlfn.CONCAT(H25:J25),OTP_conf_main_bits!B264:C271,2,FALSE)</f>
        <v>001 - delay 1</v>
      </c>
      <c r="S25" s="401"/>
      <c r="T25" s="400"/>
      <c r="U25" s="406" t="str">
        <f>VLOOKUP(_xlfn.CONCAT(K25:M25),OTP_conf_main_bits!B273:C280,2,FALSE)</f>
        <v>000 - delay 0</v>
      </c>
      <c r="V25" s="401"/>
      <c r="W25" s="400"/>
      <c r="X25" s="233"/>
    </row>
    <row r="26" spans="1:24" x14ac:dyDescent="0.25">
      <c r="A26" s="339">
        <v>26</v>
      </c>
      <c r="B26" s="339" t="s">
        <v>180</v>
      </c>
      <c r="C26" s="326"/>
      <c r="D26" s="340" t="str">
        <f t="shared" si="7"/>
        <v>00011010</v>
      </c>
      <c r="E26" s="326"/>
      <c r="F26" s="340" t="str">
        <f t="shared" si="0"/>
        <v>0</v>
      </c>
      <c r="G26" s="340" t="str">
        <f t="shared" si="1"/>
        <v>0</v>
      </c>
      <c r="H26" s="340" t="str">
        <f t="shared" si="2"/>
        <v>0</v>
      </c>
      <c r="I26" s="340" t="str">
        <f t="shared" si="8"/>
        <v>1</v>
      </c>
      <c r="J26" s="340" t="str">
        <f t="shared" si="3"/>
        <v>1</v>
      </c>
      <c r="K26" s="340" t="str">
        <f t="shared" si="4"/>
        <v>0</v>
      </c>
      <c r="L26" s="340" t="str">
        <f t="shared" si="5"/>
        <v>1</v>
      </c>
      <c r="M26" s="340" t="str">
        <f t="shared" si="6"/>
        <v>0</v>
      </c>
      <c r="N26" s="326"/>
      <c r="O26" s="341" t="s">
        <v>108</v>
      </c>
      <c r="P26" s="342">
        <v>0</v>
      </c>
      <c r="Q26" s="342">
        <v>0</v>
      </c>
      <c r="R26" s="406" t="str">
        <f>VLOOKUP(_xlfn.CONCAT(H26:J26),OTP_conf_main_bits!B282:C289,2,FALSE)</f>
        <v>011 - delay 3</v>
      </c>
      <c r="S26" s="401"/>
      <c r="T26" s="400"/>
      <c r="U26" s="406" t="str">
        <f>VLOOKUP(_xlfn.CONCAT(K26:M26),OTP_conf_main_bits!B291:C298,2,FALSE)</f>
        <v>010 - delay 2</v>
      </c>
      <c r="V26" s="401"/>
      <c r="W26" s="400"/>
      <c r="X26" s="233"/>
    </row>
    <row r="27" spans="1:24" x14ac:dyDescent="0.25">
      <c r="A27" s="339">
        <v>27</v>
      </c>
      <c r="B27" s="339" t="s">
        <v>296</v>
      </c>
      <c r="C27" s="326"/>
      <c r="D27" s="340" t="str">
        <f t="shared" si="7"/>
        <v>00001010</v>
      </c>
      <c r="E27" s="326"/>
      <c r="F27" s="340" t="str">
        <f t="shared" si="0"/>
        <v>0</v>
      </c>
      <c r="G27" s="340" t="str">
        <f t="shared" si="1"/>
        <v>0</v>
      </c>
      <c r="H27" s="340" t="str">
        <f t="shared" si="2"/>
        <v>0</v>
      </c>
      <c r="I27" s="340" t="str">
        <f t="shared" si="8"/>
        <v>0</v>
      </c>
      <c r="J27" s="340" t="str">
        <f t="shared" si="3"/>
        <v>1</v>
      </c>
      <c r="K27" s="340" t="str">
        <f t="shared" si="4"/>
        <v>0</v>
      </c>
      <c r="L27" s="340" t="str">
        <f t="shared" si="5"/>
        <v>1</v>
      </c>
      <c r="M27" s="340" t="str">
        <f t="shared" si="6"/>
        <v>0</v>
      </c>
      <c r="N27" s="326"/>
      <c r="O27" s="341" t="s">
        <v>109</v>
      </c>
      <c r="P27" s="345" t="str">
        <f>VLOOKUP(F27,OTP_conf_main_bits!B300:C300,2,FALSE)</f>
        <v>0 - CLK1</v>
      </c>
      <c r="Q27" s="345" t="str">
        <f>VLOOKUP(G27,OTP_conf_main_bits!B302:C302,2,FALSE)</f>
        <v>0 - CLK1</v>
      </c>
      <c r="R27" s="339" t="str">
        <f>VLOOKUP(H27,OTP_conf_main_bits!B304:C304,2,FALSE)</f>
        <v>0 - CLK1</v>
      </c>
      <c r="S27" s="339" t="str">
        <f>VLOOKUP(I27,OTP_conf_main_bits!B306:C306,2,FALSE)</f>
        <v>0 - CLK1</v>
      </c>
      <c r="T27" s="339" t="str">
        <f>VLOOKUP(J27,OTP_conf_main_bits!B308:C309,2,FALSE)</f>
        <v>1 - CLK2</v>
      </c>
      <c r="U27" s="339" t="str">
        <f>VLOOKUP(K27,OTP_conf_main_bits!B311:C312,2,FALSE)</f>
        <v>0 - Disabled</v>
      </c>
      <c r="V27" s="399" t="str">
        <f>VLOOKUP(_xlfn.CONCAT(L27:M27),OTP_conf_main_bits!B314:C317,2,FALSE)</f>
        <v>10 - divide by 9  - CLK1=2.22MHz</v>
      </c>
      <c r="W27" s="400"/>
      <c r="X27" s="233"/>
    </row>
    <row r="28" spans="1:24" x14ac:dyDescent="0.25">
      <c r="A28" s="339">
        <v>28</v>
      </c>
      <c r="B28" s="339">
        <v>0</v>
      </c>
      <c r="C28" s="326"/>
      <c r="D28" s="340" t="str">
        <f t="shared" si="7"/>
        <v>00000000</v>
      </c>
      <c r="E28" s="326"/>
      <c r="F28" s="340" t="str">
        <f t="shared" si="0"/>
        <v>0</v>
      </c>
      <c r="G28" s="340" t="str">
        <f t="shared" si="1"/>
        <v>0</v>
      </c>
      <c r="H28" s="340" t="str">
        <f t="shared" si="2"/>
        <v>0</v>
      </c>
      <c r="I28" s="340" t="str">
        <f t="shared" si="8"/>
        <v>0</v>
      </c>
      <c r="J28" s="340" t="str">
        <f t="shared" si="3"/>
        <v>0</v>
      </c>
      <c r="K28" s="340" t="str">
        <f t="shared" si="4"/>
        <v>0</v>
      </c>
      <c r="L28" s="340" t="str">
        <f t="shared" si="5"/>
        <v>0</v>
      </c>
      <c r="M28" s="340" t="str">
        <f t="shared" si="6"/>
        <v>0</v>
      </c>
      <c r="N28" s="326"/>
      <c r="O28" s="341" t="s">
        <v>110</v>
      </c>
      <c r="P28" s="342">
        <v>0</v>
      </c>
      <c r="Q28" s="342">
        <v>0</v>
      </c>
      <c r="R28" s="339" t="str">
        <f>VLOOKUP(H28,OTP_conf_main_bits!B334:C335,2,FALSE)</f>
        <v>0 - BOOST Shutdown</v>
      </c>
      <c r="S28" s="339" t="str">
        <f>VLOOKUP(I28,OTP_conf_main_bits!B331:C332,2,FALSE)</f>
        <v>0 - BUCK1 Shutdown</v>
      </c>
      <c r="T28" s="339" t="str">
        <f>VLOOKUP(J28,OTP_conf_main_bits!B328:C329,2,FALSE)</f>
        <v>0 - BUCK2 Shutdown</v>
      </c>
      <c r="U28" s="339" t="str">
        <f>VLOOKUP(K28,OTP_conf_main_bits!B325:C326,2,FALSE)</f>
        <v>0 - BUCK3 Shutdown</v>
      </c>
      <c r="V28" s="339" t="str">
        <f>VLOOKUP(L28,OTP_conf_main_bits!B322:C323,2,FALSE)</f>
        <v>0 - LDO1 Shutdown</v>
      </c>
      <c r="W28" s="339" t="str">
        <f>VLOOKUP(M28,OTP_conf_main_bits!B319:C320,2,FALSE)</f>
        <v>0 - LDO2 Shutdown</v>
      </c>
      <c r="X28" s="233"/>
    </row>
    <row r="29" spans="1:24" x14ac:dyDescent="0.25">
      <c r="A29" s="339">
        <v>29</v>
      </c>
      <c r="B29" s="339">
        <v>0</v>
      </c>
      <c r="C29" s="326"/>
      <c r="D29" s="340" t="str">
        <f t="shared" si="7"/>
        <v>00000000</v>
      </c>
      <c r="E29" s="326"/>
      <c r="F29" s="340" t="str">
        <f t="shared" si="0"/>
        <v>0</v>
      </c>
      <c r="G29" s="340" t="str">
        <f t="shared" si="1"/>
        <v>0</v>
      </c>
      <c r="H29" s="340" t="str">
        <f t="shared" si="2"/>
        <v>0</v>
      </c>
      <c r="I29" s="340" t="str">
        <f t="shared" si="8"/>
        <v>0</v>
      </c>
      <c r="J29" s="340" t="str">
        <f t="shared" si="3"/>
        <v>0</v>
      </c>
      <c r="K29" s="340" t="str">
        <f t="shared" si="4"/>
        <v>0</v>
      </c>
      <c r="L29" s="340" t="str">
        <f t="shared" si="5"/>
        <v>0</v>
      </c>
      <c r="M29" s="340" t="str">
        <f t="shared" si="6"/>
        <v>0</v>
      </c>
      <c r="N29" s="326"/>
      <c r="O29" s="341" t="s">
        <v>111</v>
      </c>
      <c r="P29" s="342">
        <v>0</v>
      </c>
      <c r="Q29" s="342">
        <v>0</v>
      </c>
      <c r="R29" s="342">
        <v>0</v>
      </c>
      <c r="S29" s="339" t="str">
        <f>VLOOKUP(I29,OTP_conf_main_bits!B337:C338,2,FALSE)</f>
        <v>0 - 250µs</v>
      </c>
      <c r="T29" s="339" t="str">
        <f>VLOOKUP(J29,OTP_conf_main_bits!B340:C341,2,FALSE)</f>
        <v>0 - Disabled</v>
      </c>
      <c r="U29" s="339" t="str">
        <f>VLOOKUP(K29,OTP_conf_main_bits!B343:C344,2,FALSE)</f>
        <v>0 - Disabled</v>
      </c>
      <c r="V29" s="339" t="str">
        <f>VLOOKUP(L29,OTP_conf_main_bits!B346:C347,2,FALSE)</f>
        <v>0 - 2x FS85</v>
      </c>
      <c r="W29" s="339" t="str">
        <f>VLOOKUP(M29,OTP_conf_main_bits!B349:C350,2,FALSE)</f>
        <v>0 - Disabled</v>
      </c>
      <c r="X29" s="233"/>
    </row>
    <row r="30" spans="1:24" x14ac:dyDescent="0.25">
      <c r="A30" s="339" t="s">
        <v>196</v>
      </c>
      <c r="B30" s="339">
        <v>0</v>
      </c>
      <c r="C30" s="326"/>
      <c r="D30" s="340" t="str">
        <f t="shared" si="7"/>
        <v>00000000</v>
      </c>
      <c r="E30" s="326"/>
      <c r="F30" s="340" t="str">
        <f t="shared" si="0"/>
        <v>0</v>
      </c>
      <c r="G30" s="340" t="str">
        <f t="shared" si="1"/>
        <v>0</v>
      </c>
      <c r="H30" s="340" t="str">
        <f t="shared" si="2"/>
        <v>0</v>
      </c>
      <c r="I30" s="340" t="str">
        <f t="shared" si="8"/>
        <v>0</v>
      </c>
      <c r="J30" s="340" t="str">
        <f t="shared" si="3"/>
        <v>0</v>
      </c>
      <c r="K30" s="340" t="str">
        <f t="shared" si="4"/>
        <v>0</v>
      </c>
      <c r="L30" s="340" t="str">
        <f t="shared" si="5"/>
        <v>0</v>
      </c>
      <c r="M30" s="340" t="str">
        <f t="shared" si="6"/>
        <v>0</v>
      </c>
      <c r="N30" s="326"/>
      <c r="O30" s="341" t="s">
        <v>113</v>
      </c>
      <c r="P30" s="405" t="str">
        <f>_xlfn.CONCAT(F30:L30)</f>
        <v>0000000</v>
      </c>
      <c r="Q30" s="404"/>
      <c r="R30" s="404"/>
      <c r="S30" s="404"/>
      <c r="T30" s="404"/>
      <c r="U30" s="404"/>
      <c r="V30" s="403"/>
      <c r="W30" s="339" t="str">
        <f>VLOOKUP(M30,OTP_conf_main_bits!B352:C353,2,FALSE)</f>
        <v>0 - 4.9V for Vpre &lt; 4.5V</v>
      </c>
      <c r="X30" s="233"/>
    </row>
    <row r="31" spans="1:24" x14ac:dyDescent="0.25">
      <c r="A31" s="339" t="s">
        <v>197</v>
      </c>
      <c r="B31" s="339">
        <v>0</v>
      </c>
      <c r="C31" s="326"/>
      <c r="D31" s="340" t="str">
        <f t="shared" si="7"/>
        <v>00000000</v>
      </c>
      <c r="E31" s="326"/>
      <c r="F31" s="340" t="str">
        <f t="shared" si="0"/>
        <v>0</v>
      </c>
      <c r="G31" s="340" t="str">
        <f t="shared" si="1"/>
        <v>0</v>
      </c>
      <c r="H31" s="340" t="str">
        <f t="shared" si="2"/>
        <v>0</v>
      </c>
      <c r="I31" s="340" t="str">
        <f t="shared" si="8"/>
        <v>0</v>
      </c>
      <c r="J31" s="340" t="str">
        <f t="shared" si="3"/>
        <v>0</v>
      </c>
      <c r="K31" s="340" t="str">
        <f t="shared" si="4"/>
        <v>0</v>
      </c>
      <c r="L31" s="340" t="str">
        <f t="shared" si="5"/>
        <v>0</v>
      </c>
      <c r="M31" s="340" t="str">
        <f t="shared" si="6"/>
        <v>0</v>
      </c>
      <c r="N31" s="326"/>
      <c r="O31" s="341" t="s">
        <v>114</v>
      </c>
      <c r="P31" s="342">
        <v>0</v>
      </c>
      <c r="Q31" s="342">
        <v>0</v>
      </c>
      <c r="R31" s="342">
        <v>0</v>
      </c>
      <c r="S31" s="342">
        <v>0</v>
      </c>
      <c r="T31" s="399" t="str">
        <f>VLOOKUP(_xlfn.CONCAT(J31:M31),OTP_conf_main_bits!B355:C370,2,FALSE)</f>
        <v>0000 - Address D0</v>
      </c>
      <c r="U31" s="401"/>
      <c r="V31" s="401"/>
      <c r="W31" s="400"/>
      <c r="X31" s="233"/>
    </row>
    <row r="32" spans="1:24" x14ac:dyDescent="0.25">
      <c r="A32" s="339" t="s">
        <v>198</v>
      </c>
      <c r="B32" s="339">
        <v>1</v>
      </c>
      <c r="C32" s="326"/>
      <c r="D32" s="340" t="str">
        <f t="shared" si="7"/>
        <v>00000001</v>
      </c>
      <c r="E32" s="326"/>
      <c r="F32" s="340" t="str">
        <f t="shared" si="0"/>
        <v>0</v>
      </c>
      <c r="G32" s="340" t="str">
        <f t="shared" si="1"/>
        <v>0</v>
      </c>
      <c r="H32" s="340" t="str">
        <f t="shared" si="2"/>
        <v>0</v>
      </c>
      <c r="I32" s="340" t="str">
        <f t="shared" si="8"/>
        <v>0</v>
      </c>
      <c r="J32" s="340" t="str">
        <f t="shared" si="3"/>
        <v>0</v>
      </c>
      <c r="K32" s="340" t="str">
        <f t="shared" si="4"/>
        <v>0</v>
      </c>
      <c r="L32" s="340" t="str">
        <f t="shared" si="5"/>
        <v>0</v>
      </c>
      <c r="M32" s="340" t="str">
        <f t="shared" si="6"/>
        <v>1</v>
      </c>
      <c r="N32" s="326"/>
      <c r="O32" s="341" t="s">
        <v>116</v>
      </c>
      <c r="P32" s="342">
        <v>0</v>
      </c>
      <c r="Q32" s="342">
        <v>0</v>
      </c>
      <c r="R32" s="342">
        <v>0</v>
      </c>
      <c r="S32" s="342">
        <v>0</v>
      </c>
      <c r="T32" s="342">
        <v>0</v>
      </c>
      <c r="U32" s="406" t="str">
        <f>VLOOKUP(_xlfn.CONCAT(K32:M32),OTP_conf_main_bits!B372:C379,2,FALSE)</f>
        <v>001 - VPRE</v>
      </c>
      <c r="V32" s="401"/>
      <c r="W32" s="400"/>
      <c r="X32" s="233"/>
    </row>
    <row r="33" spans="1:24" x14ac:dyDescent="0.25">
      <c r="A33" s="339" t="s">
        <v>199</v>
      </c>
      <c r="B33" s="339">
        <v>1</v>
      </c>
      <c r="C33" s="326"/>
      <c r="D33" s="340" t="str">
        <f t="shared" si="7"/>
        <v>00000001</v>
      </c>
      <c r="E33" s="326"/>
      <c r="F33" s="340" t="str">
        <f t="shared" si="0"/>
        <v>0</v>
      </c>
      <c r="G33" s="340" t="str">
        <f t="shared" si="1"/>
        <v>0</v>
      </c>
      <c r="H33" s="340" t="str">
        <f t="shared" si="2"/>
        <v>0</v>
      </c>
      <c r="I33" s="340" t="str">
        <f t="shared" si="8"/>
        <v>0</v>
      </c>
      <c r="J33" s="340" t="str">
        <f t="shared" si="3"/>
        <v>0</v>
      </c>
      <c r="K33" s="340" t="str">
        <f t="shared" si="4"/>
        <v>0</v>
      </c>
      <c r="L33" s="340" t="str">
        <f t="shared" si="5"/>
        <v>0</v>
      </c>
      <c r="M33" s="340" t="str">
        <f t="shared" si="6"/>
        <v>1</v>
      </c>
      <c r="N33" s="326"/>
      <c r="O33" s="346" t="s">
        <v>147</v>
      </c>
      <c r="P33" s="399" t="str">
        <f>_xlfn.CONCAT(F33:M33)</f>
        <v>00000001</v>
      </c>
      <c r="Q33" s="401"/>
      <c r="R33" s="401"/>
      <c r="S33" s="401"/>
      <c r="T33" s="401"/>
      <c r="U33" s="401"/>
      <c r="V33" s="401"/>
      <c r="W33" s="400"/>
      <c r="X33" s="233"/>
    </row>
    <row r="34" spans="1:24" x14ac:dyDescent="0.25">
      <c r="A34" s="347" t="s">
        <v>200</v>
      </c>
      <c r="B34" s="347">
        <v>0</v>
      </c>
      <c r="C34" s="348"/>
      <c r="D34" s="349" t="str">
        <f t="shared" si="7"/>
        <v>00000000</v>
      </c>
      <c r="E34" s="348"/>
      <c r="F34" s="349" t="str">
        <f t="shared" si="0"/>
        <v>0</v>
      </c>
      <c r="G34" s="349" t="str">
        <f t="shared" si="1"/>
        <v>0</v>
      </c>
      <c r="H34" s="349" t="str">
        <f t="shared" si="2"/>
        <v>0</v>
      </c>
      <c r="I34" s="349" t="str">
        <f t="shared" si="8"/>
        <v>0</v>
      </c>
      <c r="J34" s="349" t="str">
        <f t="shared" si="3"/>
        <v>0</v>
      </c>
      <c r="K34" s="349" t="str">
        <f t="shared" si="4"/>
        <v>0</v>
      </c>
      <c r="L34" s="349" t="str">
        <f t="shared" si="5"/>
        <v>0</v>
      </c>
      <c r="M34" s="349" t="str">
        <f t="shared" si="6"/>
        <v>0</v>
      </c>
      <c r="N34" s="348"/>
      <c r="O34" s="350" t="s">
        <v>148</v>
      </c>
      <c r="P34" s="347">
        <v>0</v>
      </c>
      <c r="Q34" s="347">
        <v>0</v>
      </c>
      <c r="R34" s="347">
        <v>0</v>
      </c>
      <c r="S34" s="347">
        <v>0</v>
      </c>
      <c r="T34" s="347">
        <v>0</v>
      </c>
      <c r="U34" s="347">
        <v>0</v>
      </c>
      <c r="V34" s="347">
        <v>0</v>
      </c>
      <c r="W34" s="347">
        <v>0</v>
      </c>
      <c r="X34" s="233"/>
    </row>
    <row r="35" spans="1:24" x14ac:dyDescent="0.25">
      <c r="A35" s="347" t="s">
        <v>201</v>
      </c>
      <c r="B35" s="347">
        <v>0</v>
      </c>
      <c r="C35" s="348"/>
      <c r="D35" s="349" t="str">
        <f t="shared" si="7"/>
        <v>00000000</v>
      </c>
      <c r="E35" s="348"/>
      <c r="F35" s="349" t="str">
        <f t="shared" si="0"/>
        <v>0</v>
      </c>
      <c r="G35" s="349" t="str">
        <f t="shared" si="1"/>
        <v>0</v>
      </c>
      <c r="H35" s="349" t="str">
        <f t="shared" si="2"/>
        <v>0</v>
      </c>
      <c r="I35" s="349" t="str">
        <f t="shared" si="8"/>
        <v>0</v>
      </c>
      <c r="J35" s="349" t="str">
        <f t="shared" si="3"/>
        <v>0</v>
      </c>
      <c r="K35" s="349" t="str">
        <f t="shared" si="4"/>
        <v>0</v>
      </c>
      <c r="L35" s="349" t="str">
        <f t="shared" si="5"/>
        <v>0</v>
      </c>
      <c r="M35" s="349" t="str">
        <f t="shared" si="6"/>
        <v>0</v>
      </c>
      <c r="N35" s="348"/>
      <c r="O35" s="350" t="s">
        <v>149</v>
      </c>
      <c r="P35" s="347">
        <v>0</v>
      </c>
      <c r="Q35" s="347">
        <v>0</v>
      </c>
      <c r="R35" s="347">
        <v>0</v>
      </c>
      <c r="S35" s="347">
        <v>0</v>
      </c>
      <c r="T35" s="347">
        <v>0</v>
      </c>
      <c r="U35" s="347">
        <v>0</v>
      </c>
      <c r="V35" s="347">
        <v>0</v>
      </c>
      <c r="W35" s="347">
        <v>0</v>
      </c>
      <c r="X35" s="233"/>
    </row>
    <row r="36" spans="1:24" x14ac:dyDescent="0.25">
      <c r="A36" s="336" t="s">
        <v>791</v>
      </c>
      <c r="B36" s="351"/>
      <c r="C36" s="326"/>
      <c r="D36" s="329"/>
      <c r="E36" s="326"/>
      <c r="F36" s="329"/>
      <c r="G36" s="329"/>
      <c r="H36" s="329"/>
      <c r="I36" s="329"/>
      <c r="J36" s="329"/>
      <c r="K36" s="329"/>
      <c r="L36" s="329"/>
      <c r="M36" s="329"/>
      <c r="N36" s="326"/>
      <c r="O36" s="327" t="s">
        <v>793</v>
      </c>
      <c r="P36" s="327" t="s">
        <v>794</v>
      </c>
      <c r="Q36" s="327" t="s">
        <v>795</v>
      </c>
      <c r="R36" s="327" t="s">
        <v>796</v>
      </c>
      <c r="S36" s="327" t="s">
        <v>797</v>
      </c>
      <c r="T36" s="327" t="s">
        <v>798</v>
      </c>
      <c r="U36" s="327" t="s">
        <v>799</v>
      </c>
      <c r="V36" s="327" t="s">
        <v>800</v>
      </c>
      <c r="W36" s="327" t="s">
        <v>801</v>
      </c>
      <c r="X36" s="233"/>
    </row>
    <row r="37" spans="1:24" x14ac:dyDescent="0.25">
      <c r="A37" s="339" t="s">
        <v>296</v>
      </c>
      <c r="B37" s="339">
        <v>50</v>
      </c>
      <c r="C37" s="326"/>
      <c r="D37" s="340" t="str">
        <f t="shared" si="7"/>
        <v>01010000</v>
      </c>
      <c r="E37" s="326"/>
      <c r="F37" s="340" t="str">
        <f t="shared" ref="F37:F52" si="9">LEFT(D37,1)</f>
        <v>0</v>
      </c>
      <c r="G37" s="340" t="str">
        <f t="shared" ref="G37:G52" si="10">MID(D37,2,1)</f>
        <v>1</v>
      </c>
      <c r="H37" s="340" t="str">
        <f t="shared" ref="H37:H52" si="11">MID(D37,3,1)</f>
        <v>0</v>
      </c>
      <c r="I37" s="340" t="str">
        <f t="shared" si="8"/>
        <v>1</v>
      </c>
      <c r="J37" s="340" t="str">
        <f t="shared" ref="J37:J52" si="12">MID(D37,5,1)</f>
        <v>0</v>
      </c>
      <c r="K37" s="340" t="str">
        <f t="shared" ref="K37:K52" si="13">MID(D37,6,1)</f>
        <v>0</v>
      </c>
      <c r="L37" s="340" t="str">
        <f t="shared" ref="L37:L52" si="14">MID(D37,7,1)</f>
        <v>0</v>
      </c>
      <c r="M37" s="340" t="str">
        <f t="shared" ref="M37:M52" si="15">RIGHT(D37,1)</f>
        <v>0</v>
      </c>
      <c r="N37" s="326"/>
      <c r="O37" s="346" t="s">
        <v>130</v>
      </c>
      <c r="P37" s="399" t="str">
        <f>P14</f>
        <v>01010000 - 0.9V</v>
      </c>
      <c r="Q37" s="401"/>
      <c r="R37" s="401"/>
      <c r="S37" s="401"/>
      <c r="T37" s="401"/>
      <c r="U37" s="401"/>
      <c r="V37" s="401"/>
      <c r="W37" s="400"/>
      <c r="X37" s="233"/>
    </row>
    <row r="38" spans="1:24" x14ac:dyDescent="0.25">
      <c r="A38" s="339" t="s">
        <v>297</v>
      </c>
      <c r="B38" s="339">
        <v>11</v>
      </c>
      <c r="C38" s="326"/>
      <c r="D38" s="340" t="str">
        <f t="shared" si="7"/>
        <v>00010001</v>
      </c>
      <c r="E38" s="326"/>
      <c r="F38" s="340" t="str">
        <f t="shared" si="9"/>
        <v>0</v>
      </c>
      <c r="G38" s="340" t="str">
        <f t="shared" si="10"/>
        <v>0</v>
      </c>
      <c r="H38" s="340" t="str">
        <f t="shared" si="11"/>
        <v>0</v>
      </c>
      <c r="I38" s="340" t="str">
        <f t="shared" si="8"/>
        <v>1</v>
      </c>
      <c r="J38" s="340" t="str">
        <f t="shared" si="12"/>
        <v>0</v>
      </c>
      <c r="K38" s="340" t="str">
        <f t="shared" si="13"/>
        <v>0</v>
      </c>
      <c r="L38" s="340" t="str">
        <f t="shared" si="14"/>
        <v>0</v>
      </c>
      <c r="M38" s="340" t="str">
        <f t="shared" si="15"/>
        <v>1</v>
      </c>
      <c r="N38" s="326"/>
      <c r="O38" s="346" t="s">
        <v>131</v>
      </c>
      <c r="P38" s="399" t="str">
        <f>VLOOKUP(_xlfn.CONCAT(F38:I38),OTP_conf_failsafe_bits!B3:C18,2,FALSE)</f>
        <v>0001 - 105%</v>
      </c>
      <c r="Q38" s="401"/>
      <c r="R38" s="401"/>
      <c r="S38" s="400"/>
      <c r="T38" s="399" t="str">
        <f>VLOOKUP(_xlfn.CONCAT(J38:M38),OTP_conf_failsafe_bits!B20:C35,2,FALSE)</f>
        <v>0001 - 105%</v>
      </c>
      <c r="U38" s="401"/>
      <c r="V38" s="401"/>
      <c r="W38" s="400"/>
      <c r="X38" s="233"/>
    </row>
    <row r="39" spans="1:24" x14ac:dyDescent="0.25">
      <c r="A39" s="339" t="s">
        <v>298</v>
      </c>
      <c r="B39" s="339" t="s">
        <v>301</v>
      </c>
      <c r="C39" s="326"/>
      <c r="D39" s="340" t="str">
        <f t="shared" si="7"/>
        <v>00001111</v>
      </c>
      <c r="E39" s="326"/>
      <c r="F39" s="340" t="str">
        <f t="shared" si="9"/>
        <v>0</v>
      </c>
      <c r="G39" s="340" t="str">
        <f t="shared" si="10"/>
        <v>0</v>
      </c>
      <c r="H39" s="340" t="str">
        <f t="shared" si="11"/>
        <v>0</v>
      </c>
      <c r="I39" s="340" t="str">
        <f t="shared" si="8"/>
        <v>0</v>
      </c>
      <c r="J39" s="340" t="str">
        <f t="shared" si="12"/>
        <v>1</v>
      </c>
      <c r="K39" s="340" t="str">
        <f t="shared" si="13"/>
        <v>1</v>
      </c>
      <c r="L39" s="340" t="str">
        <f t="shared" si="14"/>
        <v>1</v>
      </c>
      <c r="M39" s="340" t="str">
        <f t="shared" si="15"/>
        <v>1</v>
      </c>
      <c r="N39" s="326"/>
      <c r="O39" s="346" t="s">
        <v>132</v>
      </c>
      <c r="P39" s="342">
        <v>0</v>
      </c>
      <c r="Q39" s="342">
        <v>0</v>
      </c>
      <c r="R39" s="339" t="str">
        <f>VLOOKUP(H39,OTP_conf_failsafe_bits!B37:C38,2,FALSE)</f>
        <v>0 - 3.3V</v>
      </c>
      <c r="S39" s="399" t="str">
        <f>VLOOKUP(_xlfn.CONCAT(I39:M39),OTP_conf_failsafe_bits!B40:C44,2,FALSE)</f>
        <v>01111 - 16 steps available</v>
      </c>
      <c r="T39" s="401"/>
      <c r="U39" s="401"/>
      <c r="V39" s="401"/>
      <c r="W39" s="400"/>
      <c r="X39" s="233"/>
    </row>
    <row r="40" spans="1:24" x14ac:dyDescent="0.25">
      <c r="A40" s="339" t="s">
        <v>299</v>
      </c>
      <c r="B40" s="339">
        <v>25</v>
      </c>
      <c r="C40" s="326"/>
      <c r="D40" s="340" t="str">
        <f t="shared" si="7"/>
        <v>00100101</v>
      </c>
      <c r="E40" s="326"/>
      <c r="F40" s="340" t="str">
        <f t="shared" si="9"/>
        <v>0</v>
      </c>
      <c r="G40" s="340" t="str">
        <f t="shared" si="10"/>
        <v>0</v>
      </c>
      <c r="H40" s="340" t="str">
        <f t="shared" si="11"/>
        <v>1</v>
      </c>
      <c r="I40" s="340" t="str">
        <f t="shared" si="8"/>
        <v>0</v>
      </c>
      <c r="J40" s="340" t="str">
        <f t="shared" si="12"/>
        <v>0</v>
      </c>
      <c r="K40" s="340" t="str">
        <f t="shared" si="13"/>
        <v>1</v>
      </c>
      <c r="L40" s="340" t="str">
        <f t="shared" si="14"/>
        <v>0</v>
      </c>
      <c r="M40" s="340" t="str">
        <f t="shared" si="15"/>
        <v>1</v>
      </c>
      <c r="N40" s="326"/>
      <c r="O40" s="346" t="s">
        <v>133</v>
      </c>
      <c r="P40" s="399" t="str">
        <f>VLOOKUP(_xlfn.CONCAT(F40:I40),OTP_conf_failsafe_bits!B46:C61,2,FALSE)</f>
        <v>0010 - 105.5%</v>
      </c>
      <c r="Q40" s="401"/>
      <c r="R40" s="401"/>
      <c r="S40" s="400"/>
      <c r="T40" s="399" t="str">
        <f>VLOOKUP(_xlfn.CONCAT(J40:M40),OTP_conf_failsafe_bits!B63:C78,2,FALSE)</f>
        <v>0101 - 107%</v>
      </c>
      <c r="U40" s="401"/>
      <c r="V40" s="401"/>
      <c r="W40" s="400"/>
      <c r="X40" s="233"/>
    </row>
    <row r="41" spans="1:24" x14ac:dyDescent="0.25">
      <c r="A41" s="339" t="s">
        <v>300</v>
      </c>
      <c r="B41" s="339" t="s">
        <v>942</v>
      </c>
      <c r="C41" s="326"/>
      <c r="D41" s="340" t="str">
        <f t="shared" si="7"/>
        <v>11111111</v>
      </c>
      <c r="E41" s="326"/>
      <c r="F41" s="340" t="str">
        <f t="shared" si="9"/>
        <v>1</v>
      </c>
      <c r="G41" s="340" t="str">
        <f t="shared" si="10"/>
        <v>1</v>
      </c>
      <c r="H41" s="340" t="str">
        <f t="shared" si="11"/>
        <v>1</v>
      </c>
      <c r="I41" s="340" t="str">
        <f t="shared" si="8"/>
        <v>1</v>
      </c>
      <c r="J41" s="340" t="str">
        <f t="shared" si="12"/>
        <v>1</v>
      </c>
      <c r="K41" s="340" t="str">
        <f t="shared" si="13"/>
        <v>1</v>
      </c>
      <c r="L41" s="340" t="str">
        <f t="shared" si="14"/>
        <v>1</v>
      </c>
      <c r="M41" s="340" t="str">
        <f t="shared" si="15"/>
        <v>1</v>
      </c>
      <c r="N41" s="326"/>
      <c r="O41" s="346" t="s">
        <v>134</v>
      </c>
      <c r="P41" s="399" t="str">
        <f>VLOOKUP(_xlfn.CONCAT(F41:I41),OTP_conf_failsafe_bits!B80:C95,2,FALSE)</f>
        <v>1111 - 112%</v>
      </c>
      <c r="Q41" s="401"/>
      <c r="R41" s="401"/>
      <c r="S41" s="400"/>
      <c r="T41" s="399" t="str">
        <f>VLOOKUP(_xlfn.CONCAT(J41:M41),OTP_conf_failsafe_bits!B97:C112,2,FALSE)</f>
        <v>1111 - 112%</v>
      </c>
      <c r="U41" s="401"/>
      <c r="V41" s="401"/>
      <c r="W41" s="400"/>
      <c r="X41" s="233"/>
    </row>
    <row r="42" spans="1:24" x14ac:dyDescent="0.25">
      <c r="A42" s="339" t="s">
        <v>301</v>
      </c>
      <c r="B42" s="339">
        <v>11</v>
      </c>
      <c r="C42" s="326"/>
      <c r="D42" s="340" t="str">
        <f t="shared" si="7"/>
        <v>00010001</v>
      </c>
      <c r="E42" s="326"/>
      <c r="F42" s="340" t="str">
        <f t="shared" si="9"/>
        <v>0</v>
      </c>
      <c r="G42" s="340" t="str">
        <f t="shared" si="10"/>
        <v>0</v>
      </c>
      <c r="H42" s="340" t="str">
        <f t="shared" si="11"/>
        <v>0</v>
      </c>
      <c r="I42" s="340" t="str">
        <f t="shared" si="8"/>
        <v>1</v>
      </c>
      <c r="J42" s="340" t="str">
        <f t="shared" si="12"/>
        <v>0</v>
      </c>
      <c r="K42" s="340" t="str">
        <f t="shared" si="13"/>
        <v>0</v>
      </c>
      <c r="L42" s="340" t="str">
        <f t="shared" si="14"/>
        <v>0</v>
      </c>
      <c r="M42" s="340" t="str">
        <f t="shared" si="15"/>
        <v>1</v>
      </c>
      <c r="N42" s="326"/>
      <c r="O42" s="346" t="s">
        <v>135</v>
      </c>
      <c r="P42" s="399" t="str">
        <f>VLOOKUP(_xlfn.CONCAT(F42:I42),OTP_conf_failsafe_bits!B114:C129,2,FALSE)</f>
        <v>0001 - 95%</v>
      </c>
      <c r="Q42" s="401"/>
      <c r="R42" s="401"/>
      <c r="S42" s="400"/>
      <c r="T42" s="399" t="str">
        <f>VLOOKUP(_xlfn.CONCAT(J42:M42),OTP_conf_failsafe_bits!B131:C146,2,FALSE)</f>
        <v>0001 - 95%</v>
      </c>
      <c r="U42" s="401"/>
      <c r="V42" s="401"/>
      <c r="W42" s="400"/>
      <c r="X42" s="233"/>
    </row>
    <row r="43" spans="1:24" x14ac:dyDescent="0.25">
      <c r="A43" s="339">
        <v>10</v>
      </c>
      <c r="B43" s="339">
        <v>36</v>
      </c>
      <c r="C43" s="326"/>
      <c r="D43" s="340" t="str">
        <f t="shared" si="7"/>
        <v>00110110</v>
      </c>
      <c r="E43" s="326"/>
      <c r="F43" s="340" t="str">
        <f t="shared" si="9"/>
        <v>0</v>
      </c>
      <c r="G43" s="340" t="str">
        <f t="shared" si="10"/>
        <v>0</v>
      </c>
      <c r="H43" s="340" t="str">
        <f t="shared" si="11"/>
        <v>1</v>
      </c>
      <c r="I43" s="340" t="str">
        <f t="shared" si="8"/>
        <v>1</v>
      </c>
      <c r="J43" s="340" t="str">
        <f t="shared" si="12"/>
        <v>0</v>
      </c>
      <c r="K43" s="340" t="str">
        <f t="shared" si="13"/>
        <v>1</v>
      </c>
      <c r="L43" s="340" t="str">
        <f t="shared" si="14"/>
        <v>1</v>
      </c>
      <c r="M43" s="340" t="str">
        <f t="shared" si="15"/>
        <v>0</v>
      </c>
      <c r="N43" s="326"/>
      <c r="O43" s="346" t="s">
        <v>136</v>
      </c>
      <c r="P43" s="399" t="str">
        <f>VLOOKUP(_xlfn.CONCAT(F43:I43),OTP_conf_failsafe_bits!B148:C163,2,FALSE)</f>
        <v>0011 - 94%</v>
      </c>
      <c r="Q43" s="401"/>
      <c r="R43" s="401"/>
      <c r="S43" s="400"/>
      <c r="T43" s="399" t="str">
        <f>VLOOKUP(_xlfn.CONCAT(J43:M43),OTP_conf_failsafe_bits!B165:C180,2,FALSE)</f>
        <v>0110 - 92.5%</v>
      </c>
      <c r="U43" s="401"/>
      <c r="V43" s="401"/>
      <c r="W43" s="400"/>
      <c r="X43" s="233"/>
    </row>
    <row r="44" spans="1:24" x14ac:dyDescent="0.25">
      <c r="A44" s="339">
        <v>11</v>
      </c>
      <c r="B44" s="339" t="s">
        <v>943</v>
      </c>
      <c r="C44" s="326"/>
      <c r="D44" s="340" t="str">
        <f t="shared" si="7"/>
        <v>10111011</v>
      </c>
      <c r="E44" s="326"/>
      <c r="F44" s="340" t="str">
        <f t="shared" si="9"/>
        <v>1</v>
      </c>
      <c r="G44" s="340" t="str">
        <f t="shared" si="10"/>
        <v>0</v>
      </c>
      <c r="H44" s="340" t="str">
        <f t="shared" si="11"/>
        <v>1</v>
      </c>
      <c r="I44" s="340" t="str">
        <f t="shared" si="8"/>
        <v>1</v>
      </c>
      <c r="J44" s="340" t="str">
        <f t="shared" si="12"/>
        <v>1</v>
      </c>
      <c r="K44" s="340" t="str">
        <f t="shared" si="13"/>
        <v>0</v>
      </c>
      <c r="L44" s="340" t="str">
        <f t="shared" si="14"/>
        <v>1</v>
      </c>
      <c r="M44" s="340" t="str">
        <f t="shared" si="15"/>
        <v>1</v>
      </c>
      <c r="N44" s="326"/>
      <c r="O44" s="346" t="s">
        <v>137</v>
      </c>
      <c r="P44" s="399" t="str">
        <f>VLOOKUP(_xlfn.CONCAT(F44:I44),OTP_conf_failsafe_bits!B182:C197,2,FALSE)</f>
        <v>1011 - 90%</v>
      </c>
      <c r="Q44" s="401"/>
      <c r="R44" s="401"/>
      <c r="S44" s="400"/>
      <c r="T44" s="399" t="str">
        <f>VLOOKUP(_xlfn.CONCAT(J44:M44),OTP_conf_failsafe_bits!B199:C214,2,FALSE)</f>
        <v>1011 - 90%</v>
      </c>
      <c r="U44" s="401"/>
      <c r="V44" s="401"/>
      <c r="W44" s="400"/>
      <c r="X44" s="233"/>
    </row>
    <row r="45" spans="1:24" x14ac:dyDescent="0.25">
      <c r="A45" s="339">
        <v>12</v>
      </c>
      <c r="B45" s="339" t="s">
        <v>301</v>
      </c>
      <c r="C45" s="326"/>
      <c r="D45" s="340" t="str">
        <f t="shared" si="7"/>
        <v>00001111</v>
      </c>
      <c r="E45" s="326"/>
      <c r="F45" s="340" t="str">
        <f t="shared" si="9"/>
        <v>0</v>
      </c>
      <c r="G45" s="340" t="str">
        <f t="shared" si="10"/>
        <v>0</v>
      </c>
      <c r="H45" s="340" t="str">
        <f t="shared" si="11"/>
        <v>0</v>
      </c>
      <c r="I45" s="340" t="str">
        <f t="shared" si="8"/>
        <v>0</v>
      </c>
      <c r="J45" s="340" t="str">
        <f t="shared" si="12"/>
        <v>1</v>
      </c>
      <c r="K45" s="340" t="str">
        <f t="shared" si="13"/>
        <v>1</v>
      </c>
      <c r="L45" s="340" t="str">
        <f t="shared" si="14"/>
        <v>1</v>
      </c>
      <c r="M45" s="340" t="str">
        <f t="shared" si="15"/>
        <v>1</v>
      </c>
      <c r="N45" s="326"/>
      <c r="O45" s="346" t="s">
        <v>117</v>
      </c>
      <c r="P45" s="342">
        <v>0</v>
      </c>
      <c r="Q45" s="339" t="str">
        <f>VLOOKUP(G45,OTP_conf_failsafe_bits!B216:C217,2,FALSE)</f>
        <v>0 - Not assigned</v>
      </c>
      <c r="R45" s="339" t="str">
        <f>VLOOKUP(H45,OTP_conf_failsafe_bits!B219:C220,2,FALSE)</f>
        <v>0 - Not assigned</v>
      </c>
      <c r="S45" s="339" t="str">
        <f>VLOOKUP(I45,OTP_conf_failsafe_bits!B222:C223,2,FALSE)</f>
        <v>0 - Not assigned</v>
      </c>
      <c r="T45" s="339" t="str">
        <f>VLOOKUP(J45,OTP_conf_failsafe_bits!B225:C226,2,FALSE)</f>
        <v>1 - Assigned</v>
      </c>
      <c r="U45" s="339" t="str">
        <f>VLOOKUP(K45,OTP_conf_failsafe_bits!B228:C229,2,FALSE)</f>
        <v>1 - Assigned</v>
      </c>
      <c r="V45" s="339" t="str">
        <f>VLOOKUP(L45,OTP_conf_failsafe_bits!B231:C232,2,FALSE)</f>
        <v>1 - Assigned</v>
      </c>
      <c r="W45" s="339" t="str">
        <f>VLOOKUP(M45,OTP_conf_failsafe_bits!B234:C235,2,FALSE)</f>
        <v>1 - Assigned</v>
      </c>
      <c r="X45" s="233"/>
    </row>
    <row r="46" spans="1:24" x14ac:dyDescent="0.25">
      <c r="A46" s="339">
        <v>13</v>
      </c>
      <c r="B46" s="339" t="s">
        <v>301</v>
      </c>
      <c r="C46" s="326"/>
      <c r="D46" s="340" t="str">
        <f t="shared" si="7"/>
        <v>00001111</v>
      </c>
      <c r="E46" s="326"/>
      <c r="F46" s="340" t="str">
        <f t="shared" si="9"/>
        <v>0</v>
      </c>
      <c r="G46" s="340" t="str">
        <f t="shared" si="10"/>
        <v>0</v>
      </c>
      <c r="H46" s="340" t="str">
        <f t="shared" si="11"/>
        <v>0</v>
      </c>
      <c r="I46" s="340" t="str">
        <f t="shared" si="8"/>
        <v>0</v>
      </c>
      <c r="J46" s="340" t="str">
        <f t="shared" si="12"/>
        <v>1</v>
      </c>
      <c r="K46" s="340" t="str">
        <f t="shared" si="13"/>
        <v>1</v>
      </c>
      <c r="L46" s="340" t="str">
        <f t="shared" si="14"/>
        <v>1</v>
      </c>
      <c r="M46" s="340" t="str">
        <f t="shared" si="15"/>
        <v>1</v>
      </c>
      <c r="N46" s="326"/>
      <c r="O46" s="346" t="s">
        <v>118</v>
      </c>
      <c r="P46" s="402" t="s">
        <v>304</v>
      </c>
      <c r="Q46" s="403"/>
      <c r="R46" s="339" t="str">
        <f>VLOOKUP(H46,OTP_conf_failsafe_bits!B237:C238,2,FALSE)</f>
        <v>0 - Not assigned</v>
      </c>
      <c r="S46" s="339" t="str">
        <f>VLOOKUP(I46,OTP_conf_failsafe_bits!B240:C241,2,FALSE)</f>
        <v>0 - Not assigned</v>
      </c>
      <c r="T46" s="339" t="str">
        <f>VLOOKUP(J46,OTP_conf_failsafe_bits!B243:C244,2,FALSE)</f>
        <v>1 - Assigned</v>
      </c>
      <c r="U46" s="339" t="str">
        <f>VLOOKUP(K46,OTP_conf_failsafe_bits!B246:C247,2,FALSE)</f>
        <v>1 - Assigned</v>
      </c>
      <c r="V46" s="339" t="str">
        <f>VLOOKUP(L46,OTP_conf_failsafe_bits!B249:C250,2,FALSE)</f>
        <v>1 - Assigned</v>
      </c>
      <c r="W46" s="339" t="str">
        <f>VLOOKUP(M46,OTP_conf_failsafe_bits!B252:C253,2,FALSE)</f>
        <v>1 - Assigned</v>
      </c>
      <c r="X46" s="233"/>
    </row>
    <row r="47" spans="1:24" x14ac:dyDescent="0.25">
      <c r="A47" s="339">
        <v>14</v>
      </c>
      <c r="B47" s="339">
        <v>3</v>
      </c>
      <c r="C47" s="326"/>
      <c r="D47" s="340" t="str">
        <f t="shared" si="7"/>
        <v>00000011</v>
      </c>
      <c r="E47" s="326"/>
      <c r="F47" s="340" t="str">
        <f t="shared" si="9"/>
        <v>0</v>
      </c>
      <c r="G47" s="340" t="str">
        <f t="shared" si="10"/>
        <v>0</v>
      </c>
      <c r="H47" s="340" t="str">
        <f t="shared" si="11"/>
        <v>0</v>
      </c>
      <c r="I47" s="340" t="str">
        <f t="shared" si="8"/>
        <v>0</v>
      </c>
      <c r="J47" s="340" t="str">
        <f t="shared" si="12"/>
        <v>0</v>
      </c>
      <c r="K47" s="340" t="str">
        <f t="shared" si="13"/>
        <v>0</v>
      </c>
      <c r="L47" s="340" t="str">
        <f t="shared" si="14"/>
        <v>1</v>
      </c>
      <c r="M47" s="340" t="str">
        <f t="shared" si="15"/>
        <v>1</v>
      </c>
      <c r="N47" s="326"/>
      <c r="O47" s="346" t="s">
        <v>119</v>
      </c>
      <c r="P47" s="339" t="str">
        <f>VLOOKUP(F47,OTP_conf_failsafe_bits!B255:C256,2,FALSE)</f>
        <v>0 - Enabled</v>
      </c>
      <c r="Q47" s="339" t="str">
        <f>VLOOKUP(G47,OTP_conf_failsafe_bits!B258:C259,2,FALSE)</f>
        <v>0 - Simple WD</v>
      </c>
      <c r="R47" s="339" t="str">
        <f>VLOOKUP(H47,OTP_conf_failsafe_bits!B261:C262,2,FALSE)</f>
        <v>0 - Disabled</v>
      </c>
      <c r="S47" s="339" t="str">
        <f>VLOOKUP(I47,OTP_conf_failsafe_bits!B264:C265,2,FALSE)</f>
        <v>0 - Disabled</v>
      </c>
      <c r="T47" s="339" t="str">
        <f>VLOOKUP(J47,OTP_conf_failsafe_bits!B267:C268,2,FALSE)</f>
        <v>0 - Disabled</v>
      </c>
      <c r="U47" s="339" t="str">
        <f>VLOOKUP(K47,OTP_conf_failsafe_bits!B270:C271,2,FALSE)</f>
        <v>0 - Disabled</v>
      </c>
      <c r="V47" s="339" t="str">
        <f>VLOOKUP(L47,OTP_conf_failsafe_bits!B273:C274,2,FALSE)</f>
        <v>1 - Enabled</v>
      </c>
      <c r="W47" s="339" t="str">
        <f>VLOOKUP(M47,OTP_conf_failsafe_bits!B276:C277,2,FALSE)</f>
        <v>1 - Enabled</v>
      </c>
      <c r="X47" s="233"/>
    </row>
    <row r="48" spans="1:24" x14ac:dyDescent="0.25">
      <c r="A48" s="339">
        <v>15</v>
      </c>
      <c r="B48" s="339">
        <v>0</v>
      </c>
      <c r="C48" s="326"/>
      <c r="D48" s="340" t="str">
        <f t="shared" si="7"/>
        <v>00000000</v>
      </c>
      <c r="E48" s="326"/>
      <c r="F48" s="340" t="str">
        <f t="shared" si="9"/>
        <v>0</v>
      </c>
      <c r="G48" s="340" t="str">
        <f t="shared" si="10"/>
        <v>0</v>
      </c>
      <c r="H48" s="340" t="str">
        <f t="shared" si="11"/>
        <v>0</v>
      </c>
      <c r="I48" s="340" t="str">
        <f t="shared" si="8"/>
        <v>0</v>
      </c>
      <c r="J48" s="340" t="str">
        <f t="shared" si="12"/>
        <v>0</v>
      </c>
      <c r="K48" s="340" t="str">
        <f t="shared" si="13"/>
        <v>0</v>
      </c>
      <c r="L48" s="340" t="str">
        <f t="shared" si="14"/>
        <v>0</v>
      </c>
      <c r="M48" s="340" t="str">
        <f t="shared" si="15"/>
        <v>0</v>
      </c>
      <c r="N48" s="326"/>
      <c r="O48" s="346" t="s">
        <v>114</v>
      </c>
      <c r="P48" s="402" t="s">
        <v>165</v>
      </c>
      <c r="Q48" s="404"/>
      <c r="R48" s="403"/>
      <c r="S48" s="339" t="str">
        <f>VLOOKUP(I48,OTP_conf_failsafe_bits!B279:C280,2,FALSE)</f>
        <v>0 - Disabled</v>
      </c>
      <c r="T48" s="399" t="str">
        <f>VLOOKUP(_xlfn.CONCAT(J48:M48),OTP_conf_failsafe_bits!B282:C297,2,FALSE)</f>
        <v>0000 - Address D0</v>
      </c>
      <c r="U48" s="401"/>
      <c r="V48" s="401"/>
      <c r="W48" s="400"/>
      <c r="X48" s="233"/>
    </row>
    <row r="49" spans="1:24" x14ac:dyDescent="0.25">
      <c r="A49" s="339">
        <v>16</v>
      </c>
      <c r="B49" s="339" t="s">
        <v>944</v>
      </c>
      <c r="C49" s="326"/>
      <c r="D49" s="340" t="str">
        <f t="shared" si="7"/>
        <v>00111111</v>
      </c>
      <c r="E49" s="326"/>
      <c r="F49" s="340" t="str">
        <f t="shared" si="9"/>
        <v>0</v>
      </c>
      <c r="G49" s="340" t="str">
        <f t="shared" si="10"/>
        <v>0</v>
      </c>
      <c r="H49" s="340" t="str">
        <f t="shared" si="11"/>
        <v>1</v>
      </c>
      <c r="I49" s="340" t="str">
        <f t="shared" si="8"/>
        <v>1</v>
      </c>
      <c r="J49" s="340" t="str">
        <f t="shared" si="12"/>
        <v>1</v>
      </c>
      <c r="K49" s="340" t="str">
        <f t="shared" si="13"/>
        <v>1</v>
      </c>
      <c r="L49" s="340" t="str">
        <f t="shared" si="14"/>
        <v>1</v>
      </c>
      <c r="M49" s="340" t="str">
        <f t="shared" si="15"/>
        <v>1</v>
      </c>
      <c r="N49" s="326"/>
      <c r="O49" s="346" t="s">
        <v>543</v>
      </c>
      <c r="P49" s="402" t="s">
        <v>304</v>
      </c>
      <c r="Q49" s="403"/>
      <c r="R49" s="399" t="str">
        <f>VLOOKUP(_xlfn.CONCAT(H49:I49),OTP_conf_failsafe_bits!B299:C302,2,FALSE)</f>
        <v>11 - 40µs</v>
      </c>
      <c r="S49" s="400"/>
      <c r="T49" s="339" t="str">
        <f>VLOOKUP(J49,OTP_conf_failsafe_bits!B304:C305,2,FALSE)</f>
        <v>1 - 45µs</v>
      </c>
      <c r="U49" s="399" t="str">
        <f>VLOOKUP(_xlfn.CONCAT(K49:L49),OTP_conf_failsafe_bits!B307:C310,2,FALSE)</f>
        <v>11 - 40µs</v>
      </c>
      <c r="V49" s="400"/>
      <c r="W49" s="339" t="str">
        <f>VLOOKUP(M49,OTP_conf_failsafe_bits!B312:C313,2,FALSE)</f>
        <v>1 - 45µs</v>
      </c>
      <c r="X49" s="233"/>
    </row>
    <row r="50" spans="1:24" x14ac:dyDescent="0.25">
      <c r="A50" s="339">
        <v>17</v>
      </c>
      <c r="B50" s="339">
        <v>7</v>
      </c>
      <c r="C50" s="326"/>
      <c r="D50" s="340" t="str">
        <f t="shared" si="7"/>
        <v>00000111</v>
      </c>
      <c r="E50" s="326"/>
      <c r="F50" s="340" t="str">
        <f t="shared" si="9"/>
        <v>0</v>
      </c>
      <c r="G50" s="340" t="str">
        <f t="shared" si="10"/>
        <v>0</v>
      </c>
      <c r="H50" s="340" t="str">
        <f t="shared" si="11"/>
        <v>0</v>
      </c>
      <c r="I50" s="340" t="str">
        <f t="shared" si="8"/>
        <v>0</v>
      </c>
      <c r="J50" s="340" t="str">
        <f t="shared" si="12"/>
        <v>0</v>
      </c>
      <c r="K50" s="340" t="str">
        <f t="shared" si="13"/>
        <v>1</v>
      </c>
      <c r="L50" s="340" t="str">
        <f t="shared" si="14"/>
        <v>1</v>
      </c>
      <c r="M50" s="340" t="str">
        <f t="shared" si="15"/>
        <v>1</v>
      </c>
      <c r="N50" s="326"/>
      <c r="O50" s="346" t="s">
        <v>544</v>
      </c>
      <c r="P50" s="402" t="s">
        <v>253</v>
      </c>
      <c r="Q50" s="404"/>
      <c r="R50" s="404"/>
      <c r="S50" s="404"/>
      <c r="T50" s="403"/>
      <c r="U50" s="399" t="str">
        <f>VLOOKUP(_xlfn.CONCAT(K50:L50),OTP_conf_failsafe_bits!B315:C318,2,FALSE)</f>
        <v>11 - 40µs</v>
      </c>
      <c r="V50" s="400"/>
      <c r="W50" s="339" t="str">
        <f>VLOOKUP(M50,OTP_conf_failsafe_bits!B320:C321,2,FALSE)</f>
        <v>1 - 45µs</v>
      </c>
      <c r="X50" s="233"/>
    </row>
    <row r="51" spans="1:24" x14ac:dyDescent="0.25">
      <c r="A51" s="347">
        <v>18</v>
      </c>
      <c r="B51" s="347">
        <v>0</v>
      </c>
      <c r="C51" s="348"/>
      <c r="D51" s="349" t="str">
        <f t="shared" si="7"/>
        <v>00000000</v>
      </c>
      <c r="E51" s="348"/>
      <c r="F51" s="349" t="str">
        <f t="shared" si="9"/>
        <v>0</v>
      </c>
      <c r="G51" s="349" t="str">
        <f t="shared" si="10"/>
        <v>0</v>
      </c>
      <c r="H51" s="349" t="str">
        <f t="shared" si="11"/>
        <v>0</v>
      </c>
      <c r="I51" s="349" t="str">
        <f t="shared" si="8"/>
        <v>0</v>
      </c>
      <c r="J51" s="349" t="str">
        <f t="shared" si="12"/>
        <v>0</v>
      </c>
      <c r="K51" s="349" t="str">
        <f t="shared" si="13"/>
        <v>0</v>
      </c>
      <c r="L51" s="349" t="str">
        <f t="shared" si="14"/>
        <v>0</v>
      </c>
      <c r="M51" s="349" t="str">
        <f t="shared" si="15"/>
        <v>0</v>
      </c>
      <c r="N51" s="348"/>
      <c r="O51" s="350" t="s">
        <v>154</v>
      </c>
      <c r="P51" s="347">
        <v>0</v>
      </c>
      <c r="Q51" s="347">
        <v>0</v>
      </c>
      <c r="R51" s="347">
        <v>0</v>
      </c>
      <c r="S51" s="347">
        <v>0</v>
      </c>
      <c r="T51" s="347">
        <v>0</v>
      </c>
      <c r="U51" s="347">
        <v>0</v>
      </c>
      <c r="V51" s="347">
        <v>0</v>
      </c>
      <c r="W51" s="347">
        <v>0</v>
      </c>
      <c r="X51" s="233"/>
    </row>
    <row r="52" spans="1:24" x14ac:dyDescent="0.25">
      <c r="A52" s="347">
        <v>19</v>
      </c>
      <c r="B52" s="347">
        <v>0</v>
      </c>
      <c r="C52" s="348"/>
      <c r="D52" s="349" t="str">
        <f t="shared" si="7"/>
        <v>00000000</v>
      </c>
      <c r="E52" s="348"/>
      <c r="F52" s="349" t="str">
        <f t="shared" si="9"/>
        <v>0</v>
      </c>
      <c r="G52" s="349" t="str">
        <f t="shared" si="10"/>
        <v>0</v>
      </c>
      <c r="H52" s="349" t="str">
        <f t="shared" si="11"/>
        <v>0</v>
      </c>
      <c r="I52" s="349" t="str">
        <f t="shared" si="8"/>
        <v>0</v>
      </c>
      <c r="J52" s="349" t="str">
        <f t="shared" si="12"/>
        <v>0</v>
      </c>
      <c r="K52" s="349" t="str">
        <f t="shared" si="13"/>
        <v>0</v>
      </c>
      <c r="L52" s="349" t="str">
        <f t="shared" si="14"/>
        <v>0</v>
      </c>
      <c r="M52" s="349" t="str">
        <f t="shared" si="15"/>
        <v>0</v>
      </c>
      <c r="N52" s="348"/>
      <c r="O52" s="350" t="s">
        <v>155</v>
      </c>
      <c r="P52" s="347">
        <v>0</v>
      </c>
      <c r="Q52" s="347">
        <v>0</v>
      </c>
      <c r="R52" s="347">
        <v>0</v>
      </c>
      <c r="S52" s="347">
        <v>0</v>
      </c>
      <c r="T52" s="347">
        <v>0</v>
      </c>
      <c r="U52" s="347">
        <v>0</v>
      </c>
      <c r="V52" s="347">
        <v>0</v>
      </c>
      <c r="W52" s="347">
        <v>0</v>
      </c>
      <c r="X52" s="233"/>
    </row>
    <row r="53" spans="1:24" x14ac:dyDescent="0.25">
      <c r="A53" s="234"/>
      <c r="B53" s="234"/>
      <c r="C53" s="233"/>
      <c r="D53" s="234"/>
      <c r="E53" s="233"/>
      <c r="F53" s="234"/>
      <c r="G53" s="234"/>
      <c r="H53" s="234"/>
      <c r="I53" s="234"/>
      <c r="J53" s="234"/>
      <c r="K53" s="234"/>
      <c r="L53" s="234"/>
      <c r="M53" s="234"/>
      <c r="N53" s="233"/>
      <c r="O53" s="233"/>
      <c r="P53" s="234"/>
      <c r="Q53" s="234"/>
      <c r="R53" s="234"/>
      <c r="S53" s="234"/>
      <c r="T53" s="234"/>
      <c r="U53" s="234"/>
      <c r="V53" s="234"/>
      <c r="W53" s="234"/>
      <c r="X53" s="233"/>
    </row>
  </sheetData>
  <sheetProtection algorithmName="SHA-512" hashValue="0kTg8WOn1b8hButKepY7jRL6xluM/VPKJWl8Z3OEZp1PsvPod1/q5aMSLY7SW9Vy1EibSWJco5yyOyqlDO4/EQ==" saltValue="p7PJCQiIZYBI1vpRKmcCdQ==" spinCount="100000" sheet="1" objects="1" scenarios="1"/>
  <mergeCells count="67">
    <mergeCell ref="A4:B4"/>
    <mergeCell ref="T11:W11"/>
    <mergeCell ref="R8:W8"/>
    <mergeCell ref="R9:W9"/>
    <mergeCell ref="P10:Q10"/>
    <mergeCell ref="R10:S10"/>
    <mergeCell ref="T10:U10"/>
    <mergeCell ref="V10:W10"/>
    <mergeCell ref="Q12:R12"/>
    <mergeCell ref="S12:W12"/>
    <mergeCell ref="T13:U13"/>
    <mergeCell ref="R13:S13"/>
    <mergeCell ref="P13:Q13"/>
    <mergeCell ref="V13:W13"/>
    <mergeCell ref="P14:W14"/>
    <mergeCell ref="S15:T15"/>
    <mergeCell ref="U15:V15"/>
    <mergeCell ref="P16:W16"/>
    <mergeCell ref="Q17:R17"/>
    <mergeCell ref="T17:U17"/>
    <mergeCell ref="Q18:R18"/>
    <mergeCell ref="S18:W18"/>
    <mergeCell ref="P19:R19"/>
    <mergeCell ref="S19:U19"/>
    <mergeCell ref="V19:W19"/>
    <mergeCell ref="P23:Q23"/>
    <mergeCell ref="R23:S23"/>
    <mergeCell ref="Q20:S20"/>
    <mergeCell ref="U20:W20"/>
    <mergeCell ref="R21:T21"/>
    <mergeCell ref="R22:T22"/>
    <mergeCell ref="U21:W21"/>
    <mergeCell ref="U22:W22"/>
    <mergeCell ref="U23:W23"/>
    <mergeCell ref="U24:W24"/>
    <mergeCell ref="U25:W25"/>
    <mergeCell ref="U26:W26"/>
    <mergeCell ref="R26:T26"/>
    <mergeCell ref="R25:T25"/>
    <mergeCell ref="R24:T24"/>
    <mergeCell ref="V27:W27"/>
    <mergeCell ref="P30:V30"/>
    <mergeCell ref="U32:W32"/>
    <mergeCell ref="T31:W31"/>
    <mergeCell ref="P33:W33"/>
    <mergeCell ref="P37:W37"/>
    <mergeCell ref="P38:S38"/>
    <mergeCell ref="T38:W38"/>
    <mergeCell ref="T40:W40"/>
    <mergeCell ref="P40:S40"/>
    <mergeCell ref="S39:W39"/>
    <mergeCell ref="P41:S41"/>
    <mergeCell ref="P42:S42"/>
    <mergeCell ref="P43:S43"/>
    <mergeCell ref="P44:S44"/>
    <mergeCell ref="T44:W44"/>
    <mergeCell ref="T43:W43"/>
    <mergeCell ref="T42:W42"/>
    <mergeCell ref="T41:W41"/>
    <mergeCell ref="U49:V49"/>
    <mergeCell ref="U50:V50"/>
    <mergeCell ref="T48:W48"/>
    <mergeCell ref="P46:Q46"/>
    <mergeCell ref="P48:R48"/>
    <mergeCell ref="P50:T50"/>
    <mergeCell ref="P49:Q49"/>
    <mergeCell ref="R49:S49"/>
  </mergeCells>
  <pageMargins left="0.7" right="0.7" top="0.75" bottom="0.75" header="0.3" footer="0.3"/>
  <pageSetup paperSize="9" orientation="portrait" verticalDpi="1200" r:id="rId1"/>
  <ignoredErrors>
    <ignoredError sqref="P46 P48:R48 P50:T50 P49:Q49 S11 U11:W11 R12 T12:W12 Q13 S13 U13 W13 Q14:W14 P15:R15 T15 V15 Q16:W16 P17 R17 U17 R18 T18:W18 Q19:R19 T19:U19 W19 R20:S20 V20:W20 P21:Q21 S21:T21 V21:W21 P22:Q22 S22:T22 V22:W22 V23:W23" numberStoredAsText="1"/>
  </ignoredErrors>
  <drawing r:id="rId2"/>
  <legacyDrawing r:id="rId3"/>
  <controls>
    <mc:AlternateContent xmlns:mc="http://schemas.openxmlformats.org/markup-compatibility/2006">
      <mc:Choice Requires="x14">
        <control shapeId="21508" r:id="rId4" name="Load_ATE_File">
          <controlPr defaultSize="0" autoLine="0" r:id="rId5">
            <anchor moveWithCells="1">
              <from>
                <xdr:col>0</xdr:col>
                <xdr:colOff>504825</xdr:colOff>
                <xdr:row>0</xdr:row>
                <xdr:rowOff>104775</xdr:rowOff>
              </from>
              <to>
                <xdr:col>1</xdr:col>
                <xdr:colOff>866775</xdr:colOff>
                <xdr:row>2</xdr:row>
                <xdr:rowOff>95250</xdr:rowOff>
              </to>
            </anchor>
          </controlPr>
        </control>
      </mc:Choice>
      <mc:Fallback>
        <control shapeId="21508" r:id="rId4" name="Load_ATE_File"/>
      </mc:Fallback>
    </mc:AlternateContent>
    <mc:AlternateContent xmlns:mc="http://schemas.openxmlformats.org/markup-compatibility/2006">
      <mc:Choice Requires="x14">
        <control shapeId="21507" r:id="rId6" name="Apply_OTP_Config">
          <controlPr defaultSize="0" autoLine="0" r:id="rId7">
            <anchor moveWithCells="1">
              <from>
                <xdr:col>14</xdr:col>
                <xdr:colOff>285750</xdr:colOff>
                <xdr:row>0</xdr:row>
                <xdr:rowOff>104775</xdr:rowOff>
              </from>
              <to>
                <xdr:col>15</xdr:col>
                <xdr:colOff>723900</xdr:colOff>
                <xdr:row>2</xdr:row>
                <xdr:rowOff>95250</xdr:rowOff>
              </to>
            </anchor>
          </controlPr>
        </control>
      </mc:Choice>
      <mc:Fallback>
        <control shapeId="21507" r:id="rId6" name="Apply_OTP_Confi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O46"/>
  <sheetViews>
    <sheetView zoomScaleNormal="100" workbookViewId="0">
      <pane ySplit="2" topLeftCell="A3" activePane="bottomLeft" state="frozen"/>
      <selection activeCell="F169" sqref="F169"/>
      <selection pane="bottomLeft" activeCell="G11" sqref="G11"/>
    </sheetView>
  </sheetViews>
  <sheetFormatPr defaultColWidth="9.140625" defaultRowHeight="15" x14ac:dyDescent="0.25"/>
  <cols>
    <col min="1" max="1" width="15.42578125" style="54" customWidth="1"/>
    <col min="2" max="2" width="24.42578125" style="44" customWidth="1"/>
    <col min="3" max="4" width="12.28515625" style="44" customWidth="1"/>
    <col min="5" max="5" width="2.7109375" style="44" customWidth="1"/>
    <col min="6" max="6" width="16.5703125" style="44" customWidth="1"/>
    <col min="7" max="7" width="26" style="44" customWidth="1"/>
    <col min="8" max="8" width="16.5703125" style="44" customWidth="1"/>
    <col min="9" max="9" width="16" style="44" customWidth="1"/>
    <col min="10" max="12" width="8.140625" style="44" customWidth="1"/>
    <col min="13" max="13" width="9.28515625" style="44" customWidth="1"/>
    <col min="14" max="14" width="8.140625" style="44" customWidth="1"/>
    <col min="15" max="15" width="6.140625" style="44" customWidth="1"/>
    <col min="16" max="16384" width="9.140625" style="44"/>
  </cols>
  <sheetData>
    <row r="1" spans="1:15" ht="24.95" customHeight="1" x14ac:dyDescent="0.25">
      <c r="A1" s="414" t="s">
        <v>320</v>
      </c>
      <c r="B1" s="414" t="s">
        <v>0</v>
      </c>
      <c r="C1" s="415" t="s">
        <v>426</v>
      </c>
      <c r="D1" s="416" t="s">
        <v>321</v>
      </c>
      <c r="E1" s="43"/>
      <c r="G1" s="96"/>
      <c r="H1" s="51"/>
    </row>
    <row r="2" spans="1:15" ht="24.95" customHeight="1" x14ac:dyDescent="0.25">
      <c r="A2" s="414"/>
      <c r="B2" s="414"/>
      <c r="C2" s="415"/>
      <c r="D2" s="416"/>
      <c r="E2" s="45"/>
      <c r="G2" s="96"/>
      <c r="H2" s="51"/>
    </row>
    <row r="3" spans="1:15" x14ac:dyDescent="0.25">
      <c r="A3" s="46" t="s">
        <v>318</v>
      </c>
      <c r="B3" s="47" t="s">
        <v>97</v>
      </c>
      <c r="C3" s="48" t="s">
        <v>174</v>
      </c>
      <c r="D3" s="48" t="str">
        <f>OTP_conf_main_reg!N5</f>
        <v>0x20</v>
      </c>
      <c r="E3" s="49"/>
      <c r="F3" s="50" t="s">
        <v>824</v>
      </c>
      <c r="G3" s="31" t="s">
        <v>909</v>
      </c>
      <c r="H3" s="274" t="s">
        <v>856</v>
      </c>
      <c r="I3" s="44" t="s">
        <v>826</v>
      </c>
    </row>
    <row r="4" spans="1:15" x14ac:dyDescent="0.25">
      <c r="A4" s="46" t="s">
        <v>318</v>
      </c>
      <c r="B4" s="47" t="s">
        <v>98</v>
      </c>
      <c r="C4" s="48" t="s">
        <v>175</v>
      </c>
      <c r="D4" s="48" t="str">
        <f>OTP_conf_main_reg!N7</f>
        <v>0x06</v>
      </c>
      <c r="E4" s="49"/>
      <c r="F4" s="50" t="s">
        <v>565</v>
      </c>
      <c r="G4" s="44" t="str">
        <f>LEFT(G10,2)&amp;"33"&amp;G3&amp;LEFT(UPPER(G12),2)&amp;LEFT(G11,2)</f>
        <v>PC33FS8530A0ES</v>
      </c>
      <c r="H4" s="274" t="s">
        <v>790</v>
      </c>
      <c r="I4" s="44" t="str">
        <f>G4 &amp; ", Rev " &amp; G13</f>
        <v>PC33FS8530A0ES, Rev A</v>
      </c>
    </row>
    <row r="5" spans="1:15" x14ac:dyDescent="0.25">
      <c r="A5" s="46" t="s">
        <v>318</v>
      </c>
      <c r="B5" s="47" t="s">
        <v>99</v>
      </c>
      <c r="C5" s="48" t="s">
        <v>176</v>
      </c>
      <c r="D5" s="48" t="str">
        <f>OTP_conf_main_reg!N9</f>
        <v>0x2E</v>
      </c>
      <c r="E5" s="49"/>
      <c r="F5" s="50" t="s">
        <v>430</v>
      </c>
      <c r="G5" s="31"/>
      <c r="H5" s="274" t="s">
        <v>430</v>
      </c>
      <c r="I5" s="31"/>
    </row>
    <row r="6" spans="1:15" x14ac:dyDescent="0.25">
      <c r="A6" s="46" t="s">
        <v>318</v>
      </c>
      <c r="B6" s="47" t="s">
        <v>100</v>
      </c>
      <c r="C6" s="48" t="s">
        <v>177</v>
      </c>
      <c r="D6" s="48" t="str">
        <f>OTP_conf_main_reg!N11</f>
        <v>0x26</v>
      </c>
      <c r="E6" s="49"/>
      <c r="F6" s="50" t="s">
        <v>433</v>
      </c>
      <c r="G6" s="31"/>
      <c r="H6" s="274" t="s">
        <v>857</v>
      </c>
      <c r="I6" s="31"/>
    </row>
    <row r="7" spans="1:15" x14ac:dyDescent="0.25">
      <c r="A7" s="46" t="s">
        <v>318</v>
      </c>
      <c r="B7" s="47" t="s">
        <v>101</v>
      </c>
      <c r="C7" s="48" t="s">
        <v>178</v>
      </c>
      <c r="D7" s="48" t="str">
        <f>OTP_conf_main_reg!N13</f>
        <v>0x86</v>
      </c>
      <c r="E7" s="49"/>
      <c r="F7" s="50" t="s">
        <v>431</v>
      </c>
      <c r="G7" s="264" t="str">
        <f>Cover_sheet!C19</f>
        <v>2.2</v>
      </c>
      <c r="H7" s="274" t="s">
        <v>432</v>
      </c>
      <c r="I7" s="31" t="s">
        <v>952</v>
      </c>
    </row>
    <row r="8" spans="1:15" x14ac:dyDescent="0.25">
      <c r="A8" s="46" t="s">
        <v>318</v>
      </c>
      <c r="B8" s="47" t="s">
        <v>102</v>
      </c>
      <c r="C8" s="48" t="s">
        <v>179</v>
      </c>
      <c r="D8" s="48" t="str">
        <f>OTP_conf_main_reg!N15</f>
        <v>0x07</v>
      </c>
      <c r="E8" s="49"/>
      <c r="F8" s="50" t="s">
        <v>432</v>
      </c>
      <c r="G8" s="31" t="s">
        <v>953</v>
      </c>
      <c r="H8" s="274" t="s">
        <v>858</v>
      </c>
      <c r="I8" s="44" t="str">
        <f>I3&amp;"_"&amp;G4&amp;"_Rev"&amp;G13&amp;"_"&amp;I5&amp;"_"&amp;I6&amp;"_ATE.txt"</f>
        <v>C0_PC33FS8530A0ES_RevA___ATE.txt</v>
      </c>
    </row>
    <row r="9" spans="1:15" x14ac:dyDescent="0.25">
      <c r="A9" s="46" t="s">
        <v>318</v>
      </c>
      <c r="B9" s="47" t="s">
        <v>34</v>
      </c>
      <c r="C9" s="48" t="s">
        <v>180</v>
      </c>
      <c r="D9" s="48" t="str">
        <f>OTP_conf_main_reg!N17</f>
        <v>0x80</v>
      </c>
      <c r="E9" s="49"/>
    </row>
    <row r="10" spans="1:15" x14ac:dyDescent="0.25">
      <c r="A10" s="46" t="s">
        <v>318</v>
      </c>
      <c r="B10" s="47" t="s">
        <v>35</v>
      </c>
      <c r="C10" s="48" t="s">
        <v>181</v>
      </c>
      <c r="D10" s="48" t="str">
        <f>OTP_conf_main_reg!N19</f>
        <v>0x06</v>
      </c>
      <c r="E10" s="49"/>
      <c r="F10" s="50" t="s">
        <v>883</v>
      </c>
      <c r="G10" s="289" t="s">
        <v>892</v>
      </c>
      <c r="I10" s="284" t="s">
        <v>910</v>
      </c>
      <c r="J10" s="285" t="s">
        <v>480</v>
      </c>
      <c r="K10" s="285" t="s">
        <v>483</v>
      </c>
      <c r="L10" s="285" t="s">
        <v>486</v>
      </c>
      <c r="M10" s="285" t="s">
        <v>513</v>
      </c>
      <c r="N10" s="285" t="s">
        <v>894</v>
      </c>
      <c r="O10" s="286" t="s">
        <v>895</v>
      </c>
    </row>
    <row r="11" spans="1:15" x14ac:dyDescent="0.25">
      <c r="A11" s="46" t="s">
        <v>318</v>
      </c>
      <c r="B11" s="47" t="s">
        <v>38</v>
      </c>
      <c r="C11" s="48" t="s">
        <v>182</v>
      </c>
      <c r="D11" s="48" t="str">
        <f>OTP_conf_main_reg!N21</f>
        <v>0x88</v>
      </c>
      <c r="E11" s="49"/>
      <c r="F11" s="50" t="s">
        <v>570</v>
      </c>
      <c r="G11" s="31" t="s">
        <v>890</v>
      </c>
      <c r="I11" s="278" t="s">
        <v>896</v>
      </c>
      <c r="J11" s="279" t="s">
        <v>897</v>
      </c>
      <c r="K11" s="279" t="s">
        <v>898</v>
      </c>
      <c r="L11" s="279" t="s">
        <v>898</v>
      </c>
      <c r="M11" s="279" t="s">
        <v>898</v>
      </c>
      <c r="N11" s="300" t="s">
        <v>921</v>
      </c>
      <c r="O11" s="280" t="s">
        <v>884</v>
      </c>
    </row>
    <row r="12" spans="1:15" x14ac:dyDescent="0.25">
      <c r="A12" s="46" t="s">
        <v>318</v>
      </c>
      <c r="B12" s="47" t="s">
        <v>39</v>
      </c>
      <c r="C12" s="48" t="s">
        <v>183</v>
      </c>
      <c r="D12" s="48" t="str">
        <f>OTP_conf_main_reg!N23</f>
        <v>0x14</v>
      </c>
      <c r="E12" s="49"/>
      <c r="F12" s="50" t="s">
        <v>911</v>
      </c>
      <c r="G12" s="293" t="s">
        <v>946</v>
      </c>
      <c r="I12" s="278" t="s">
        <v>899</v>
      </c>
      <c r="J12" s="279" t="s">
        <v>897</v>
      </c>
      <c r="K12" s="279" t="s">
        <v>898</v>
      </c>
      <c r="L12" s="279" t="s">
        <v>898</v>
      </c>
      <c r="M12" s="279" t="s">
        <v>900</v>
      </c>
      <c r="N12" s="300" t="s">
        <v>922</v>
      </c>
      <c r="O12" s="280" t="s">
        <v>884</v>
      </c>
    </row>
    <row r="13" spans="1:15" x14ac:dyDescent="0.25">
      <c r="A13" s="46" t="s">
        <v>318</v>
      </c>
      <c r="B13" s="47" t="s">
        <v>42</v>
      </c>
      <c r="C13" s="48" t="s">
        <v>184</v>
      </c>
      <c r="D13" s="48" t="str">
        <f>OTP_conf_main_reg!N25</f>
        <v>0x95</v>
      </c>
      <c r="E13" s="49"/>
      <c r="F13" s="50" t="s">
        <v>912</v>
      </c>
      <c r="G13" s="289" t="s">
        <v>733</v>
      </c>
      <c r="I13" s="278" t="s">
        <v>901</v>
      </c>
      <c r="J13" s="279" t="s">
        <v>897</v>
      </c>
      <c r="K13" s="279" t="s">
        <v>898</v>
      </c>
      <c r="L13" s="279" t="s">
        <v>897</v>
      </c>
      <c r="M13" s="279" t="s">
        <v>898</v>
      </c>
      <c r="N13" s="300" t="s">
        <v>921</v>
      </c>
      <c r="O13" s="280" t="s">
        <v>884</v>
      </c>
    </row>
    <row r="14" spans="1:15" x14ac:dyDescent="0.25">
      <c r="A14" s="46" t="s">
        <v>318</v>
      </c>
      <c r="B14" s="47" t="s">
        <v>43</v>
      </c>
      <c r="C14" s="48" t="s">
        <v>185</v>
      </c>
      <c r="D14" s="48" t="str">
        <f>OTP_conf_main_reg!N27</f>
        <v>0x6F</v>
      </c>
      <c r="E14" s="49"/>
      <c r="I14" s="278" t="s">
        <v>902</v>
      </c>
      <c r="J14" s="279" t="s">
        <v>897</v>
      </c>
      <c r="K14" s="279" t="s">
        <v>898</v>
      </c>
      <c r="L14" s="279" t="s">
        <v>897</v>
      </c>
      <c r="M14" s="279" t="s">
        <v>900</v>
      </c>
      <c r="N14" s="300" t="s">
        <v>922</v>
      </c>
      <c r="O14" s="280" t="s">
        <v>884</v>
      </c>
    </row>
    <row r="15" spans="1:15" x14ac:dyDescent="0.25">
      <c r="A15" s="46" t="s">
        <v>318</v>
      </c>
      <c r="B15" s="47" t="s">
        <v>48</v>
      </c>
      <c r="C15" s="48" t="s">
        <v>186</v>
      </c>
      <c r="D15" s="48" t="str">
        <f>OTP_conf_main_reg!N29</f>
        <v>0xE4</v>
      </c>
      <c r="E15" s="49"/>
      <c r="I15" s="278" t="s">
        <v>903</v>
      </c>
      <c r="J15" s="279" t="s">
        <v>897</v>
      </c>
      <c r="K15" s="279" t="s">
        <v>897</v>
      </c>
      <c r="L15" s="279" t="s">
        <v>898</v>
      </c>
      <c r="M15" s="279" t="s">
        <v>898</v>
      </c>
      <c r="N15" s="300" t="s">
        <v>921</v>
      </c>
      <c r="O15" s="280" t="s">
        <v>884</v>
      </c>
    </row>
    <row r="16" spans="1:15" x14ac:dyDescent="0.25">
      <c r="A16" s="46" t="s">
        <v>318</v>
      </c>
      <c r="B16" s="47" t="s">
        <v>103</v>
      </c>
      <c r="C16" s="48" t="s">
        <v>187</v>
      </c>
      <c r="D16" s="48" t="str">
        <f>OTP_conf_main_reg!N31</f>
        <v>0x3A</v>
      </c>
      <c r="E16" s="49"/>
      <c r="F16" s="325"/>
      <c r="G16" s="325" t="s">
        <v>890</v>
      </c>
      <c r="H16" s="273"/>
      <c r="I16" s="278" t="s">
        <v>904</v>
      </c>
      <c r="J16" s="279" t="s">
        <v>897</v>
      </c>
      <c r="K16" s="279" t="s">
        <v>897</v>
      </c>
      <c r="L16" s="279" t="s">
        <v>898</v>
      </c>
      <c r="M16" s="279" t="s">
        <v>900</v>
      </c>
      <c r="N16" s="300" t="s">
        <v>922</v>
      </c>
      <c r="O16" s="280" t="s">
        <v>884</v>
      </c>
    </row>
    <row r="17" spans="1:15" x14ac:dyDescent="0.25">
      <c r="A17" s="46" t="s">
        <v>318</v>
      </c>
      <c r="B17" s="47" t="s">
        <v>104</v>
      </c>
      <c r="C17" s="48" t="s">
        <v>188</v>
      </c>
      <c r="D17" s="48" t="str">
        <f>OTP_conf_main_reg!N33</f>
        <v>0x3F</v>
      </c>
      <c r="E17" s="49"/>
      <c r="F17" s="325"/>
      <c r="G17" s="325" t="s">
        <v>891</v>
      </c>
      <c r="H17" s="273"/>
      <c r="I17" s="278" t="s">
        <v>870</v>
      </c>
      <c r="J17" s="279" t="s">
        <v>897</v>
      </c>
      <c r="K17" s="279" t="s">
        <v>897</v>
      </c>
      <c r="L17" s="279" t="s">
        <v>897</v>
      </c>
      <c r="M17" s="279" t="s">
        <v>898</v>
      </c>
      <c r="N17" s="300" t="s">
        <v>921</v>
      </c>
      <c r="O17" s="280" t="s">
        <v>884</v>
      </c>
    </row>
    <row r="18" spans="1:15" x14ac:dyDescent="0.25">
      <c r="A18" s="46" t="s">
        <v>318</v>
      </c>
      <c r="B18" s="47" t="s">
        <v>105</v>
      </c>
      <c r="C18" s="48" t="s">
        <v>189</v>
      </c>
      <c r="D18" s="48" t="str">
        <f>OTP_conf_main_reg!N35</f>
        <v>0x02</v>
      </c>
      <c r="E18" s="49"/>
      <c r="F18" s="325"/>
      <c r="G18" s="325"/>
      <c r="H18" s="273"/>
      <c r="I18" s="278" t="s">
        <v>905</v>
      </c>
      <c r="J18" s="279" t="s">
        <v>897</v>
      </c>
      <c r="K18" s="279" t="s">
        <v>897</v>
      </c>
      <c r="L18" s="279" t="s">
        <v>897</v>
      </c>
      <c r="M18" s="279" t="s">
        <v>900</v>
      </c>
      <c r="N18" s="301" t="s">
        <v>922</v>
      </c>
      <c r="O18" s="280" t="s">
        <v>884</v>
      </c>
    </row>
    <row r="19" spans="1:15" x14ac:dyDescent="0.25">
      <c r="A19" s="46" t="s">
        <v>318</v>
      </c>
      <c r="B19" s="47" t="s">
        <v>106</v>
      </c>
      <c r="C19" s="48" t="s">
        <v>190</v>
      </c>
      <c r="D19" s="48" t="str">
        <f>OTP_conf_main_reg!N37</f>
        <v>0x04</v>
      </c>
      <c r="E19" s="49"/>
      <c r="F19" s="325"/>
      <c r="G19" s="325" t="s">
        <v>892</v>
      </c>
      <c r="H19" s="273"/>
      <c r="I19" s="275" t="s">
        <v>906</v>
      </c>
      <c r="J19" s="276" t="s">
        <v>897</v>
      </c>
      <c r="K19" s="276" t="s">
        <v>898</v>
      </c>
      <c r="L19" s="276" t="s">
        <v>898</v>
      </c>
      <c r="M19" s="276" t="s">
        <v>897</v>
      </c>
      <c r="N19" s="300" t="s">
        <v>922</v>
      </c>
      <c r="O19" s="277" t="s">
        <v>886</v>
      </c>
    </row>
    <row r="20" spans="1:15" x14ac:dyDescent="0.25">
      <c r="A20" s="46" t="s">
        <v>318</v>
      </c>
      <c r="B20" s="47" t="s">
        <v>107</v>
      </c>
      <c r="C20" s="48" t="s">
        <v>191</v>
      </c>
      <c r="D20" s="48" t="str">
        <f>OTP_conf_main_reg!N39</f>
        <v>0x00</v>
      </c>
      <c r="E20" s="49"/>
      <c r="F20" s="325"/>
      <c r="G20" s="325" t="s">
        <v>893</v>
      </c>
      <c r="H20" s="273"/>
      <c r="I20" s="278" t="s">
        <v>907</v>
      </c>
      <c r="J20" s="279" t="s">
        <v>897</v>
      </c>
      <c r="K20" s="279" t="s">
        <v>898</v>
      </c>
      <c r="L20" s="279" t="s">
        <v>897</v>
      </c>
      <c r="M20" s="279" t="s">
        <v>897</v>
      </c>
      <c r="N20" s="300" t="s">
        <v>922</v>
      </c>
      <c r="O20" s="280" t="s">
        <v>886</v>
      </c>
    </row>
    <row r="21" spans="1:15" x14ac:dyDescent="0.25">
      <c r="A21" s="46" t="s">
        <v>318</v>
      </c>
      <c r="B21" s="47" t="s">
        <v>108</v>
      </c>
      <c r="C21" s="48" t="s">
        <v>192</v>
      </c>
      <c r="D21" s="48" t="str">
        <f>OTP_conf_main_reg!N41</f>
        <v>0x02</v>
      </c>
      <c r="E21" s="49"/>
      <c r="F21" s="325"/>
      <c r="G21" s="325" t="s">
        <v>889</v>
      </c>
      <c r="H21" s="273"/>
      <c r="I21" s="278" t="s">
        <v>908</v>
      </c>
      <c r="J21" s="279" t="s">
        <v>897</v>
      </c>
      <c r="K21" s="279" t="s">
        <v>897</v>
      </c>
      <c r="L21" s="279" t="s">
        <v>898</v>
      </c>
      <c r="M21" s="279" t="s">
        <v>897</v>
      </c>
      <c r="N21" s="300" t="s">
        <v>922</v>
      </c>
      <c r="O21" s="280" t="s">
        <v>886</v>
      </c>
    </row>
    <row r="22" spans="1:15" x14ac:dyDescent="0.25">
      <c r="A22" s="46" t="s">
        <v>318</v>
      </c>
      <c r="B22" s="47" t="s">
        <v>109</v>
      </c>
      <c r="C22" s="48" t="s">
        <v>193</v>
      </c>
      <c r="D22" s="48" t="str">
        <f>OTP_conf_main_reg!N43</f>
        <v>0x02</v>
      </c>
      <c r="E22" s="49"/>
      <c r="F22" s="325"/>
      <c r="G22" s="325"/>
      <c r="H22" s="273"/>
      <c r="I22" s="281" t="s">
        <v>909</v>
      </c>
      <c r="J22" s="282" t="s">
        <v>897</v>
      </c>
      <c r="K22" s="282" t="s">
        <v>897</v>
      </c>
      <c r="L22" s="282" t="s">
        <v>897</v>
      </c>
      <c r="M22" s="282" t="s">
        <v>897</v>
      </c>
      <c r="N22" s="301" t="s">
        <v>922</v>
      </c>
      <c r="O22" s="283" t="s">
        <v>886</v>
      </c>
    </row>
    <row r="23" spans="1:15" x14ac:dyDescent="0.25">
      <c r="A23" s="46" t="s">
        <v>318</v>
      </c>
      <c r="B23" s="47" t="s">
        <v>110</v>
      </c>
      <c r="C23" s="48" t="s">
        <v>194</v>
      </c>
      <c r="D23" s="48" t="str">
        <f>OTP_conf_main_reg!N45</f>
        <v>0x00</v>
      </c>
      <c r="E23" s="49"/>
      <c r="F23" s="325"/>
      <c r="G23" s="325" t="s">
        <v>733</v>
      </c>
      <c r="H23" s="273"/>
    </row>
    <row r="24" spans="1:15" x14ac:dyDescent="0.25">
      <c r="A24" s="46" t="s">
        <v>318</v>
      </c>
      <c r="B24" s="47" t="s">
        <v>111</v>
      </c>
      <c r="C24" s="48" t="s">
        <v>195</v>
      </c>
      <c r="D24" s="48" t="str">
        <f>OTP_conf_main_reg!N47</f>
        <v>0x00</v>
      </c>
      <c r="E24" s="49"/>
      <c r="F24" s="325"/>
      <c r="G24" s="325" t="s">
        <v>884</v>
      </c>
      <c r="H24" s="273"/>
    </row>
    <row r="25" spans="1:15" x14ac:dyDescent="0.25">
      <c r="A25" s="46" t="s">
        <v>318</v>
      </c>
      <c r="B25" s="47" t="s">
        <v>113</v>
      </c>
      <c r="C25" s="48" t="s">
        <v>196</v>
      </c>
      <c r="D25" s="48" t="str">
        <f>OTP_conf_main_reg!N49</f>
        <v>0x00</v>
      </c>
      <c r="E25" s="49"/>
      <c r="F25" s="325"/>
      <c r="G25" s="325" t="s">
        <v>885</v>
      </c>
      <c r="H25" s="273"/>
    </row>
    <row r="26" spans="1:15" x14ac:dyDescent="0.25">
      <c r="A26" s="46" t="s">
        <v>318</v>
      </c>
      <c r="B26" s="47" t="s">
        <v>114</v>
      </c>
      <c r="C26" s="48" t="s">
        <v>197</v>
      </c>
      <c r="D26" s="48" t="str">
        <f>OTP_conf_main_reg!N51</f>
        <v>0x00</v>
      </c>
      <c r="E26" s="49"/>
      <c r="F26" s="325"/>
      <c r="G26" s="325" t="s">
        <v>886</v>
      </c>
      <c r="H26" s="273"/>
    </row>
    <row r="27" spans="1:15" x14ac:dyDescent="0.25">
      <c r="A27" s="46" t="s">
        <v>318</v>
      </c>
      <c r="B27" s="47" t="s">
        <v>116</v>
      </c>
      <c r="C27" s="48" t="s">
        <v>198</v>
      </c>
      <c r="D27" s="48" t="str">
        <f>OTP_conf_main_reg!N53</f>
        <v>0x01</v>
      </c>
      <c r="E27" s="49"/>
      <c r="F27" s="325"/>
      <c r="G27" s="325" t="s">
        <v>887</v>
      </c>
      <c r="H27" s="273"/>
    </row>
    <row r="28" spans="1:15" x14ac:dyDescent="0.25">
      <c r="A28" s="46" t="s">
        <v>318</v>
      </c>
      <c r="B28" s="52" t="s">
        <v>147</v>
      </c>
      <c r="C28" s="48" t="s">
        <v>199</v>
      </c>
      <c r="D28" s="48" t="str">
        <f>OTP_conf_main_reg!N55</f>
        <v>0x01</v>
      </c>
      <c r="E28" s="49"/>
      <c r="F28" s="325"/>
      <c r="G28" s="325" t="s">
        <v>888</v>
      </c>
      <c r="H28" s="273"/>
      <c r="I28" s="273"/>
    </row>
    <row r="29" spans="1:15" x14ac:dyDescent="0.25">
      <c r="A29" s="46" t="s">
        <v>318</v>
      </c>
      <c r="B29" s="52" t="s">
        <v>148</v>
      </c>
      <c r="C29" s="48" t="s">
        <v>200</v>
      </c>
      <c r="D29" s="48" t="str">
        <f>OTP_conf_main_reg!N57</f>
        <v>0x00</v>
      </c>
      <c r="E29" s="49"/>
      <c r="F29" s="325"/>
      <c r="G29" s="325"/>
      <c r="H29" s="273"/>
      <c r="I29" s="273"/>
    </row>
    <row r="30" spans="1:15" x14ac:dyDescent="0.25">
      <c r="A30" s="46" t="s">
        <v>318</v>
      </c>
      <c r="B30" s="52" t="s">
        <v>149</v>
      </c>
      <c r="C30" s="48" t="s">
        <v>201</v>
      </c>
      <c r="D30" s="48" t="str">
        <f>OTP_conf_main_reg!N59</f>
        <v>0x00</v>
      </c>
      <c r="E30" s="49"/>
      <c r="F30" s="325"/>
      <c r="G30" s="325"/>
      <c r="H30" s="273"/>
      <c r="I30" s="273"/>
    </row>
    <row r="31" spans="1:15" x14ac:dyDescent="0.25">
      <c r="A31" s="53" t="s">
        <v>319</v>
      </c>
      <c r="B31" s="52" t="s">
        <v>130</v>
      </c>
      <c r="C31" s="48" t="s">
        <v>296</v>
      </c>
      <c r="D31" s="48" t="str">
        <f>OTP_conf_failsafe_reg!N5</f>
        <v>0x80</v>
      </c>
      <c r="E31" s="49"/>
      <c r="F31" s="325"/>
      <c r="G31" s="325"/>
      <c r="H31" s="273"/>
    </row>
    <row r="32" spans="1:15" x14ac:dyDescent="0.25">
      <c r="A32" s="53" t="s">
        <v>319</v>
      </c>
      <c r="B32" s="52" t="s">
        <v>131</v>
      </c>
      <c r="C32" s="48" t="s">
        <v>297</v>
      </c>
      <c r="D32" s="48" t="str">
        <f>OTP_conf_failsafe_reg!N7</f>
        <v>0xFF</v>
      </c>
      <c r="E32" s="49"/>
      <c r="F32" s="325"/>
      <c r="G32" s="325"/>
      <c r="H32" s="273"/>
    </row>
    <row r="33" spans="1:8" x14ac:dyDescent="0.25">
      <c r="A33" s="53" t="s">
        <v>319</v>
      </c>
      <c r="B33" s="52" t="s">
        <v>132</v>
      </c>
      <c r="C33" s="48" t="s">
        <v>298</v>
      </c>
      <c r="D33" s="48" t="str">
        <f>OTP_conf_failsafe_reg!N9</f>
        <v>0x0F</v>
      </c>
      <c r="E33" s="49"/>
      <c r="F33" s="325"/>
      <c r="G33" s="325"/>
      <c r="H33" s="273"/>
    </row>
    <row r="34" spans="1:8" x14ac:dyDescent="0.25">
      <c r="A34" s="53" t="s">
        <v>319</v>
      </c>
      <c r="B34" s="52" t="s">
        <v>133</v>
      </c>
      <c r="C34" s="48" t="s">
        <v>299</v>
      </c>
      <c r="D34" s="48" t="str">
        <f>OTP_conf_failsafe_reg!N11</f>
        <v>0x25</v>
      </c>
      <c r="E34" s="49"/>
      <c r="F34" s="325"/>
      <c r="G34" s="325"/>
      <c r="H34" s="273"/>
    </row>
    <row r="35" spans="1:8" x14ac:dyDescent="0.25">
      <c r="A35" s="53" t="s">
        <v>319</v>
      </c>
      <c r="B35" s="52" t="s">
        <v>134</v>
      </c>
      <c r="C35" s="48" t="s">
        <v>300</v>
      </c>
      <c r="D35" s="48" t="str">
        <f>OTP_conf_failsafe_reg!N13</f>
        <v>0xFF</v>
      </c>
      <c r="E35" s="49"/>
      <c r="F35" s="325"/>
      <c r="G35" s="325"/>
      <c r="H35" s="273"/>
    </row>
    <row r="36" spans="1:8" x14ac:dyDescent="0.25">
      <c r="A36" s="53" t="s">
        <v>319</v>
      </c>
      <c r="B36" s="52" t="s">
        <v>135</v>
      </c>
      <c r="C36" s="48" t="s">
        <v>301</v>
      </c>
      <c r="D36" s="48" t="str">
        <f>OTP_conf_failsafe_reg!N15</f>
        <v>0xFF</v>
      </c>
      <c r="E36" s="49"/>
      <c r="F36" s="273"/>
      <c r="G36" s="273"/>
      <c r="H36" s="273"/>
    </row>
    <row r="37" spans="1:8" x14ac:dyDescent="0.25">
      <c r="A37" s="53" t="s">
        <v>319</v>
      </c>
      <c r="B37" s="52" t="s">
        <v>136</v>
      </c>
      <c r="C37" s="48" t="s">
        <v>163</v>
      </c>
      <c r="D37" s="48" t="str">
        <f>OTP_conf_failsafe_reg!N17</f>
        <v>0xFF</v>
      </c>
      <c r="E37" s="49"/>
      <c r="F37" s="273"/>
      <c r="G37" s="273"/>
      <c r="H37" s="273"/>
    </row>
    <row r="38" spans="1:8" x14ac:dyDescent="0.25">
      <c r="A38" s="53" t="s">
        <v>319</v>
      </c>
      <c r="B38" s="52" t="s">
        <v>137</v>
      </c>
      <c r="C38" s="48" t="s">
        <v>164</v>
      </c>
      <c r="D38" s="48" t="str">
        <f>OTP_conf_failsafe_reg!N19</f>
        <v>0xFF</v>
      </c>
      <c r="E38" s="49"/>
    </row>
    <row r="39" spans="1:8" x14ac:dyDescent="0.25">
      <c r="A39" s="53" t="s">
        <v>319</v>
      </c>
      <c r="B39" s="52" t="s">
        <v>117</v>
      </c>
      <c r="C39" s="48" t="s">
        <v>302</v>
      </c>
      <c r="D39" s="48" t="str">
        <f>OTP_conf_failsafe_reg!N21</f>
        <v>0x40</v>
      </c>
      <c r="E39" s="49"/>
    </row>
    <row r="40" spans="1:8" x14ac:dyDescent="0.25">
      <c r="A40" s="53" t="s">
        <v>319</v>
      </c>
      <c r="B40" s="52" t="s">
        <v>118</v>
      </c>
      <c r="C40" s="48" t="s">
        <v>303</v>
      </c>
      <c r="D40" s="48" t="str">
        <f>OTP_conf_failsafe_reg!N23</f>
        <v>0x00</v>
      </c>
      <c r="E40" s="49"/>
    </row>
    <row r="41" spans="1:8" x14ac:dyDescent="0.25">
      <c r="A41" s="53" t="s">
        <v>319</v>
      </c>
      <c r="B41" s="52" t="s">
        <v>119</v>
      </c>
      <c r="C41" s="48" t="s">
        <v>174</v>
      </c>
      <c r="D41" s="48" t="str">
        <f>OTP_conf_failsafe_reg!N25</f>
        <v>0x40</v>
      </c>
      <c r="E41" s="49"/>
    </row>
    <row r="42" spans="1:8" x14ac:dyDescent="0.25">
      <c r="A42" s="53" t="s">
        <v>319</v>
      </c>
      <c r="B42" s="52" t="s">
        <v>114</v>
      </c>
      <c r="C42" s="48" t="s">
        <v>175</v>
      </c>
      <c r="D42" s="48" t="str">
        <f>OTP_conf_failsafe_reg!N27</f>
        <v>0x10</v>
      </c>
      <c r="E42" s="49"/>
    </row>
    <row r="43" spans="1:8" x14ac:dyDescent="0.25">
      <c r="A43" s="53" t="s">
        <v>319</v>
      </c>
      <c r="B43" s="52" t="s">
        <v>543</v>
      </c>
      <c r="C43" s="48" t="s">
        <v>176</v>
      </c>
      <c r="D43" s="48" t="str">
        <f>OTP_conf_failsafe_reg!N29</f>
        <v>0x3F</v>
      </c>
      <c r="E43" s="49"/>
    </row>
    <row r="44" spans="1:8" x14ac:dyDescent="0.25">
      <c r="A44" s="53" t="s">
        <v>319</v>
      </c>
      <c r="B44" s="52" t="s">
        <v>544</v>
      </c>
      <c r="C44" s="48" t="s">
        <v>177</v>
      </c>
      <c r="D44" s="48" t="str">
        <f>OTP_conf_failsafe_reg!N31</f>
        <v>0x07</v>
      </c>
      <c r="E44" s="49"/>
    </row>
    <row r="45" spans="1:8" x14ac:dyDescent="0.25">
      <c r="A45" s="53" t="s">
        <v>319</v>
      </c>
      <c r="B45" s="52" t="s">
        <v>154</v>
      </c>
      <c r="C45" s="48" t="s">
        <v>178</v>
      </c>
      <c r="D45" s="48" t="str">
        <f>OTP_conf_failsafe_reg!N33</f>
        <v>0x00</v>
      </c>
      <c r="E45" s="49"/>
    </row>
    <row r="46" spans="1:8" x14ac:dyDescent="0.25">
      <c r="A46" s="53" t="s">
        <v>319</v>
      </c>
      <c r="B46" s="52" t="s">
        <v>155</v>
      </c>
      <c r="C46" s="48" t="s">
        <v>179</v>
      </c>
      <c r="D46" s="48" t="str">
        <f>OTP_conf_failsafe_reg!N35</f>
        <v>0x00</v>
      </c>
      <c r="E46" s="45"/>
    </row>
  </sheetData>
  <sheetProtection algorithmName="SHA-512" hashValue="V29/88pBekW6+yMEaBPq4HCTEIu7OmR/krAzHZhc8sotPDltGht1nSwQx0W+9SothC+JFbM3yOJn87QcpI/ybw==" saltValue="RO0LueXSo0hHx59nhrJSfg==" spinCount="100000" sheet="1" objects="1" scenarios="1" selectLockedCells="1"/>
  <protectedRanges>
    <protectedRange sqref="G10:G13" name="Range1"/>
  </protectedRanges>
  <mergeCells count="4">
    <mergeCell ref="A1:A2"/>
    <mergeCell ref="B1:B2"/>
    <mergeCell ref="C1:C2"/>
    <mergeCell ref="D1:D2"/>
  </mergeCells>
  <conditionalFormatting sqref="I11:M22 O11:O22">
    <cfRule type="expression" dxfId="140" priority="309">
      <formula>$G$3=$I11</formula>
    </cfRule>
  </conditionalFormatting>
  <conditionalFormatting sqref="N13:N14">
    <cfRule type="expression" dxfId="139" priority="10">
      <formula>$G$3=$I13</formula>
    </cfRule>
  </conditionalFormatting>
  <conditionalFormatting sqref="N11:N12">
    <cfRule type="expression" dxfId="138" priority="6">
      <formula>$G$3=$I11</formula>
    </cfRule>
  </conditionalFormatting>
  <conditionalFormatting sqref="N15:N16">
    <cfRule type="expression" dxfId="137" priority="5">
      <formula>$G$3=$I15</formula>
    </cfRule>
  </conditionalFormatting>
  <conditionalFormatting sqref="N17">
    <cfRule type="expression" dxfId="136" priority="4">
      <formula>$G$3=$I17</formula>
    </cfRule>
  </conditionalFormatting>
  <conditionalFormatting sqref="N19:N21">
    <cfRule type="expression" dxfId="135" priority="3">
      <formula>$G$3=$I19</formula>
    </cfRule>
  </conditionalFormatting>
  <conditionalFormatting sqref="N22">
    <cfRule type="expression" dxfId="134" priority="2">
      <formula>$G$3=$I22</formula>
    </cfRule>
  </conditionalFormatting>
  <conditionalFormatting sqref="N18">
    <cfRule type="expression" dxfId="133" priority="1">
      <formula>$G$3=$I18</formula>
    </cfRule>
  </conditionalFormatting>
  <dataValidations count="5">
    <dataValidation allowBlank="1" showErrorMessage="1" error="Insert two alphanumeric characters." sqref="G12" xr:uid="{2E26D4E7-7179-4425-8D6B-DE877C9171CF}"/>
    <dataValidation type="list" allowBlank="1" showInputMessage="1" showErrorMessage="1" sqref="G13" xr:uid="{8140E864-8175-4CF2-9E0D-344141DDCA03}">
      <formula1>$G$23:$G$28</formula1>
    </dataValidation>
    <dataValidation type="list" allowBlank="1" showInputMessage="1" showErrorMessage="1" sqref="G10" xr:uid="{489765BB-5707-4378-B8ED-24CCCC57A284}">
      <formula1>$G$19:$G$21</formula1>
    </dataValidation>
    <dataValidation type="list" allowBlank="1" showInputMessage="1" showErrorMessage="1" sqref="G11" xr:uid="{F3B37585-1C46-419B-B20A-4BCF87BBAD49}">
      <formula1>$G$16:$G$17</formula1>
    </dataValidation>
    <dataValidation type="list" allowBlank="1" showInputMessage="1" showErrorMessage="1" sqref="G3" xr:uid="{51B09D26-0C5A-4B7C-8598-ADBE389A4C6F}">
      <formula1>$I$11:$I$22</formula1>
    </dataValidation>
  </dataValidations>
  <pageMargins left="0.7" right="0.7" top="0.75" bottom="0.75" header="0.3" footer="0.3"/>
  <pageSetup paperSize="9" orientation="portrait" verticalDpi="1200" r:id="rId1"/>
  <ignoredErrors>
    <ignoredError sqref="C3:C42 C43:C46" numberStoredAsText="1"/>
    <ignoredError sqref="D3 D4 D5 D6 D7 D8 D9 D10 D11 D12 D13 D14 D15 D16 D17 D18 D19 D20 D21 D22 D23 D24 D25 D26 D27 D28 D29 D30 D31 D32 D33 D34 D35 D36 D37 D38 D39 D40 D41 D42" unlockedFormula="1"/>
  </ignoredErrors>
  <drawing r:id="rId2"/>
  <legacyDrawing r:id="rId3"/>
  <controls>
    <mc:AlternateContent xmlns:mc="http://schemas.openxmlformats.org/markup-compatibility/2006">
      <mc:Choice Requires="x14">
        <control shapeId="4099" r:id="rId4" name="Generate_OTP_File_ATE">
          <controlPr defaultSize="0" autoLine="0" r:id="rId5">
            <anchor moveWithCells="1">
              <from>
                <xdr:col>7</xdr:col>
                <xdr:colOff>38100</xdr:colOff>
                <xdr:row>0</xdr:row>
                <xdr:rowOff>28575</xdr:rowOff>
              </from>
              <to>
                <xdr:col>9</xdr:col>
                <xdr:colOff>95250</xdr:colOff>
                <xdr:row>1</xdr:row>
                <xdr:rowOff>304800</xdr:rowOff>
              </to>
            </anchor>
          </controlPr>
        </control>
      </mc:Choice>
      <mc:Fallback>
        <control shapeId="4099" r:id="rId4" name="Generate_OTP_File_ATE"/>
      </mc:Fallback>
    </mc:AlternateContent>
    <mc:AlternateContent xmlns:mc="http://schemas.openxmlformats.org/markup-compatibility/2006">
      <mc:Choice Requires="x14">
        <control shapeId="4098" r:id="rId6" name="Generate_OTP_File_GUI">
          <controlPr defaultSize="0" autoFill="0" autoLine="0" r:id="rId7">
            <anchor moveWithCells="1">
              <from>
                <xdr:col>5</xdr:col>
                <xdr:colOff>28575</xdr:colOff>
                <xdr:row>0</xdr:row>
                <xdr:rowOff>38100</xdr:rowOff>
              </from>
              <to>
                <xdr:col>6</xdr:col>
                <xdr:colOff>1066800</xdr:colOff>
                <xdr:row>1</xdr:row>
                <xdr:rowOff>276225</xdr:rowOff>
              </to>
            </anchor>
          </controlPr>
        </control>
      </mc:Choice>
      <mc:Fallback>
        <control shapeId="4098" r:id="rId6" name="Generate_OTP_File_GUI"/>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657"/>
  <sheetViews>
    <sheetView tabSelected="1" zoomScaleNormal="100" workbookViewId="0">
      <pane ySplit="21" topLeftCell="A26" activePane="bottomLeft" state="frozen"/>
      <selection activeCell="F169" sqref="F169"/>
      <selection pane="bottomLeft" activeCell="D67" sqref="D67"/>
    </sheetView>
  </sheetViews>
  <sheetFormatPr defaultColWidth="9.140625" defaultRowHeight="15" x14ac:dyDescent="0.25"/>
  <cols>
    <col min="1" max="1" width="28.42578125" style="34" customWidth="1"/>
    <col min="2" max="2" width="32.7109375" style="33" customWidth="1"/>
    <col min="3" max="3" width="2.7109375" style="33" customWidth="1"/>
    <col min="4" max="4" width="30.7109375" style="34" customWidth="1"/>
    <col min="5" max="5" width="30.7109375" style="33" customWidth="1"/>
    <col min="6" max="6" width="2.7109375" style="260" customWidth="1"/>
    <col min="7" max="7" width="9.140625" style="291"/>
    <col min="8" max="8" width="11.7109375" style="291" bestFit="1" customWidth="1"/>
    <col min="9" max="13" width="9.140625" style="291"/>
    <col min="14" max="17" width="9.140625" style="323"/>
    <col min="18" max="18" width="12.28515625" style="260" bestFit="1" customWidth="1"/>
    <col min="19" max="19" width="12.28515625" style="260" customWidth="1"/>
    <col min="20" max="21" width="13" style="260" hidden="1" customWidth="1"/>
    <col min="22" max="22" width="13.140625" style="260" hidden="1" customWidth="1"/>
    <col min="23" max="26" width="13.85546875" style="260" hidden="1" customWidth="1"/>
    <col min="27" max="27" width="2.7109375" style="260" customWidth="1"/>
    <col min="28" max="28" width="9.140625" style="257"/>
    <col min="29" max="29" width="9.140625" style="260"/>
    <col min="30" max="36" width="9.140625" style="257"/>
    <col min="37" max="16384" width="9.140625" style="34"/>
  </cols>
  <sheetData>
    <row r="1" spans="1:36" hidden="1" x14ac:dyDescent="0.25">
      <c r="B1" s="290"/>
      <c r="C1" s="290"/>
      <c r="E1" s="290"/>
      <c r="G1" s="291" t="s">
        <v>917</v>
      </c>
      <c r="H1" s="296">
        <f>(LEFT($B$77,LEN($B$77)-2)/10000)</f>
        <v>2.5000000000000001E-2</v>
      </c>
      <c r="L1" s="291" t="str">
        <f>B40</f>
        <v xml:space="preserve"> Regulator Start and Stop in Slot 2</v>
      </c>
      <c r="M1" s="291" t="str">
        <f>B52</f>
        <v xml:space="preserve"> Regulator does not Start (Enabled by SPI/I2C)</v>
      </c>
      <c r="N1" s="323" t="str">
        <f>B64</f>
        <v xml:space="preserve"> Regulator Start and Stop in Slot 2</v>
      </c>
      <c r="O1" s="323" t="str">
        <f>B70</f>
        <v xml:space="preserve"> Regulator does not Start (Enabled by SPI/I2C)</v>
      </c>
      <c r="P1" s="323" t="str">
        <f>B75</f>
        <v xml:space="preserve"> Regulator does not Start (Enabled by SPI/I2C)</v>
      </c>
      <c r="U1" s="260" t="s">
        <v>531</v>
      </c>
      <c r="V1" s="260" t="s">
        <v>925</v>
      </c>
    </row>
    <row r="2" spans="1:36" hidden="1" x14ac:dyDescent="0.25">
      <c r="B2" s="290"/>
      <c r="C2" s="290"/>
      <c r="E2" s="290"/>
      <c r="M2" s="291" t="str">
        <f>B43</f>
        <v>Yes</v>
      </c>
      <c r="N2" s="323" t="str">
        <f>B55</f>
        <v>Yes</v>
      </c>
      <c r="O2" s="323" t="s">
        <v>897</v>
      </c>
      <c r="P2" s="323" t="s">
        <v>897</v>
      </c>
      <c r="U2" s="260" t="s">
        <v>474</v>
      </c>
      <c r="V2" s="260" t="s">
        <v>531</v>
      </c>
    </row>
    <row r="3" spans="1:36" hidden="1" x14ac:dyDescent="0.25">
      <c r="B3" s="290"/>
      <c r="C3" s="290"/>
      <c r="E3" s="290"/>
      <c r="H3" s="291" t="s">
        <v>913</v>
      </c>
      <c r="J3" s="291" t="str">
        <f>B13</f>
        <v xml:space="preserve"> 5.0V</v>
      </c>
      <c r="K3" s="291" t="str">
        <f>B24</f>
        <v xml:space="preserve"> 5.00V</v>
      </c>
      <c r="L3" s="291" t="str">
        <f>B33</f>
        <v xml:space="preserve"> 1.2V</v>
      </c>
      <c r="M3" s="291" t="str">
        <f>B44</f>
        <v xml:space="preserve"> 1.25V</v>
      </c>
      <c r="N3" s="323" t="str">
        <f>B56</f>
        <v xml:space="preserve"> 3.3V</v>
      </c>
      <c r="O3" s="323" t="str">
        <f>B67</f>
        <v xml:space="preserve"> 2.5V</v>
      </c>
      <c r="P3" s="323" t="str">
        <f>B72</f>
        <v xml:space="preserve"> 3.3V</v>
      </c>
      <c r="U3" s="260" t="s">
        <v>483</v>
      </c>
      <c r="V3" s="260" t="s">
        <v>474</v>
      </c>
    </row>
    <row r="4" spans="1:36" hidden="1" x14ac:dyDescent="0.25">
      <c r="B4" s="290"/>
      <c r="C4" s="290"/>
      <c r="E4" s="290"/>
      <c r="H4" s="291" t="s">
        <v>919</v>
      </c>
      <c r="J4" s="291" t="str">
        <f>J3</f>
        <v xml:space="preserve"> 5.0V</v>
      </c>
      <c r="K4" s="291" t="str">
        <f>IF(EXACT($B$23,"Yes"),K3,J3)</f>
        <v xml:space="preserve"> 5.00V</v>
      </c>
      <c r="L4" s="291" t="str">
        <f>SUBSTITUTE(L3,"V","")</f>
        <v xml:space="preserve"> 1.2</v>
      </c>
      <c r="M4" s="291" t="str">
        <f>IF(AND(EXACT(M2,"Yes"),M7&lt;=6),M3,"0V")</f>
        <v>0V</v>
      </c>
      <c r="N4" s="323" t="str">
        <f t="shared" ref="N4:P4" si="0">IF(AND(EXACT(N2,"Yes"),N7&lt;=6),N3,"0V")</f>
        <v xml:space="preserve"> 3.3V</v>
      </c>
      <c r="O4" s="323" t="str">
        <f t="shared" si="0"/>
        <v>0V</v>
      </c>
      <c r="P4" s="323" t="str">
        <f t="shared" si="0"/>
        <v>0V</v>
      </c>
      <c r="R4" s="323" t="str">
        <f ca="1">J15</f>
        <v xml:space="preserve"> 5.0V</v>
      </c>
      <c r="S4" s="260">
        <v>1.6</v>
      </c>
      <c r="U4" s="260" t="s">
        <v>486</v>
      </c>
    </row>
    <row r="5" spans="1:36" hidden="1" x14ac:dyDescent="0.25">
      <c r="B5" s="290"/>
      <c r="C5" s="290"/>
      <c r="E5" s="290"/>
      <c r="H5" s="291" t="s">
        <v>914</v>
      </c>
      <c r="J5" s="291">
        <f>ROUND(VALUE(SUBSTITUTE(J4,"V","")),1)</f>
        <v>5</v>
      </c>
      <c r="K5" s="291">
        <f t="shared" ref="K5:P5" si="1">ROUND(VALUE(SUBSTITUTE(K4,"V","")),1)</f>
        <v>5</v>
      </c>
      <c r="L5" s="291">
        <f t="shared" si="1"/>
        <v>1.2</v>
      </c>
      <c r="M5" s="291">
        <f t="shared" si="1"/>
        <v>0</v>
      </c>
      <c r="N5" s="323">
        <f t="shared" si="1"/>
        <v>3.3</v>
      </c>
      <c r="O5" s="323">
        <f t="shared" si="1"/>
        <v>0</v>
      </c>
      <c r="P5" s="323">
        <f t="shared" si="1"/>
        <v>0</v>
      </c>
      <c r="R5" s="323">
        <f t="shared" ref="R5" ca="1" si="2">ROUND(VALUE(SUBSTITUTE(R4,"V","")),1)</f>
        <v>5</v>
      </c>
      <c r="S5" s="291">
        <f t="shared" ref="S5" si="3">ROUND(VALUE(SUBSTITUTE(S4,"V","")),1)</f>
        <v>1.6</v>
      </c>
      <c r="U5" s="260" t="s">
        <v>18</v>
      </c>
    </row>
    <row r="6" spans="1:36" hidden="1" x14ac:dyDescent="0.25">
      <c r="B6" s="290"/>
      <c r="C6" s="290"/>
      <c r="E6" s="290"/>
      <c r="H6" s="291" t="s">
        <v>916</v>
      </c>
      <c r="L6" s="268">
        <f>VALUE(LEFT($B$41,5))</f>
        <v>7.81</v>
      </c>
      <c r="M6" s="268">
        <f>VALUE(LEFT(B53,5))</f>
        <v>7.81</v>
      </c>
      <c r="N6" s="268">
        <f>VALUE(LEFT(B65,5))</f>
        <v>10.4</v>
      </c>
      <c r="O6" s="323">
        <f>O5/1</f>
        <v>0</v>
      </c>
      <c r="P6" s="323">
        <f>P5/1</f>
        <v>0</v>
      </c>
      <c r="U6" s="260" t="s">
        <v>17</v>
      </c>
    </row>
    <row r="7" spans="1:36" hidden="1" x14ac:dyDescent="0.25">
      <c r="B7" s="290"/>
      <c r="C7" s="290"/>
      <c r="E7" s="290"/>
      <c r="H7" s="291" t="s">
        <v>915</v>
      </c>
      <c r="J7" s="291" t="s">
        <v>877</v>
      </c>
      <c r="K7" s="291" t="s">
        <v>878</v>
      </c>
      <c r="L7" s="297">
        <f>IF(ISNUMBER(VALUE(RIGHT(L1,1))),VALUE(RIGHT(L1,1)),10)</f>
        <v>2</v>
      </c>
      <c r="M7" s="297">
        <f>IF(ISNUMBER(VALUE(RIGHT(M1,1))),VALUE(RIGHT(M1,1)),10)</f>
        <v>10</v>
      </c>
      <c r="N7" s="297">
        <f>IF(ISNUMBER(VALUE(RIGHT(N1,1))),VALUE(RIGHT(N1,1)),10)</f>
        <v>2</v>
      </c>
      <c r="O7" s="297">
        <f>IF(ISNUMBER(VALUE(RIGHT(O1,1))),VALUE(RIGHT(O1,1)),10)</f>
        <v>10</v>
      </c>
      <c r="P7" s="297">
        <f>IF(ISNUMBER(VALUE(RIGHT(P1,1))),VALUE(RIGHT(P1,1)),10)</f>
        <v>10</v>
      </c>
      <c r="U7" s="34"/>
      <c r="V7" s="34"/>
    </row>
    <row r="8" spans="1:36" hidden="1" x14ac:dyDescent="0.25">
      <c r="B8" s="290"/>
      <c r="C8" s="290"/>
      <c r="E8" s="290"/>
      <c r="H8" s="291" t="s">
        <v>920</v>
      </c>
      <c r="J8" s="296">
        <f>J5</f>
        <v>5</v>
      </c>
      <c r="K8" s="296">
        <f>IF(K5=0,0,K5-0.1*COUNTIF($J$5:J5,K5)-0.1*COUNTIF($J$8:J8,K5-0.1*COUNTIF($J$5:J5,K5)))</f>
        <v>4.9000000000000004</v>
      </c>
      <c r="L8" s="296">
        <f>IF(L5=0,0,L5-0.1*COUNTIF($J$5:K5,L5)-0.1*COUNTIF($J$8:K8,L5-0.1*COUNTIF($J$5:K5,L5)))</f>
        <v>1.2</v>
      </c>
      <c r="M8" s="296">
        <f>IF(M5=0,0,M5-0.1*COUNTIF($J$5:L5,M5)-0.1*COUNTIF($J$8:L8,M5-0.1*COUNTIF($J$5:L5,M5)))</f>
        <v>0</v>
      </c>
      <c r="N8" s="296">
        <f>IF(N5=0,0,N5-0.1*COUNTIF($J$5:M5,N5)-0.1*COUNTIF($J$8:M8,N5-0.1*COUNTIF($J$5:M5,N5)))</f>
        <v>3.3</v>
      </c>
      <c r="O8" s="296">
        <f>IF(O5=0,0,O5-0.1*COUNTIF($J$5:N5,O5)-0.1*COUNTIF($J$8:N8,O5-0.1*COUNTIF($J$5:N5,O5)))</f>
        <v>0</v>
      </c>
      <c r="P8" s="296">
        <f>IF(P5=0,0,P5-0.1*COUNTIF($J$5:O5,P5)-0.1*COUNTIF($J$8:O8,P5-0.1*COUNTIF($J$5:O5,P5)))</f>
        <v>0</v>
      </c>
      <c r="Q8" s="296"/>
      <c r="R8" s="296">
        <f ca="1">IF(R5=0,0,R5-0.1*COUNTIF($J$5:Q5,R5)-0.1*COUNTIF($J$8:Q8,R5-0.1*COUNTIF($J$5:Q5,R5)))</f>
        <v>4.8</v>
      </c>
      <c r="S8" s="296">
        <f>IF(S5=0,0,S5-0.1*COUNTIF($J$5:Q5,S5)-0.1*COUNTIF($J$8:Q8,S5-0.1*COUNTIF($J$5:Q5,S5)))</f>
        <v>1.6</v>
      </c>
      <c r="U8" s="34"/>
      <c r="V8" s="34"/>
    </row>
    <row r="9" spans="1:36" hidden="1" x14ac:dyDescent="0.25">
      <c r="B9" s="290"/>
      <c r="C9" s="290"/>
      <c r="E9" s="290"/>
      <c r="H9" s="291" t="s">
        <v>918</v>
      </c>
      <c r="L9" s="291">
        <f>IFERROR(L6*L8/L5,1)</f>
        <v>7.8100000000000005</v>
      </c>
      <c r="M9" s="291">
        <f t="shared" ref="M9:P9" si="4">IFERROR(M6*M8/M5,1)</f>
        <v>1</v>
      </c>
      <c r="N9" s="323">
        <f t="shared" si="4"/>
        <v>10.4</v>
      </c>
      <c r="O9" s="323">
        <f t="shared" si="4"/>
        <v>1</v>
      </c>
      <c r="P9" s="323">
        <f t="shared" si="4"/>
        <v>1</v>
      </c>
      <c r="R9" s="323"/>
      <c r="S9" s="291"/>
      <c r="U9" s="34"/>
      <c r="V9" s="34"/>
    </row>
    <row r="10" spans="1:36" ht="15.75" hidden="1" thickBot="1" x14ac:dyDescent="0.3">
      <c r="B10" s="290"/>
      <c r="C10" s="290"/>
      <c r="E10" s="290"/>
      <c r="L10" s="302" t="str">
        <f>SUBSTITUTE(RIGHT(LEFT(L1,45),7),")","")</f>
        <v xml:space="preserve"> Slot 2</v>
      </c>
      <c r="M10" s="302" t="str">
        <f t="shared" ref="M10:P10" si="5">SUBSTITUTE(RIGHT(LEFT(M1,45),7),")","")</f>
        <v>SPI/I2C</v>
      </c>
      <c r="N10" s="323" t="str">
        <f t="shared" si="5"/>
        <v xml:space="preserve"> Slot 2</v>
      </c>
      <c r="O10" s="323" t="str">
        <f t="shared" si="5"/>
        <v>SPI/I2C</v>
      </c>
      <c r="P10" s="323" t="str">
        <f t="shared" si="5"/>
        <v>SPI/I2C</v>
      </c>
      <c r="U10" s="34"/>
      <c r="V10" s="34"/>
    </row>
    <row r="11" spans="1:36" s="42" customFormat="1" ht="15.75" x14ac:dyDescent="0.25">
      <c r="A11" s="427" t="s">
        <v>490</v>
      </c>
      <c r="B11" s="428"/>
      <c r="C11" s="417"/>
      <c r="D11" s="433" t="s">
        <v>491</v>
      </c>
      <c r="E11" s="434"/>
      <c r="F11" s="429"/>
      <c r="G11" s="435" t="s">
        <v>524</v>
      </c>
      <c r="H11" s="435"/>
      <c r="I11" s="435"/>
      <c r="J11" s="435"/>
      <c r="K11" s="435"/>
      <c r="L11" s="435"/>
      <c r="M11" s="435"/>
      <c r="N11" s="435"/>
      <c r="O11" s="435"/>
      <c r="P11" s="435"/>
      <c r="Q11" s="435"/>
      <c r="R11" s="435"/>
      <c r="S11" s="436"/>
      <c r="T11" s="295"/>
      <c r="U11" s="295"/>
      <c r="V11" s="295"/>
      <c r="W11" s="295"/>
      <c r="X11" s="295"/>
      <c r="Y11" s="295"/>
      <c r="Z11" s="295"/>
      <c r="AA11" s="429"/>
      <c r="AB11" s="256"/>
      <c r="AC11" s="256"/>
      <c r="AD11" s="256"/>
      <c r="AE11" s="268"/>
      <c r="AF11" s="268"/>
      <c r="AG11" s="268"/>
      <c r="AH11" s="268"/>
      <c r="AI11" s="268"/>
      <c r="AJ11" s="256"/>
    </row>
    <row r="12" spans="1:36" ht="15.75" customHeight="1" thickBot="1" x14ac:dyDescent="0.3">
      <c r="A12" s="420" t="s">
        <v>474</v>
      </c>
      <c r="B12" s="421"/>
      <c r="C12" s="418"/>
      <c r="D12" s="422" t="s">
        <v>504</v>
      </c>
      <c r="E12" s="423"/>
      <c r="F12" s="430"/>
      <c r="G12" s="437"/>
      <c r="H12" s="437"/>
      <c r="I12" s="437"/>
      <c r="J12" s="437"/>
      <c r="K12" s="437"/>
      <c r="L12" s="437"/>
      <c r="M12" s="437"/>
      <c r="N12" s="437"/>
      <c r="O12" s="437"/>
      <c r="P12" s="437"/>
      <c r="Q12" s="437"/>
      <c r="R12" s="437"/>
      <c r="S12" s="438"/>
      <c r="AA12" s="430"/>
      <c r="AE12" s="271" t="s">
        <v>881</v>
      </c>
      <c r="AF12" s="271">
        <f>COUNTIF(L14:M19,"ABIST1_Yes")</f>
        <v>0</v>
      </c>
    </row>
    <row r="13" spans="1:36" x14ac:dyDescent="0.25">
      <c r="A13" s="39" t="s">
        <v>475</v>
      </c>
      <c r="B13" s="364" t="str">
        <f>RIGHT(OTP_conf_main_reg!G5,LEN(OTP_conf_main_reg!G5)-FIND("-",OTP_conf_main_reg!G5,1))</f>
        <v xml:space="preserve"> 5.0V</v>
      </c>
      <c r="C13" s="418"/>
      <c r="D13" s="36" t="s">
        <v>505</v>
      </c>
      <c r="E13" s="368" t="str">
        <f>RIGHT(OTP_conf_failsafe_reg!E5,LEN(OTP_conf_failsafe_reg!E5)-FIND("-",OTP_conf_failsafe_reg!E5,1))</f>
        <v xml:space="preserve"> 1.2V</v>
      </c>
      <c r="F13" s="430"/>
      <c r="H13" s="268"/>
      <c r="I13" s="268"/>
      <c r="J13" s="268"/>
      <c r="K13" s="260"/>
      <c r="L13" s="268"/>
      <c r="M13" s="268"/>
      <c r="N13" s="268"/>
      <c r="O13" s="268"/>
      <c r="P13" s="268"/>
      <c r="AA13" s="430"/>
    </row>
    <row r="14" spans="1:36" ht="15" customHeight="1" x14ac:dyDescent="0.25">
      <c r="A14" s="39" t="s">
        <v>476</v>
      </c>
      <c r="B14" s="364" t="str">
        <f>RIGHT(OTP_conf_main_reg!G7,LEN(OTP_conf_main_reg!G7)-FIND("-",OTP_conf_main_reg!G7,1))</f>
        <v xml:space="preserve"> 60mV/µs</v>
      </c>
      <c r="C14" s="418"/>
      <c r="D14" s="35" t="s">
        <v>506</v>
      </c>
      <c r="E14" s="364" t="str">
        <f>RIGHT(OTP_conf_failsafe_reg!I7,LEN(OTP_conf_failsafe_reg!I7)-FIND("-",OTP_conf_failsafe_reg!I7,1))</f>
        <v xml:space="preserve"> 112%</v>
      </c>
      <c r="F14" s="430"/>
      <c r="H14" s="269" t="s">
        <v>504</v>
      </c>
      <c r="I14" s="268" t="s">
        <v>480</v>
      </c>
      <c r="J14" s="370" t="str">
        <f>B33</f>
        <v xml:space="preserve"> 1.2V</v>
      </c>
      <c r="K14" s="371" t="str">
        <f>IF(COUNTIF($U$1:$U$2,I14),"NA",INDEX($L$10:$P$10,MATCH(I14,$L$21:$P$21,0)))</f>
        <v xml:space="preserve"> Slot 2</v>
      </c>
      <c r="L14" s="439" t="str">
        <f t="shared" ref="L14:L19" si="6">"ABIST1_"&amp;E54</f>
        <v>ABIST1_No</v>
      </c>
      <c r="M14" s="439"/>
      <c r="O14" s="432" t="s">
        <v>882</v>
      </c>
      <c r="P14" s="432"/>
      <c r="Q14" s="432"/>
      <c r="R14" s="432"/>
      <c r="S14" s="432"/>
      <c r="AA14" s="430"/>
    </row>
    <row r="15" spans="1:36" ht="15" customHeight="1" x14ac:dyDescent="0.25">
      <c r="A15" s="39" t="s">
        <v>477</v>
      </c>
      <c r="B15" s="364" t="str">
        <f>RIGHT(OTP_conf_main_reg!E9,LEN(OTP_conf_main_reg!E9)-FIND("-",OTP_conf_main_reg!E9,1))</f>
        <v xml:space="preserve"> 50mV</v>
      </c>
      <c r="C15" s="418"/>
      <c r="D15" s="35" t="s">
        <v>507</v>
      </c>
      <c r="E15" s="364" t="str">
        <f>RIGHT(OTP_conf_failsafe_reg!I15,LEN(OTP_conf_failsafe_reg!I15)-FIND("-",OTP_conf_failsafe_reg!I15,1))</f>
        <v xml:space="preserve"> 88%</v>
      </c>
      <c r="F15" s="430"/>
      <c r="H15" s="269" t="s">
        <v>509</v>
      </c>
      <c r="I15" s="370" t="str">
        <f>IF(COUNTIF($U$2:$U$6,B82),B82,U1)</f>
        <v>VPRE</v>
      </c>
      <c r="J15" s="370" t="str">
        <f ca="1">IF(I15="EXT.","0.8V",OFFSET($I$3,0,MATCH(I15,$J$21:$P$21,0)))</f>
        <v xml:space="preserve"> 5.0V</v>
      </c>
      <c r="K15" s="371" t="str">
        <f t="shared" ref="K15:K19" si="7">IF(COUNTIF($U$1:$U$2,I15),"NA",INDEX($L$10:$P$10,MATCH(I15,$L$21:$P$21,0)))</f>
        <v>NA</v>
      </c>
      <c r="L15" s="439" t="str">
        <f t="shared" si="6"/>
        <v>ABIST1_No</v>
      </c>
      <c r="M15" s="439"/>
      <c r="N15" s="270"/>
      <c r="O15" s="432"/>
      <c r="P15" s="432"/>
      <c r="Q15" s="432"/>
      <c r="R15" s="432"/>
      <c r="S15" s="432"/>
      <c r="X15" s="296"/>
      <c r="AA15" s="430"/>
    </row>
    <row r="16" spans="1:36" ht="15" customHeight="1" x14ac:dyDescent="0.25">
      <c r="A16" s="39" t="s">
        <v>478</v>
      </c>
      <c r="B16" s="364" t="str">
        <f>RIGHT(OTP_conf_main_reg!K9,LEN(OTP_conf_main_reg!K9)-FIND("-",OTP_conf_main_reg!K9,1))</f>
        <v xml:space="preserve"> PU/PD/520mA</v>
      </c>
      <c r="C16" s="418"/>
      <c r="D16" s="35" t="s">
        <v>558</v>
      </c>
      <c r="E16" s="364" t="str">
        <f>RIGHT(OTP_conf_failsafe_reg!I29,LEN(OTP_conf_failsafe_reg!I29)-FIND("-",OTP_conf_failsafe_reg!I29,1))</f>
        <v xml:space="preserve"> 45µs</v>
      </c>
      <c r="F16" s="430"/>
      <c r="H16" s="269" t="s">
        <v>413</v>
      </c>
      <c r="I16" s="352" t="s">
        <v>531</v>
      </c>
      <c r="J16" s="370" t="str">
        <f t="shared" ref="J16:J19" ca="1" si="8">IF(I16="EXT.","0.8V",OFFSET($I$3,0,MATCH(I16,$J$21:$P$21,0)))</f>
        <v>0.8V</v>
      </c>
      <c r="K16" s="371" t="str">
        <f t="shared" si="7"/>
        <v>NA</v>
      </c>
      <c r="L16" s="439" t="str">
        <f t="shared" si="6"/>
        <v>ABIST1_No</v>
      </c>
      <c r="M16" s="439"/>
      <c r="N16" s="270"/>
      <c r="O16" s="432"/>
      <c r="P16" s="432"/>
      <c r="Q16" s="432"/>
      <c r="R16" s="432"/>
      <c r="S16" s="432"/>
      <c r="V16" s="291"/>
      <c r="AA16" s="430"/>
    </row>
    <row r="17" spans="1:29" ht="15" customHeight="1" x14ac:dyDescent="0.25">
      <c r="A17" s="39" t="s">
        <v>479</v>
      </c>
      <c r="B17" s="364" t="str">
        <f>RIGHT(OTP_conf_main_reg!I9,LEN(OTP_conf_main_reg!I9)-FIND("-",OTP_conf_main_reg!I9,1))</f>
        <v xml:space="preserve"> PU/PD/900mA</v>
      </c>
      <c r="C17" s="418"/>
      <c r="D17" s="35" t="s">
        <v>559</v>
      </c>
      <c r="E17" s="364" t="str">
        <f>RIGHT(OTP_conf_failsafe_reg!G29,LEN(OTP_conf_failsafe_reg!G29)-FIND("-",OTP_conf_failsafe_reg!G29,1))</f>
        <v xml:space="preserve"> 40µs</v>
      </c>
      <c r="F17" s="430"/>
      <c r="H17" s="269" t="s">
        <v>411</v>
      </c>
      <c r="I17" s="352" t="s">
        <v>483</v>
      </c>
      <c r="J17" s="370" t="str">
        <f t="shared" ca="1" si="8"/>
        <v xml:space="preserve"> 1.25V</v>
      </c>
      <c r="K17" s="371" t="str">
        <f t="shared" si="7"/>
        <v>SPI/I2C</v>
      </c>
      <c r="L17" s="439" t="str">
        <f t="shared" si="6"/>
        <v>ABIST1_No</v>
      </c>
      <c r="M17" s="439"/>
      <c r="N17" s="270"/>
      <c r="O17" s="432"/>
      <c r="P17" s="432"/>
      <c r="Q17" s="432"/>
      <c r="R17" s="432"/>
      <c r="S17" s="432"/>
      <c r="U17" s="291" t="str">
        <f>L14</f>
        <v>ABIST1_No</v>
      </c>
      <c r="V17" s="291" t="str">
        <f>L15</f>
        <v>ABIST1_No</v>
      </c>
      <c r="W17" s="291" t="str">
        <f>L16</f>
        <v>ABIST1_No</v>
      </c>
      <c r="X17" s="291" t="str">
        <f>L17</f>
        <v>ABIST1_No</v>
      </c>
      <c r="Y17" s="291" t="str">
        <f>L18</f>
        <v>ABIST1_No</v>
      </c>
      <c r="Z17" s="291" t="str">
        <f>L19</f>
        <v>ABIST1_No</v>
      </c>
      <c r="AA17" s="430"/>
    </row>
    <row r="18" spans="1:29" ht="15" customHeight="1" x14ac:dyDescent="0.25">
      <c r="A18" s="39" t="s">
        <v>481</v>
      </c>
      <c r="B18" s="364" t="str">
        <f>IF(OTP_conf_main_reg!I43="1 - CLK2",RIGHT(OTP_conf_main_reg!J37,LEN(OTP_conf_main_reg!J37)-FIND("=",OTP_conf_main_reg!J37,1)),RIGHT(OTP_conf_main_reg!K43,LEN(OTP_conf_main_reg!K43)-FIND("=",OTP_conf_main_reg!K43,1)))</f>
        <v>2.22MHz</v>
      </c>
      <c r="C18" s="418"/>
      <c r="D18" s="37" t="s">
        <v>508</v>
      </c>
      <c r="E18" s="369" t="str">
        <f>RIGHT(OTP_conf_failsafe_reg!H9,LEN(OTP_conf_failsafe_reg!H9)-FIND("-",OTP_conf_failsafe_reg!H9,1))</f>
        <v xml:space="preserve"> 16 steps available</v>
      </c>
      <c r="F18" s="430"/>
      <c r="H18" s="269" t="s">
        <v>409</v>
      </c>
      <c r="I18" s="352" t="s">
        <v>17</v>
      </c>
      <c r="J18" s="370" t="str">
        <f t="shared" ca="1" si="8"/>
        <v xml:space="preserve"> 3.3V</v>
      </c>
      <c r="K18" s="371" t="str">
        <f t="shared" si="7"/>
        <v>SPI/I2C</v>
      </c>
      <c r="L18" s="439" t="str">
        <f t="shared" si="6"/>
        <v>ABIST1_No</v>
      </c>
      <c r="M18" s="439"/>
      <c r="N18" s="270"/>
      <c r="O18" s="432"/>
      <c r="P18" s="432"/>
      <c r="Q18" s="432"/>
      <c r="R18" s="432"/>
      <c r="S18" s="432"/>
      <c r="U18" s="291" t="str">
        <f>I14</f>
        <v>BUCK1</v>
      </c>
      <c r="V18" s="291" t="str">
        <f>I15</f>
        <v>VPRE</v>
      </c>
      <c r="W18" s="291" t="str">
        <f>I16</f>
        <v>EXT.</v>
      </c>
      <c r="X18" s="291" t="str">
        <f>I17</f>
        <v>BUCK2</v>
      </c>
      <c r="Y18" s="291" t="str">
        <f>I18</f>
        <v>LDO2</v>
      </c>
      <c r="Z18" s="291" t="str">
        <f>I19</f>
        <v>LDO1</v>
      </c>
      <c r="AA18" s="430"/>
    </row>
    <row r="19" spans="1:29" ht="15" customHeight="1" x14ac:dyDescent="0.25">
      <c r="A19" s="39" t="s">
        <v>495</v>
      </c>
      <c r="B19" s="364" t="str">
        <f>RIGHT(OTP_conf_main_reg!G37,LEN(OTP_conf_main_reg!G37)-FIND("-",OTP_conf_main_reg!G37,1))</f>
        <v xml:space="preserve"> delay 0</v>
      </c>
      <c r="C19" s="418"/>
      <c r="D19" s="424" t="s">
        <v>509</v>
      </c>
      <c r="E19" s="425"/>
      <c r="F19" s="430"/>
      <c r="H19" s="269" t="s">
        <v>407</v>
      </c>
      <c r="I19" s="352" t="s">
        <v>18</v>
      </c>
      <c r="J19" s="370" t="str">
        <f t="shared" ca="1" si="8"/>
        <v xml:space="preserve"> 2.5V</v>
      </c>
      <c r="K19" s="371" t="str">
        <f t="shared" si="7"/>
        <v>SPI/I2C</v>
      </c>
      <c r="L19" s="439" t="str">
        <f t="shared" si="6"/>
        <v>ABIST1_No</v>
      </c>
      <c r="M19" s="439"/>
      <c r="N19" s="270"/>
      <c r="O19" s="432"/>
      <c r="P19" s="432"/>
      <c r="Q19" s="432"/>
      <c r="R19" s="432"/>
      <c r="S19" s="432"/>
      <c r="U19" s="260">
        <f>IFERROR(INDEX($J$8:$P$8,MATCH(U18,$J$21:$P$21,0)),0)</f>
        <v>1.2</v>
      </c>
      <c r="V19" s="260">
        <f t="shared" ref="V19:Z19" si="9">IFERROR(INDEX($J$8:$P$8,MATCH(V18,$J$21:$P$21,0)),0)</f>
        <v>5</v>
      </c>
      <c r="W19" s="260">
        <f t="shared" si="9"/>
        <v>0</v>
      </c>
      <c r="X19" s="260">
        <f t="shared" si="9"/>
        <v>0</v>
      </c>
      <c r="Y19" s="260">
        <f t="shared" si="9"/>
        <v>0</v>
      </c>
      <c r="Z19" s="260">
        <f t="shared" si="9"/>
        <v>0</v>
      </c>
      <c r="AA19" s="430"/>
    </row>
    <row r="20" spans="1:29" x14ac:dyDescent="0.25">
      <c r="A20" s="39" t="s">
        <v>498</v>
      </c>
      <c r="B20" s="364" t="str">
        <f>RIGHT(OTP_conf_main_reg!H47,LEN(OTP_conf_main_reg!H47)-FIND("-",OTP_conf_main_reg!H47,1))</f>
        <v xml:space="preserve"> 250µs</v>
      </c>
      <c r="C20" s="418"/>
      <c r="D20" s="36" t="s">
        <v>505</v>
      </c>
      <c r="E20" s="368" t="str">
        <f>RIGHT(OTP_conf_failsafe_reg!G9,LEN(OTP_conf_failsafe_reg!G9)-FIND("-",OTP_conf_failsafe_reg!G9,1))</f>
        <v xml:space="preserve"> 3.3V</v>
      </c>
      <c r="F20" s="430"/>
      <c r="U20" s="305" t="str">
        <f>IFERROR(INDEX($L$10:$P$10,MATCH(U18,$L$21:$P$21,0)),"NA")</f>
        <v xml:space="preserve"> Slot 2</v>
      </c>
      <c r="V20" s="305" t="str">
        <f t="shared" ref="V20:Z20" si="10">IFERROR(INDEX($L$10:$P$10,MATCH(V18,$L$21:$P$21,0)),"NA")</f>
        <v>NA</v>
      </c>
      <c r="W20" s="305" t="str">
        <f t="shared" si="10"/>
        <v>NA</v>
      </c>
      <c r="X20" s="305" t="str">
        <f t="shared" si="10"/>
        <v>SPI/I2C</v>
      </c>
      <c r="Y20" s="305" t="str">
        <f t="shared" si="10"/>
        <v>SPI/I2C</v>
      </c>
      <c r="Z20" s="305" t="str">
        <f t="shared" si="10"/>
        <v>SPI/I2C</v>
      </c>
      <c r="AA20" s="430"/>
    </row>
    <row r="21" spans="1:29" x14ac:dyDescent="0.25">
      <c r="A21" s="39" t="s">
        <v>812</v>
      </c>
      <c r="B21" s="364" t="str">
        <f>RIGHT(OTP_conf_main_reg!G11,LEN(OTP_conf_main_reg!G11)-FIND("-",OTP_conf_main_reg!G11,1))</f>
        <v xml:space="preserve"> APS</v>
      </c>
      <c r="C21" s="418"/>
      <c r="D21" s="35" t="s">
        <v>506</v>
      </c>
      <c r="E21" s="364" t="str">
        <f>RIGHT(OTP_conf_failsafe_reg!E7,LEN(OTP_conf_failsafe_reg!E7)-FIND("-",OTP_conf_failsafe_reg!E7,1))</f>
        <v xml:space="preserve"> 112%</v>
      </c>
      <c r="F21" s="430"/>
      <c r="G21" s="360" t="s">
        <v>523</v>
      </c>
      <c r="H21" s="360" t="s">
        <v>522</v>
      </c>
      <c r="I21" s="360" t="s">
        <v>532</v>
      </c>
      <c r="J21" s="360" t="s">
        <v>474</v>
      </c>
      <c r="K21" s="360" t="s">
        <v>492</v>
      </c>
      <c r="L21" s="360" t="s">
        <v>480</v>
      </c>
      <c r="M21" s="360" t="s">
        <v>483</v>
      </c>
      <c r="N21" s="360" t="s">
        <v>486</v>
      </c>
      <c r="O21" s="360" t="s">
        <v>18</v>
      </c>
      <c r="P21" s="360" t="s">
        <v>17</v>
      </c>
      <c r="Q21" s="360" t="s">
        <v>533</v>
      </c>
      <c r="R21" s="361" t="s">
        <v>511</v>
      </c>
      <c r="S21" s="361" t="s">
        <v>15</v>
      </c>
      <c r="T21" s="260" t="s">
        <v>535</v>
      </c>
      <c r="U21" s="260" t="s">
        <v>525</v>
      </c>
      <c r="V21" s="260" t="s">
        <v>526</v>
      </c>
      <c r="W21" s="260" t="s">
        <v>527</v>
      </c>
      <c r="X21" s="260" t="s">
        <v>528</v>
      </c>
      <c r="Y21" s="260" t="s">
        <v>529</v>
      </c>
      <c r="Z21" s="260" t="s">
        <v>530</v>
      </c>
      <c r="AA21" s="430"/>
      <c r="AC21" s="95"/>
    </row>
    <row r="22" spans="1:29" x14ac:dyDescent="0.25">
      <c r="A22" s="420" t="s">
        <v>492</v>
      </c>
      <c r="B22" s="421"/>
      <c r="C22" s="418"/>
      <c r="D22" s="35" t="s">
        <v>507</v>
      </c>
      <c r="E22" s="364" t="str">
        <f>RIGHT(OTP_conf_failsafe_reg!E15,LEN(OTP_conf_failsafe_reg!E15)-FIND("-",OTP_conf_failsafe_reg!E15,1))</f>
        <v xml:space="preserve"> 88%</v>
      </c>
      <c r="F22" s="440"/>
      <c r="G22" s="362">
        <v>0</v>
      </c>
      <c r="H22" s="362">
        <v>0</v>
      </c>
      <c r="I22" s="362">
        <v>0</v>
      </c>
      <c r="J22" s="362">
        <v>0</v>
      </c>
      <c r="K22" s="362">
        <v>0</v>
      </c>
      <c r="L22" s="362">
        <v>0</v>
      </c>
      <c r="M22" s="362">
        <v>0</v>
      </c>
      <c r="N22" s="362">
        <v>0</v>
      </c>
      <c r="O22" s="362">
        <v>0</v>
      </c>
      <c r="P22" s="362">
        <v>0</v>
      </c>
      <c r="Q22" s="362">
        <v>0</v>
      </c>
      <c r="R22" s="362">
        <f t="shared" ref="R22:R85" si="11">IF(T22&gt;0.2+$AF$12/6+$H$1,vRST,0)</f>
        <v>0</v>
      </c>
      <c r="S22" s="362">
        <f t="shared" ref="S22:S85" si="12">IF(AND(T22&gt;0,T22&lt;0.2+$AF$12/6),vABIST,0)</f>
        <v>0</v>
      </c>
      <c r="T22" s="260">
        <v>0</v>
      </c>
      <c r="U22" s="260">
        <f ca="1">IF(OR(U$17="ABIST1_No",COUNTIF($V$2,U$18)),1,IF(AND(U$19&lt;&gt;0,OFFSET($I22,0,MATCH(U$18,$J$21:$P$21,0))=U$19),1,0))</f>
        <v>1</v>
      </c>
      <c r="V22" s="260">
        <f t="shared" ref="V22:Z37" ca="1" si="13">IF(OR(V$17="ABIST1_No",COUNTIF($V$2,V$18)),1,IF(AND(V$19&lt;&gt;0,OFFSET($I22,0,MATCH(V$18,$J$21:$P$21,0))=V$19),1,0))</f>
        <v>1</v>
      </c>
      <c r="W22" s="260">
        <f t="shared" ca="1" si="13"/>
        <v>1</v>
      </c>
      <c r="X22" s="260">
        <f t="shared" ca="1" si="13"/>
        <v>1</v>
      </c>
      <c r="Y22" s="260">
        <f t="shared" ca="1" si="13"/>
        <v>1</v>
      </c>
      <c r="Z22" s="260">
        <f t="shared" ca="1" si="13"/>
        <v>1</v>
      </c>
      <c r="AA22" s="430"/>
    </row>
    <row r="23" spans="1:29" x14ac:dyDescent="0.25">
      <c r="A23" s="39" t="s">
        <v>484</v>
      </c>
      <c r="B23" s="364" t="str">
        <f>IF(RIGHT(OTP_conf_main_reg!E13,LEN(OTP_conf_main_reg!E13)-FIND("-",OTP_conf_main_reg!E13,1))=" enabled", "Yes","No")</f>
        <v>Yes</v>
      </c>
      <c r="C23" s="418"/>
      <c r="D23" s="35" t="s">
        <v>558</v>
      </c>
      <c r="E23" s="364" t="str">
        <f>RIGHT(OTP_conf_failsafe_reg!L29,LEN(OTP_conf_failsafe_reg!L29)-FIND("-",OTP_conf_failsafe_reg!L29,1))</f>
        <v xml:space="preserve"> 45µs</v>
      </c>
      <c r="F23" s="440"/>
      <c r="G23" s="362">
        <f>G22+0.05</f>
        <v>0.05</v>
      </c>
      <c r="H23" s="362">
        <f>H24/2</f>
        <v>2.4500000000000002</v>
      </c>
      <c r="I23" s="362">
        <v>0</v>
      </c>
      <c r="J23" s="362">
        <v>0</v>
      </c>
      <c r="K23" s="362">
        <v>0</v>
      </c>
      <c r="L23" s="362">
        <v>0</v>
      </c>
      <c r="M23" s="362">
        <v>0</v>
      </c>
      <c r="N23" s="362">
        <v>0</v>
      </c>
      <c r="O23" s="362">
        <v>0</v>
      </c>
      <c r="P23" s="362">
        <v>0</v>
      </c>
      <c r="Q23" s="362">
        <v>0</v>
      </c>
      <c r="R23" s="362">
        <f t="shared" ca="1" si="11"/>
        <v>0</v>
      </c>
      <c r="S23" s="362">
        <f t="shared" ca="1" si="12"/>
        <v>0</v>
      </c>
      <c r="T23" s="291">
        <f ca="1">T22+IF(INT(AND(U23:Z23,Q22="DONE"))=0,0,G23-G22)</f>
        <v>0</v>
      </c>
      <c r="U23" s="260">
        <f t="shared" ref="U23:Z77" ca="1" si="14">IF(OR(U$17="ABIST1_No",COUNTIF($V$2,U$18)),1,IF(AND(U$19&lt;&gt;0,OFFSET($I23,0,MATCH(U$18,$J$21:$P$21,0))=U$19),1,0))</f>
        <v>1</v>
      </c>
      <c r="V23" s="260">
        <f t="shared" ca="1" si="13"/>
        <v>1</v>
      </c>
      <c r="W23" s="260">
        <f t="shared" ca="1" si="13"/>
        <v>1</v>
      </c>
      <c r="X23" s="260">
        <f t="shared" ca="1" si="13"/>
        <v>1</v>
      </c>
      <c r="Y23" s="260">
        <f t="shared" ca="1" si="13"/>
        <v>1</v>
      </c>
      <c r="Z23" s="260">
        <f t="shared" ca="1" si="13"/>
        <v>1</v>
      </c>
      <c r="AA23" s="430"/>
    </row>
    <row r="24" spans="1:29" x14ac:dyDescent="0.25">
      <c r="A24" s="39" t="s">
        <v>475</v>
      </c>
      <c r="B24" s="364" t="str">
        <f>RIGHT(OTP_conf_main_reg!I11,LEN(OTP_conf_main_reg!I11)-FIND("-",OTP_conf_main_reg!I11,1))</f>
        <v xml:space="preserve"> 5.00V</v>
      </c>
      <c r="C24" s="418"/>
      <c r="D24" s="35" t="s">
        <v>559</v>
      </c>
      <c r="E24" s="364" t="str">
        <f>RIGHT(OTP_conf_failsafe_reg!J29,LEN(OTP_conf_failsafe_reg!J29)-FIND("-",OTP_conf_failsafe_reg!J29,1))</f>
        <v xml:space="preserve"> 40µs</v>
      </c>
      <c r="F24" s="440"/>
      <c r="G24" s="362">
        <f t="shared" ref="G24:G87" si="15">G23+0.05</f>
        <v>0.1</v>
      </c>
      <c r="H24" s="362">
        <f>VALUE((LEFT(B81,4)))</f>
        <v>4.9000000000000004</v>
      </c>
      <c r="I24" s="362">
        <f>$I$44/21</f>
        <v>0.24285714285714283</v>
      </c>
      <c r="J24" s="362">
        <v>0</v>
      </c>
      <c r="K24" s="362">
        <v>0</v>
      </c>
      <c r="L24" s="362">
        <v>0</v>
      </c>
      <c r="M24" s="362">
        <v>0</v>
      </c>
      <c r="N24" s="362">
        <v>0</v>
      </c>
      <c r="O24" s="362">
        <v>0</v>
      </c>
      <c r="P24" s="362">
        <v>0</v>
      </c>
      <c r="Q24" s="362">
        <v>0</v>
      </c>
      <c r="R24" s="362">
        <f t="shared" ca="1" si="11"/>
        <v>0</v>
      </c>
      <c r="S24" s="362">
        <f t="shared" ca="1" si="12"/>
        <v>0</v>
      </c>
      <c r="T24" s="323">
        <f t="shared" ref="T24:T87" ca="1" si="16">T23+IF(INT(AND(U24:Z24,Q23="DONE"))=0,0,G24-G23)</f>
        <v>0</v>
      </c>
      <c r="U24" s="260">
        <f t="shared" ca="1" si="14"/>
        <v>1</v>
      </c>
      <c r="V24" s="260">
        <f t="shared" ca="1" si="13"/>
        <v>1</v>
      </c>
      <c r="W24" s="260">
        <f t="shared" ca="1" si="13"/>
        <v>1</v>
      </c>
      <c r="X24" s="260">
        <f t="shared" ca="1" si="13"/>
        <v>1</v>
      </c>
      <c r="Y24" s="260">
        <f t="shared" ca="1" si="13"/>
        <v>1</v>
      </c>
      <c r="Z24" s="260">
        <f t="shared" ca="1" si="13"/>
        <v>1</v>
      </c>
      <c r="AA24" s="430"/>
    </row>
    <row r="25" spans="1:29" x14ac:dyDescent="0.25">
      <c r="A25" s="39" t="s">
        <v>476</v>
      </c>
      <c r="B25" s="364" t="str">
        <f>RIGHT(OTP_conf_main_reg!H13,LEN(OTP_conf_main_reg!H13)-FIND("-",OTP_conf_main_reg!H13,1))</f>
        <v xml:space="preserve"> 160mV/µs</v>
      </c>
      <c r="C25" s="418"/>
      <c r="D25" s="426" t="s">
        <v>413</v>
      </c>
      <c r="E25" s="421"/>
      <c r="F25" s="440"/>
      <c r="G25" s="362">
        <f t="shared" si="15"/>
        <v>0.15000000000000002</v>
      </c>
      <c r="H25" s="362">
        <f>H24*1.5</f>
        <v>7.3500000000000005</v>
      </c>
      <c r="I25" s="362">
        <f t="shared" ref="I25:I43" si="17">$I$44/21+I24</f>
        <v>0.48571428571428565</v>
      </c>
      <c r="J25" s="362">
        <v>0</v>
      </c>
      <c r="K25" s="362">
        <v>0</v>
      </c>
      <c r="L25" s="362">
        <v>0</v>
      </c>
      <c r="M25" s="362">
        <v>0</v>
      </c>
      <c r="N25" s="362">
        <v>0</v>
      </c>
      <c r="O25" s="362">
        <v>0</v>
      </c>
      <c r="P25" s="362">
        <v>0</v>
      </c>
      <c r="Q25" s="362">
        <v>0</v>
      </c>
      <c r="R25" s="362">
        <f t="shared" ca="1" si="11"/>
        <v>0</v>
      </c>
      <c r="S25" s="362">
        <f t="shared" ca="1" si="12"/>
        <v>0</v>
      </c>
      <c r="T25" s="323">
        <f t="shared" ca="1" si="16"/>
        <v>0</v>
      </c>
      <c r="U25" s="260">
        <f t="shared" ca="1" si="14"/>
        <v>1</v>
      </c>
      <c r="V25" s="260">
        <f t="shared" ca="1" si="13"/>
        <v>1</v>
      </c>
      <c r="W25" s="260">
        <f t="shared" ca="1" si="13"/>
        <v>1</v>
      </c>
      <c r="X25" s="260">
        <f t="shared" ca="1" si="13"/>
        <v>1</v>
      </c>
      <c r="Y25" s="260">
        <f t="shared" ca="1" si="13"/>
        <v>1</v>
      </c>
      <c r="Z25" s="260">
        <f t="shared" ca="1" si="13"/>
        <v>1</v>
      </c>
      <c r="AA25" s="430"/>
    </row>
    <row r="26" spans="1:29" x14ac:dyDescent="0.25">
      <c r="A26" s="39" t="s">
        <v>493</v>
      </c>
      <c r="B26" s="364" t="str">
        <f>RIGHT(OTP_conf_main_reg!K15,LEN(OTP_conf_main_reg!K15)-FIND("-",OTP_conf_main_reg!K15,1))</f>
        <v xml:space="preserve"> 500V/µs</v>
      </c>
      <c r="C26" s="418"/>
      <c r="D26" s="35" t="s">
        <v>506</v>
      </c>
      <c r="E26" s="364" t="str">
        <f>RIGHT(OTP_conf_failsafe_reg!I11,LEN(OTP_conf_failsafe_reg!I11)-FIND("-",OTP_conf_failsafe_reg!I11,1))</f>
        <v xml:space="preserve"> 107%</v>
      </c>
      <c r="F26" s="440"/>
      <c r="G26" s="362">
        <f t="shared" si="15"/>
        <v>0.2</v>
      </c>
      <c r="H26" s="362">
        <f>IF(H25+H23&lt;12,H25+H23,12)</f>
        <v>9.8000000000000007</v>
      </c>
      <c r="I26" s="362">
        <f t="shared" si="17"/>
        <v>0.72857142857142843</v>
      </c>
      <c r="J26" s="362">
        <v>0</v>
      </c>
      <c r="K26" s="362">
        <v>0</v>
      </c>
      <c r="L26" s="362">
        <v>0</v>
      </c>
      <c r="M26" s="362">
        <v>0</v>
      </c>
      <c r="N26" s="362">
        <v>0</v>
      </c>
      <c r="O26" s="362">
        <v>0</v>
      </c>
      <c r="P26" s="362">
        <v>0</v>
      </c>
      <c r="Q26" s="362">
        <v>0</v>
      </c>
      <c r="R26" s="362">
        <f t="shared" ca="1" si="11"/>
        <v>0</v>
      </c>
      <c r="S26" s="362">
        <f t="shared" ca="1" si="12"/>
        <v>0</v>
      </c>
      <c r="T26" s="323">
        <f t="shared" ca="1" si="16"/>
        <v>0</v>
      </c>
      <c r="U26" s="260">
        <f t="shared" ca="1" si="14"/>
        <v>1</v>
      </c>
      <c r="V26" s="260">
        <f t="shared" ca="1" si="13"/>
        <v>1</v>
      </c>
      <c r="W26" s="260">
        <f t="shared" ca="1" si="13"/>
        <v>1</v>
      </c>
      <c r="X26" s="260">
        <f t="shared" ca="1" si="13"/>
        <v>1</v>
      </c>
      <c r="Y26" s="260">
        <f t="shared" ca="1" si="13"/>
        <v>1</v>
      </c>
      <c r="Z26" s="260">
        <f t="shared" ca="1" si="13"/>
        <v>1</v>
      </c>
      <c r="AA26" s="430"/>
    </row>
    <row r="27" spans="1:29" x14ac:dyDescent="0.25">
      <c r="A27" s="39" t="s">
        <v>488</v>
      </c>
      <c r="B27" s="364" t="str">
        <f>RIGHT(OTP_conf_main_reg!E15,LEN(OTP_conf_main_reg!E15)-FIND("-",OTP_conf_main_reg!E15,1))</f>
        <v xml:space="preserve"> 750kohms</v>
      </c>
      <c r="C27" s="418"/>
      <c r="D27" s="35" t="s">
        <v>507</v>
      </c>
      <c r="E27" s="364" t="str">
        <f>RIGHT(OTP_conf_failsafe_reg!I17,LEN(OTP_conf_failsafe_reg!I17)-FIND("-",OTP_conf_failsafe_reg!I17,1))</f>
        <v xml:space="preserve"> 88%</v>
      </c>
      <c r="F27" s="440"/>
      <c r="G27" s="362">
        <f t="shared" si="15"/>
        <v>0.25</v>
      </c>
      <c r="H27" s="362">
        <v>12</v>
      </c>
      <c r="I27" s="362">
        <f t="shared" si="17"/>
        <v>0.97142857142857131</v>
      </c>
      <c r="J27" s="362">
        <v>0</v>
      </c>
      <c r="K27" s="362">
        <v>0</v>
      </c>
      <c r="L27" s="362">
        <v>0</v>
      </c>
      <c r="M27" s="362">
        <v>0</v>
      </c>
      <c r="N27" s="362">
        <v>0</v>
      </c>
      <c r="O27" s="362">
        <v>0</v>
      </c>
      <c r="P27" s="362">
        <v>0</v>
      </c>
      <c r="Q27" s="362">
        <v>0</v>
      </c>
      <c r="R27" s="362">
        <f t="shared" ca="1" si="11"/>
        <v>0</v>
      </c>
      <c r="S27" s="362">
        <f t="shared" ca="1" si="12"/>
        <v>0</v>
      </c>
      <c r="T27" s="323">
        <f t="shared" ca="1" si="16"/>
        <v>0</v>
      </c>
      <c r="U27" s="260">
        <f t="shared" ca="1" si="14"/>
        <v>1</v>
      </c>
      <c r="V27" s="260">
        <f t="shared" ca="1" si="13"/>
        <v>1</v>
      </c>
      <c r="W27" s="260">
        <f t="shared" ca="1" si="13"/>
        <v>1</v>
      </c>
      <c r="X27" s="260">
        <f t="shared" ca="1" si="13"/>
        <v>1</v>
      </c>
      <c r="Y27" s="260">
        <f t="shared" ca="1" si="13"/>
        <v>1</v>
      </c>
      <c r="Z27" s="260">
        <f t="shared" ca="1" si="13"/>
        <v>1</v>
      </c>
      <c r="AA27" s="430"/>
    </row>
    <row r="28" spans="1:29" x14ac:dyDescent="0.25">
      <c r="A28" s="39" t="s">
        <v>494</v>
      </c>
      <c r="B28" s="364" t="str">
        <f>RIGHT(OTP_conf_main_reg!G15,LEN(OTP_conf_main_reg!G15)-FIND("-",OTP_conf_main_reg!G15,1))</f>
        <v xml:space="preserve"> 125pF</v>
      </c>
      <c r="C28" s="418"/>
      <c r="D28" s="35" t="s">
        <v>558</v>
      </c>
      <c r="E28" s="364" t="str">
        <f>RIGHT(OTP_conf_failsafe_reg!L31,LEN(OTP_conf_failsafe_reg!L31)-FIND("-",OTP_conf_failsafe_reg!L31,1))</f>
        <v xml:space="preserve"> 45µs</v>
      </c>
      <c r="F28" s="440"/>
      <c r="G28" s="362">
        <f t="shared" si="15"/>
        <v>0.3</v>
      </c>
      <c r="H28" s="362">
        <f>H27</f>
        <v>12</v>
      </c>
      <c r="I28" s="362">
        <f t="shared" si="17"/>
        <v>1.2142857142857142</v>
      </c>
      <c r="J28" s="362">
        <v>0</v>
      </c>
      <c r="K28" s="362">
        <v>0</v>
      </c>
      <c r="L28" s="362">
        <v>0</v>
      </c>
      <c r="M28" s="362">
        <v>0</v>
      </c>
      <c r="N28" s="362">
        <v>0</v>
      </c>
      <c r="O28" s="362">
        <v>0</v>
      </c>
      <c r="P28" s="362">
        <v>0</v>
      </c>
      <c r="Q28" s="362">
        <v>0</v>
      </c>
      <c r="R28" s="362">
        <f t="shared" ca="1" si="11"/>
        <v>0</v>
      </c>
      <c r="S28" s="362">
        <f t="shared" ca="1" si="12"/>
        <v>0</v>
      </c>
      <c r="T28" s="323">
        <f t="shared" ca="1" si="16"/>
        <v>0</v>
      </c>
      <c r="U28" s="260">
        <f t="shared" ca="1" si="14"/>
        <v>1</v>
      </c>
      <c r="V28" s="260">
        <f t="shared" ca="1" si="13"/>
        <v>1</v>
      </c>
      <c r="W28" s="260">
        <f t="shared" ca="1" si="13"/>
        <v>1</v>
      </c>
      <c r="X28" s="260">
        <f t="shared" ca="1" si="13"/>
        <v>1</v>
      </c>
      <c r="Y28" s="260">
        <f t="shared" ca="1" si="13"/>
        <v>1</v>
      </c>
      <c r="Z28" s="260">
        <f t="shared" ca="1" si="13"/>
        <v>1</v>
      </c>
      <c r="AA28" s="430"/>
    </row>
    <row r="29" spans="1:29" x14ac:dyDescent="0.25">
      <c r="A29" s="39" t="s">
        <v>481</v>
      </c>
      <c r="B29" s="364" t="str">
        <f>IF(OTP_conf_main_reg!H43="1 - CLK2",RIGHT(OTP_conf_main_reg!J37,LEN(OTP_conf_main_reg!J37)-FIND("=",OTP_conf_main_reg!J37,1)),RIGHT(OTP_conf_main_reg!K43,LEN(OTP_conf_main_reg!K43)-FIND("=",OTP_conf_main_reg!K43,1)))</f>
        <v>2.22MHz</v>
      </c>
      <c r="C29" s="418"/>
      <c r="D29" s="35" t="s">
        <v>559</v>
      </c>
      <c r="E29" s="364" t="str">
        <f>RIGHT(OTP_conf_failsafe_reg!J31,LEN(OTP_conf_failsafe_reg!J31)-FIND("-",OTP_conf_failsafe_reg!J31,1))</f>
        <v xml:space="preserve"> 40µs</v>
      </c>
      <c r="F29" s="440"/>
      <c r="G29" s="362">
        <f t="shared" si="15"/>
        <v>0.35</v>
      </c>
      <c r="H29" s="362">
        <f t="shared" ref="H29:H41" si="18">H28</f>
        <v>12</v>
      </c>
      <c r="I29" s="362">
        <f t="shared" si="17"/>
        <v>1.4571428571428571</v>
      </c>
      <c r="J29" s="362">
        <v>0</v>
      </c>
      <c r="K29" s="362">
        <v>0</v>
      </c>
      <c r="L29" s="362">
        <v>0</v>
      </c>
      <c r="M29" s="362">
        <v>0</v>
      </c>
      <c r="N29" s="362">
        <v>0</v>
      </c>
      <c r="O29" s="362">
        <v>0</v>
      </c>
      <c r="P29" s="362">
        <v>0</v>
      </c>
      <c r="Q29" s="362">
        <v>0</v>
      </c>
      <c r="R29" s="362">
        <f t="shared" ca="1" si="11"/>
        <v>0</v>
      </c>
      <c r="S29" s="362">
        <f t="shared" ca="1" si="12"/>
        <v>0</v>
      </c>
      <c r="T29" s="323">
        <f t="shared" ca="1" si="16"/>
        <v>0</v>
      </c>
      <c r="U29" s="260">
        <f t="shared" ca="1" si="14"/>
        <v>1</v>
      </c>
      <c r="V29" s="260">
        <f t="shared" ca="1" si="13"/>
        <v>1</v>
      </c>
      <c r="W29" s="260">
        <f t="shared" ca="1" si="13"/>
        <v>1</v>
      </c>
      <c r="X29" s="260">
        <f t="shared" ca="1" si="13"/>
        <v>1</v>
      </c>
      <c r="Y29" s="260">
        <f t="shared" ca="1" si="13"/>
        <v>1</v>
      </c>
      <c r="Z29" s="260">
        <f t="shared" ca="1" si="13"/>
        <v>1</v>
      </c>
      <c r="AA29" s="430"/>
    </row>
    <row r="30" spans="1:29" x14ac:dyDescent="0.25">
      <c r="A30" s="39" t="s">
        <v>495</v>
      </c>
      <c r="B30" s="364" t="str">
        <f>RIGHT(OTP_conf_main_reg!J39,LEN(OTP_conf_main_reg!J39)-FIND("-",OTP_conf_main_reg!J39,1))</f>
        <v xml:space="preserve"> delay 0</v>
      </c>
      <c r="C30" s="418"/>
      <c r="D30" s="426" t="s">
        <v>411</v>
      </c>
      <c r="E30" s="421"/>
      <c r="F30" s="440"/>
      <c r="G30" s="362">
        <f t="shared" si="15"/>
        <v>0.39999999999999997</v>
      </c>
      <c r="H30" s="362">
        <f t="shared" si="18"/>
        <v>12</v>
      </c>
      <c r="I30" s="362">
        <f t="shared" si="17"/>
        <v>1.7</v>
      </c>
      <c r="J30" s="362">
        <v>0</v>
      </c>
      <c r="K30" s="362">
        <v>0</v>
      </c>
      <c r="L30" s="362">
        <v>0</v>
      </c>
      <c r="M30" s="362">
        <v>0</v>
      </c>
      <c r="N30" s="362">
        <v>0</v>
      </c>
      <c r="O30" s="362">
        <v>0</v>
      </c>
      <c r="P30" s="362">
        <v>0</v>
      </c>
      <c r="Q30" s="362">
        <v>0</v>
      </c>
      <c r="R30" s="362">
        <f t="shared" ca="1" si="11"/>
        <v>0</v>
      </c>
      <c r="S30" s="362">
        <f t="shared" ca="1" si="12"/>
        <v>0</v>
      </c>
      <c r="T30" s="323">
        <f t="shared" ca="1" si="16"/>
        <v>0</v>
      </c>
      <c r="U30" s="260">
        <f t="shared" ca="1" si="14"/>
        <v>1</v>
      </c>
      <c r="V30" s="260">
        <f t="shared" ca="1" si="13"/>
        <v>1</v>
      </c>
      <c r="W30" s="260">
        <f t="shared" ca="1" si="13"/>
        <v>1</v>
      </c>
      <c r="X30" s="260">
        <f t="shared" ca="1" si="13"/>
        <v>1</v>
      </c>
      <c r="Y30" s="260">
        <f t="shared" ca="1" si="13"/>
        <v>1</v>
      </c>
      <c r="Z30" s="260">
        <f t="shared" ca="1" si="13"/>
        <v>1</v>
      </c>
      <c r="AA30" s="430"/>
    </row>
    <row r="31" spans="1:29" x14ac:dyDescent="0.25">
      <c r="A31" s="39" t="s">
        <v>496</v>
      </c>
      <c r="B31" s="364" t="str">
        <f>RIGHT(OTP_conf_main_reg!G45,LEN(OTP_conf_main_reg!G45)-FIND("-",OTP_conf_main_reg!G45,1))</f>
        <v xml:space="preserve"> BOOST Shutdown</v>
      </c>
      <c r="C31" s="418"/>
      <c r="D31" s="35" t="s">
        <v>506</v>
      </c>
      <c r="E31" s="364" t="str">
        <f>RIGHT(OTP_conf_failsafe_reg!E11,LEN(OTP_conf_failsafe_reg!E11)-FIND("-",OTP_conf_failsafe_reg!E11,1))</f>
        <v xml:space="preserve"> 105.5%</v>
      </c>
      <c r="F31" s="440"/>
      <c r="G31" s="362">
        <f t="shared" si="15"/>
        <v>0.44999999999999996</v>
      </c>
      <c r="H31" s="362">
        <f t="shared" si="18"/>
        <v>12</v>
      </c>
      <c r="I31" s="362">
        <f t="shared" si="17"/>
        <v>1.9428571428571428</v>
      </c>
      <c r="J31" s="362">
        <v>0</v>
      </c>
      <c r="K31" s="362">
        <v>0</v>
      </c>
      <c r="L31" s="362">
        <v>0</v>
      </c>
      <c r="M31" s="362">
        <v>0</v>
      </c>
      <c r="N31" s="362">
        <v>0</v>
      </c>
      <c r="O31" s="362">
        <v>0</v>
      </c>
      <c r="P31" s="362">
        <v>0</v>
      </c>
      <c r="Q31" s="362">
        <v>0</v>
      </c>
      <c r="R31" s="362">
        <f t="shared" ca="1" si="11"/>
        <v>0</v>
      </c>
      <c r="S31" s="362">
        <f t="shared" ca="1" si="12"/>
        <v>0</v>
      </c>
      <c r="T31" s="323">
        <f t="shared" ca="1" si="16"/>
        <v>0</v>
      </c>
      <c r="U31" s="260">
        <f t="shared" ca="1" si="14"/>
        <v>1</v>
      </c>
      <c r="V31" s="260">
        <f t="shared" ca="1" si="13"/>
        <v>1</v>
      </c>
      <c r="W31" s="260">
        <f t="shared" ca="1" si="13"/>
        <v>1</v>
      </c>
      <c r="X31" s="260">
        <f t="shared" ca="1" si="13"/>
        <v>1</v>
      </c>
      <c r="Y31" s="260">
        <f t="shared" ca="1" si="13"/>
        <v>1</v>
      </c>
      <c r="Z31" s="260">
        <f t="shared" ca="1" si="13"/>
        <v>1</v>
      </c>
      <c r="AA31" s="430"/>
    </row>
    <row r="32" spans="1:29" x14ac:dyDescent="0.25">
      <c r="A32" s="420" t="s">
        <v>480</v>
      </c>
      <c r="B32" s="421"/>
      <c r="C32" s="418"/>
      <c r="D32" s="35" t="s">
        <v>507</v>
      </c>
      <c r="E32" s="364" t="str">
        <f>RIGHT(OTP_conf_failsafe_reg!E17,LEN(OTP_conf_failsafe_reg!E17)-FIND("-",OTP_conf_failsafe_reg!E17,1))</f>
        <v xml:space="preserve"> 88%</v>
      </c>
      <c r="F32" s="440"/>
      <c r="G32" s="362">
        <f t="shared" si="15"/>
        <v>0.49999999999999994</v>
      </c>
      <c r="H32" s="362">
        <f t="shared" si="18"/>
        <v>12</v>
      </c>
      <c r="I32" s="362">
        <f t="shared" si="17"/>
        <v>2.1857142857142855</v>
      </c>
      <c r="J32" s="362">
        <v>0</v>
      </c>
      <c r="K32" s="362">
        <v>0</v>
      </c>
      <c r="L32" s="362">
        <v>0</v>
      </c>
      <c r="M32" s="362">
        <v>0</v>
      </c>
      <c r="N32" s="362">
        <v>0</v>
      </c>
      <c r="O32" s="362">
        <v>0</v>
      </c>
      <c r="P32" s="362">
        <v>0</v>
      </c>
      <c r="Q32" s="362">
        <v>0</v>
      </c>
      <c r="R32" s="362">
        <f t="shared" ca="1" si="11"/>
        <v>0</v>
      </c>
      <c r="S32" s="362">
        <f t="shared" ca="1" si="12"/>
        <v>0</v>
      </c>
      <c r="T32" s="323">
        <f t="shared" ca="1" si="16"/>
        <v>0</v>
      </c>
      <c r="U32" s="260">
        <f t="shared" ca="1" si="14"/>
        <v>1</v>
      </c>
      <c r="V32" s="260">
        <f t="shared" ca="1" si="13"/>
        <v>1</v>
      </c>
      <c r="W32" s="260">
        <f t="shared" ca="1" si="13"/>
        <v>1</v>
      </c>
      <c r="X32" s="260">
        <f t="shared" ca="1" si="13"/>
        <v>1</v>
      </c>
      <c r="Y32" s="260">
        <f t="shared" ca="1" si="13"/>
        <v>1</v>
      </c>
      <c r="Z32" s="260">
        <f t="shared" ca="1" si="13"/>
        <v>1</v>
      </c>
      <c r="AA32" s="430"/>
    </row>
    <row r="33" spans="1:27" x14ac:dyDescent="0.25">
      <c r="A33" s="39" t="s">
        <v>475</v>
      </c>
      <c r="B33" s="364" t="str">
        <f>RIGHT(OTP_conf_main_reg!E17,LEN(OTP_conf_main_reg!E17)-FIND("-",OTP_conf_main_reg!E17,1))</f>
        <v xml:space="preserve"> 1.2V</v>
      </c>
      <c r="C33" s="418"/>
      <c r="D33" s="35" t="s">
        <v>558</v>
      </c>
      <c r="E33" s="364" t="str">
        <f>RIGHT(OTP_conf_failsafe_reg!L31,LEN(OTP_conf_failsafe_reg!L31)-FIND("-",OTP_conf_failsafe_reg!L31,1))</f>
        <v xml:space="preserve"> 45µs</v>
      </c>
      <c r="F33" s="440"/>
      <c r="G33" s="362">
        <f t="shared" si="15"/>
        <v>0.54999999999999993</v>
      </c>
      <c r="H33" s="362">
        <f t="shared" si="18"/>
        <v>12</v>
      </c>
      <c r="I33" s="362">
        <f t="shared" si="17"/>
        <v>2.4285714285714284</v>
      </c>
      <c r="J33" s="362">
        <v>0</v>
      </c>
      <c r="K33" s="362">
        <v>0</v>
      </c>
      <c r="L33" s="362">
        <v>0</v>
      </c>
      <c r="M33" s="362">
        <v>0</v>
      </c>
      <c r="N33" s="362">
        <v>0</v>
      </c>
      <c r="O33" s="362">
        <v>0</v>
      </c>
      <c r="P33" s="362">
        <v>0</v>
      </c>
      <c r="Q33" s="362">
        <v>0</v>
      </c>
      <c r="R33" s="362">
        <f t="shared" ca="1" si="11"/>
        <v>0</v>
      </c>
      <c r="S33" s="362">
        <f t="shared" ca="1" si="12"/>
        <v>0</v>
      </c>
      <c r="T33" s="323">
        <f t="shared" ca="1" si="16"/>
        <v>0</v>
      </c>
      <c r="U33" s="260">
        <f t="shared" ca="1" si="14"/>
        <v>1</v>
      </c>
      <c r="V33" s="260">
        <f t="shared" ca="1" si="13"/>
        <v>1</v>
      </c>
      <c r="W33" s="260">
        <f t="shared" ca="1" si="13"/>
        <v>1</v>
      </c>
      <c r="X33" s="260">
        <f t="shared" ca="1" si="13"/>
        <v>1</v>
      </c>
      <c r="Y33" s="260">
        <f t="shared" ca="1" si="13"/>
        <v>1</v>
      </c>
      <c r="Z33" s="260">
        <f t="shared" ca="1" si="13"/>
        <v>1</v>
      </c>
      <c r="AA33" s="430"/>
    </row>
    <row r="34" spans="1:27" x14ac:dyDescent="0.25">
      <c r="A34" s="39" t="s">
        <v>482</v>
      </c>
      <c r="B34" s="364" t="str">
        <f>RIGHT(OTP_conf_main_reg!H19,LEN(OTP_conf_main_reg!H19)-FIND("-",OTP_conf_main_reg!H19,1))</f>
        <v xml:space="preserve"> 1µH</v>
      </c>
      <c r="C34" s="418"/>
      <c r="D34" s="35" t="s">
        <v>559</v>
      </c>
      <c r="E34" s="364" t="str">
        <f>RIGHT(OTP_conf_failsafe_reg!J31,LEN(OTP_conf_failsafe_reg!J31)-FIND("-",OTP_conf_failsafe_reg!J31,1))</f>
        <v xml:space="preserve"> 40µs</v>
      </c>
      <c r="F34" s="440"/>
      <c r="G34" s="362">
        <f t="shared" si="15"/>
        <v>0.6</v>
      </c>
      <c r="H34" s="362">
        <f t="shared" si="18"/>
        <v>12</v>
      </c>
      <c r="I34" s="362">
        <f t="shared" si="17"/>
        <v>2.6714285714285713</v>
      </c>
      <c r="J34" s="362">
        <v>0</v>
      </c>
      <c r="K34" s="362">
        <v>0</v>
      </c>
      <c r="L34" s="362">
        <v>0</v>
      </c>
      <c r="M34" s="362">
        <v>0</v>
      </c>
      <c r="N34" s="362">
        <v>0</v>
      </c>
      <c r="O34" s="362">
        <v>0</v>
      </c>
      <c r="P34" s="362">
        <v>0</v>
      </c>
      <c r="Q34" s="362">
        <v>1.6</v>
      </c>
      <c r="R34" s="362">
        <f t="shared" ca="1" si="11"/>
        <v>0</v>
      </c>
      <c r="S34" s="362">
        <f t="shared" ca="1" si="12"/>
        <v>0</v>
      </c>
      <c r="T34" s="323">
        <f t="shared" ca="1" si="16"/>
        <v>0</v>
      </c>
      <c r="U34" s="260">
        <f t="shared" ca="1" si="14"/>
        <v>1</v>
      </c>
      <c r="V34" s="260">
        <f t="shared" ca="1" si="13"/>
        <v>1</v>
      </c>
      <c r="W34" s="260">
        <f t="shared" ca="1" si="13"/>
        <v>1</v>
      </c>
      <c r="X34" s="260">
        <f t="shared" ca="1" si="13"/>
        <v>1</v>
      </c>
      <c r="Y34" s="260">
        <f t="shared" ca="1" si="13"/>
        <v>1</v>
      </c>
      <c r="Z34" s="260">
        <f t="shared" ca="1" si="13"/>
        <v>1</v>
      </c>
      <c r="AA34" s="430"/>
    </row>
    <row r="35" spans="1:27" x14ac:dyDescent="0.25">
      <c r="A35" s="39" t="s">
        <v>477</v>
      </c>
      <c r="B35" s="364" t="str">
        <f>RIGHT(OTP_conf_main_reg!J19,LEN(OTP_conf_main_reg!J19)-FIND("-",OTP_conf_main_reg!J19,1))</f>
        <v xml:space="preserve"> 4.5A</v>
      </c>
      <c r="C35" s="418"/>
      <c r="D35" s="426" t="s">
        <v>409</v>
      </c>
      <c r="E35" s="421"/>
      <c r="F35" s="440"/>
      <c r="G35" s="362">
        <f t="shared" si="15"/>
        <v>0.65</v>
      </c>
      <c r="H35" s="362">
        <f t="shared" si="18"/>
        <v>12</v>
      </c>
      <c r="I35" s="362">
        <f t="shared" si="17"/>
        <v>2.9142857142857141</v>
      </c>
      <c r="J35" s="362">
        <v>0</v>
      </c>
      <c r="K35" s="362">
        <v>0</v>
      </c>
      <c r="L35" s="362">
        <v>0</v>
      </c>
      <c r="M35" s="362">
        <v>0</v>
      </c>
      <c r="N35" s="362">
        <v>0</v>
      </c>
      <c r="O35" s="362">
        <v>0</v>
      </c>
      <c r="P35" s="362">
        <v>0</v>
      </c>
      <c r="Q35" s="362">
        <v>1.6</v>
      </c>
      <c r="R35" s="362">
        <f t="shared" ca="1" si="11"/>
        <v>0</v>
      </c>
      <c r="S35" s="362">
        <f t="shared" ca="1" si="12"/>
        <v>0</v>
      </c>
      <c r="T35" s="323">
        <f t="shared" ca="1" si="16"/>
        <v>0</v>
      </c>
      <c r="U35" s="260">
        <f t="shared" ca="1" si="14"/>
        <v>1</v>
      </c>
      <c r="V35" s="260">
        <f t="shared" ca="1" si="13"/>
        <v>1</v>
      </c>
      <c r="W35" s="260">
        <f t="shared" ca="1" si="13"/>
        <v>1</v>
      </c>
      <c r="X35" s="260">
        <f t="shared" ca="1" si="13"/>
        <v>1</v>
      </c>
      <c r="Y35" s="260">
        <f t="shared" ca="1" si="13"/>
        <v>1</v>
      </c>
      <c r="Z35" s="260">
        <f t="shared" ca="1" si="13"/>
        <v>1</v>
      </c>
      <c r="AA35" s="430"/>
    </row>
    <row r="36" spans="1:27" x14ac:dyDescent="0.25">
      <c r="A36" s="39" t="s">
        <v>487</v>
      </c>
      <c r="B36" s="364" t="str">
        <f>RIGHT(OTP_conf_main_reg!H27,LEN(OTP_conf_main_reg!H27)-FIND("-",OTP_conf_main_reg!H27,1))</f>
        <v xml:space="preserve"> 48.75 GM</v>
      </c>
      <c r="C36" s="418"/>
      <c r="D36" s="35" t="s">
        <v>506</v>
      </c>
      <c r="E36" s="364" t="str">
        <f>RIGHT(OTP_conf_failsafe_reg!I13,LEN(OTP_conf_failsafe_reg!I13)-FIND("-",OTP_conf_failsafe_reg!I13,1))</f>
        <v xml:space="preserve"> 112%</v>
      </c>
      <c r="F36" s="440"/>
      <c r="G36" s="362">
        <f t="shared" si="15"/>
        <v>0.70000000000000007</v>
      </c>
      <c r="H36" s="362">
        <f t="shared" si="18"/>
        <v>12</v>
      </c>
      <c r="I36" s="362">
        <f t="shared" si="17"/>
        <v>3.157142857142857</v>
      </c>
      <c r="J36" s="362">
        <v>0</v>
      </c>
      <c r="K36" s="362">
        <v>0</v>
      </c>
      <c r="L36" s="362">
        <v>0</v>
      </c>
      <c r="M36" s="362">
        <v>0</v>
      </c>
      <c r="N36" s="362">
        <v>0</v>
      </c>
      <c r="O36" s="362">
        <v>0</v>
      </c>
      <c r="P36" s="362">
        <v>0</v>
      </c>
      <c r="Q36" s="362">
        <v>1.6</v>
      </c>
      <c r="R36" s="362">
        <f t="shared" ca="1" si="11"/>
        <v>0</v>
      </c>
      <c r="S36" s="362">
        <f t="shared" ca="1" si="12"/>
        <v>0</v>
      </c>
      <c r="T36" s="323">
        <f t="shared" ca="1" si="16"/>
        <v>0</v>
      </c>
      <c r="U36" s="260">
        <f t="shared" ca="1" si="14"/>
        <v>1</v>
      </c>
      <c r="V36" s="260">
        <f t="shared" ca="1" si="13"/>
        <v>1</v>
      </c>
      <c r="W36" s="260">
        <f t="shared" ca="1" si="13"/>
        <v>1</v>
      </c>
      <c r="X36" s="260">
        <f t="shared" ca="1" si="13"/>
        <v>1</v>
      </c>
      <c r="Y36" s="260">
        <f t="shared" ca="1" si="13"/>
        <v>1</v>
      </c>
      <c r="Z36" s="260">
        <f t="shared" ca="1" si="13"/>
        <v>1</v>
      </c>
      <c r="AA36" s="430"/>
    </row>
    <row r="37" spans="1:27" x14ac:dyDescent="0.25">
      <c r="A37" s="39" t="s">
        <v>481</v>
      </c>
      <c r="B37" s="364" t="str">
        <f>IF(OTP_conf_main_reg!G43="1 - CLK2",RIGHT(OTP_conf_main_reg!J37,LEN(OTP_conf_main_reg!J37)-FIND("=",OTP_conf_main_reg!J37,1)),RIGHT(OTP_conf_main_reg!K43,LEN(OTP_conf_main_reg!K43)-FIND("=",OTP_conf_main_reg!K43,1)))</f>
        <v>2.22MHz</v>
      </c>
      <c r="C37" s="418"/>
      <c r="D37" s="35" t="s">
        <v>507</v>
      </c>
      <c r="E37" s="364" t="str">
        <f>RIGHT(OTP_conf_failsafe_reg!I19,LEN(OTP_conf_failsafe_reg!I19)-FIND("-",OTP_conf_failsafe_reg!I19,1))</f>
        <v xml:space="preserve"> 88%</v>
      </c>
      <c r="F37" s="440"/>
      <c r="G37" s="362">
        <f t="shared" si="15"/>
        <v>0.75000000000000011</v>
      </c>
      <c r="H37" s="362">
        <f t="shared" si="18"/>
        <v>12</v>
      </c>
      <c r="I37" s="362">
        <f t="shared" si="17"/>
        <v>3.4</v>
      </c>
      <c r="J37" s="362">
        <v>0</v>
      </c>
      <c r="K37" s="362">
        <v>0</v>
      </c>
      <c r="L37" s="362">
        <v>0</v>
      </c>
      <c r="M37" s="362">
        <v>0</v>
      </c>
      <c r="N37" s="362">
        <v>0</v>
      </c>
      <c r="O37" s="362">
        <v>0</v>
      </c>
      <c r="P37" s="362">
        <v>0</v>
      </c>
      <c r="Q37" s="362">
        <v>1.6</v>
      </c>
      <c r="R37" s="362">
        <f t="shared" ca="1" si="11"/>
        <v>0</v>
      </c>
      <c r="S37" s="362">
        <f t="shared" ca="1" si="12"/>
        <v>0</v>
      </c>
      <c r="T37" s="323">
        <f t="shared" ca="1" si="16"/>
        <v>0</v>
      </c>
      <c r="U37" s="260">
        <f t="shared" ca="1" si="14"/>
        <v>1</v>
      </c>
      <c r="V37" s="260">
        <f t="shared" ca="1" si="13"/>
        <v>1</v>
      </c>
      <c r="W37" s="260">
        <f t="shared" ca="1" si="13"/>
        <v>1</v>
      </c>
      <c r="X37" s="260">
        <f t="shared" ca="1" si="13"/>
        <v>1</v>
      </c>
      <c r="Y37" s="260">
        <f t="shared" ca="1" si="13"/>
        <v>1</v>
      </c>
      <c r="Z37" s="260">
        <f t="shared" ca="1" si="13"/>
        <v>1</v>
      </c>
      <c r="AA37" s="430"/>
    </row>
    <row r="38" spans="1:27" x14ac:dyDescent="0.25">
      <c r="A38" s="39" t="s">
        <v>495</v>
      </c>
      <c r="B38" s="364" t="str">
        <f>RIGHT(OTP_conf_main_reg!G39,LEN(OTP_conf_main_reg!G39)-FIND("-",OTP_conf_main_reg!G39,1))</f>
        <v xml:space="preserve"> delay 0</v>
      </c>
      <c r="C38" s="418"/>
      <c r="D38" s="35" t="s">
        <v>558</v>
      </c>
      <c r="E38" s="364" t="str">
        <f>RIGHT(OTP_conf_failsafe_reg!L31,LEN(OTP_conf_failsafe_reg!L31)-FIND("-",OTP_conf_failsafe_reg!L31,1))</f>
        <v xml:space="preserve"> 45µs</v>
      </c>
      <c r="F38" s="440"/>
      <c r="G38" s="362">
        <f t="shared" si="15"/>
        <v>0.80000000000000016</v>
      </c>
      <c r="H38" s="362">
        <f t="shared" si="18"/>
        <v>12</v>
      </c>
      <c r="I38" s="362">
        <f t="shared" si="17"/>
        <v>3.6428571428571428</v>
      </c>
      <c r="J38" s="362">
        <v>0</v>
      </c>
      <c r="K38" s="362">
        <v>0</v>
      </c>
      <c r="L38" s="362">
        <v>0</v>
      </c>
      <c r="M38" s="362">
        <v>0</v>
      </c>
      <c r="N38" s="362">
        <v>0</v>
      </c>
      <c r="O38" s="362">
        <v>0</v>
      </c>
      <c r="P38" s="362">
        <v>0</v>
      </c>
      <c r="Q38" s="362">
        <v>1.6</v>
      </c>
      <c r="R38" s="362">
        <f t="shared" ca="1" si="11"/>
        <v>0</v>
      </c>
      <c r="S38" s="362">
        <f t="shared" ca="1" si="12"/>
        <v>0</v>
      </c>
      <c r="T38" s="323">
        <f t="shared" ca="1" si="16"/>
        <v>0</v>
      </c>
      <c r="U38" s="260">
        <f t="shared" ca="1" si="14"/>
        <v>1</v>
      </c>
      <c r="V38" s="260">
        <f t="shared" ca="1" si="14"/>
        <v>1</v>
      </c>
      <c r="W38" s="260">
        <f t="shared" ca="1" si="14"/>
        <v>1</v>
      </c>
      <c r="X38" s="260">
        <f t="shared" ca="1" si="14"/>
        <v>1</v>
      </c>
      <c r="Y38" s="260">
        <f t="shared" ca="1" si="14"/>
        <v>1</v>
      </c>
      <c r="Z38" s="260">
        <f t="shared" ca="1" si="14"/>
        <v>1</v>
      </c>
      <c r="AA38" s="430"/>
    </row>
    <row r="39" spans="1:27" x14ac:dyDescent="0.25">
      <c r="A39" s="39" t="s">
        <v>496</v>
      </c>
      <c r="B39" s="364" t="str">
        <f>RIGHT(OTP_conf_main_reg!H45,LEN(OTP_conf_main_reg!H45)-FIND("-",OTP_conf_main_reg!H45,1))</f>
        <v xml:space="preserve"> BUCK1 Shutdown</v>
      </c>
      <c r="C39" s="418"/>
      <c r="D39" s="35" t="s">
        <v>559</v>
      </c>
      <c r="E39" s="364" t="str">
        <f>RIGHT(OTP_conf_failsafe_reg!J31,LEN(OTP_conf_failsafe_reg!J31)-FIND("-",OTP_conf_failsafe_reg!J31,1))</f>
        <v xml:space="preserve"> 40µs</v>
      </c>
      <c r="F39" s="440"/>
      <c r="G39" s="362">
        <f t="shared" si="15"/>
        <v>0.8500000000000002</v>
      </c>
      <c r="H39" s="362">
        <f t="shared" si="18"/>
        <v>12</v>
      </c>
      <c r="I39" s="362">
        <f t="shared" si="17"/>
        <v>3.8857142857142857</v>
      </c>
      <c r="J39" s="362">
        <v>0</v>
      </c>
      <c r="K39" s="362">
        <v>0</v>
      </c>
      <c r="L39" s="362">
        <v>0</v>
      </c>
      <c r="M39" s="362">
        <v>0</v>
      </c>
      <c r="N39" s="362">
        <v>0</v>
      </c>
      <c r="O39" s="362">
        <v>0</v>
      </c>
      <c r="P39" s="362">
        <v>0</v>
      </c>
      <c r="Q39" s="362">
        <v>1.6</v>
      </c>
      <c r="R39" s="362">
        <f t="shared" ca="1" si="11"/>
        <v>0</v>
      </c>
      <c r="S39" s="362">
        <f t="shared" ca="1" si="12"/>
        <v>0</v>
      </c>
      <c r="T39" s="323">
        <f t="shared" ca="1" si="16"/>
        <v>0</v>
      </c>
      <c r="U39" s="260">
        <f t="shared" ca="1" si="14"/>
        <v>1</v>
      </c>
      <c r="V39" s="260">
        <f t="shared" ca="1" si="14"/>
        <v>1</v>
      </c>
      <c r="W39" s="260">
        <f t="shared" ca="1" si="14"/>
        <v>1</v>
      </c>
      <c r="X39" s="260">
        <f t="shared" ca="1" si="14"/>
        <v>1</v>
      </c>
      <c r="Y39" s="260">
        <f t="shared" ca="1" si="14"/>
        <v>1</v>
      </c>
      <c r="Z39" s="260">
        <f t="shared" ca="1" si="14"/>
        <v>1</v>
      </c>
      <c r="AA39" s="430"/>
    </row>
    <row r="40" spans="1:27" x14ac:dyDescent="0.25">
      <c r="A40" s="39" t="s">
        <v>497</v>
      </c>
      <c r="B40" s="365" t="str">
        <f>RIGHT(OTP_conf_main_reg!J31,LEN(OTP_conf_main_reg!J31)-FIND("-",OTP_conf_main_reg!J31,1))</f>
        <v xml:space="preserve"> Regulator Start and Stop in Slot 2</v>
      </c>
      <c r="C40" s="418"/>
      <c r="D40" s="426" t="s">
        <v>407</v>
      </c>
      <c r="E40" s="421"/>
      <c r="F40" s="440"/>
      <c r="G40" s="362">
        <f t="shared" si="15"/>
        <v>0.90000000000000024</v>
      </c>
      <c r="H40" s="362">
        <f t="shared" si="18"/>
        <v>12</v>
      </c>
      <c r="I40" s="362">
        <f t="shared" si="17"/>
        <v>4.1285714285714281</v>
      </c>
      <c r="J40" s="362">
        <v>0</v>
      </c>
      <c r="K40" s="362">
        <v>0</v>
      </c>
      <c r="L40" s="362">
        <v>0</v>
      </c>
      <c r="M40" s="362">
        <v>0</v>
      </c>
      <c r="N40" s="362">
        <v>0</v>
      </c>
      <c r="O40" s="362">
        <v>0</v>
      </c>
      <c r="P40" s="362">
        <v>0</v>
      </c>
      <c r="Q40" s="362">
        <v>1.6</v>
      </c>
      <c r="R40" s="362">
        <f t="shared" ca="1" si="11"/>
        <v>0</v>
      </c>
      <c r="S40" s="362">
        <f t="shared" ca="1" si="12"/>
        <v>0</v>
      </c>
      <c r="T40" s="323">
        <f t="shared" ca="1" si="16"/>
        <v>0</v>
      </c>
      <c r="U40" s="260">
        <f t="shared" ca="1" si="14"/>
        <v>1</v>
      </c>
      <c r="V40" s="260">
        <f t="shared" ca="1" si="14"/>
        <v>1</v>
      </c>
      <c r="W40" s="260">
        <f t="shared" ca="1" si="14"/>
        <v>1</v>
      </c>
      <c r="X40" s="260">
        <f t="shared" ca="1" si="14"/>
        <v>1</v>
      </c>
      <c r="Y40" s="260">
        <f t="shared" ca="1" si="14"/>
        <v>1</v>
      </c>
      <c r="Z40" s="260">
        <f t="shared" ca="1" si="14"/>
        <v>1</v>
      </c>
      <c r="AA40" s="430"/>
    </row>
    <row r="41" spans="1:27" x14ac:dyDescent="0.25">
      <c r="A41" s="39" t="s">
        <v>822</v>
      </c>
      <c r="B41" s="364" t="str">
        <f>RIGHT(OTP_conf_main_reg!E35,LEN(OTP_conf_main_reg!E35)-FIND("-",OTP_conf_main_reg!E35,1))</f>
        <v xml:space="preserve"> 7.81mV/µs</v>
      </c>
      <c r="C41" s="418"/>
      <c r="D41" s="36" t="s">
        <v>506</v>
      </c>
      <c r="E41" s="368" t="str">
        <f>RIGHT(OTP_conf_failsafe_reg!E13,LEN(OTP_conf_failsafe_reg!E13)-FIND("-",OTP_conf_failsafe_reg!E13,1))</f>
        <v xml:space="preserve"> 112%</v>
      </c>
      <c r="F41" s="440"/>
      <c r="G41" s="362">
        <f t="shared" si="15"/>
        <v>0.95000000000000029</v>
      </c>
      <c r="H41" s="362">
        <f t="shared" si="18"/>
        <v>12</v>
      </c>
      <c r="I41" s="362">
        <f t="shared" si="17"/>
        <v>4.371428571428571</v>
      </c>
      <c r="J41" s="362">
        <v>0</v>
      </c>
      <c r="K41" s="362">
        <v>0</v>
      </c>
      <c r="L41" s="362">
        <v>0</v>
      </c>
      <c r="M41" s="362">
        <v>0</v>
      </c>
      <c r="N41" s="362">
        <v>0</v>
      </c>
      <c r="O41" s="362">
        <v>0</v>
      </c>
      <c r="P41" s="362">
        <v>0</v>
      </c>
      <c r="Q41" s="362">
        <v>1.6</v>
      </c>
      <c r="R41" s="362">
        <f t="shared" ca="1" si="11"/>
        <v>0</v>
      </c>
      <c r="S41" s="362">
        <f t="shared" ca="1" si="12"/>
        <v>0</v>
      </c>
      <c r="T41" s="323">
        <f t="shared" ca="1" si="16"/>
        <v>0</v>
      </c>
      <c r="U41" s="260">
        <f t="shared" ca="1" si="14"/>
        <v>1</v>
      </c>
      <c r="V41" s="260">
        <f t="shared" ca="1" si="14"/>
        <v>1</v>
      </c>
      <c r="W41" s="260">
        <f t="shared" ca="1" si="14"/>
        <v>1</v>
      </c>
      <c r="X41" s="260">
        <f t="shared" ca="1" si="14"/>
        <v>1</v>
      </c>
      <c r="Y41" s="260">
        <f t="shared" ca="1" si="14"/>
        <v>1</v>
      </c>
      <c r="Z41" s="260">
        <f t="shared" ca="1" si="14"/>
        <v>1</v>
      </c>
      <c r="AA41" s="430"/>
    </row>
    <row r="42" spans="1:27" x14ac:dyDescent="0.25">
      <c r="A42" s="420" t="s">
        <v>483</v>
      </c>
      <c r="B42" s="421"/>
      <c r="C42" s="418"/>
      <c r="D42" s="35" t="s">
        <v>507</v>
      </c>
      <c r="E42" s="364" t="str">
        <f>RIGHT(OTP_conf_failsafe_reg!E19,LEN(OTP_conf_failsafe_reg!E19)-FIND("-",OTP_conf_failsafe_reg!E19,1))</f>
        <v xml:space="preserve"> 88%</v>
      </c>
      <c r="F42" s="440"/>
      <c r="G42" s="362">
        <f t="shared" si="15"/>
        <v>1.0000000000000002</v>
      </c>
      <c r="H42" s="362">
        <f>H40</f>
        <v>12</v>
      </c>
      <c r="I42" s="362">
        <f t="shared" si="17"/>
        <v>4.6142857142857139</v>
      </c>
      <c r="J42" s="362">
        <v>0</v>
      </c>
      <c r="K42" s="362">
        <v>0</v>
      </c>
      <c r="L42" s="362">
        <v>0</v>
      </c>
      <c r="M42" s="362">
        <v>0</v>
      </c>
      <c r="N42" s="362">
        <v>0</v>
      </c>
      <c r="O42" s="362">
        <v>0</v>
      </c>
      <c r="P42" s="362">
        <v>0</v>
      </c>
      <c r="Q42" s="362">
        <v>1.6</v>
      </c>
      <c r="R42" s="362">
        <f t="shared" ca="1" si="11"/>
        <v>0</v>
      </c>
      <c r="S42" s="362">
        <f t="shared" ca="1" si="12"/>
        <v>0</v>
      </c>
      <c r="T42" s="323">
        <f t="shared" ca="1" si="16"/>
        <v>0</v>
      </c>
      <c r="U42" s="260">
        <f t="shared" ca="1" si="14"/>
        <v>1</v>
      </c>
      <c r="V42" s="260">
        <f t="shared" ca="1" si="14"/>
        <v>1</v>
      </c>
      <c r="W42" s="260">
        <f t="shared" ca="1" si="14"/>
        <v>1</v>
      </c>
      <c r="X42" s="260">
        <f t="shared" ca="1" si="14"/>
        <v>1</v>
      </c>
      <c r="Y42" s="260">
        <f t="shared" ca="1" si="14"/>
        <v>1</v>
      </c>
      <c r="Z42" s="260">
        <f t="shared" ca="1" si="14"/>
        <v>1</v>
      </c>
      <c r="AA42" s="430"/>
    </row>
    <row r="43" spans="1:27" x14ac:dyDescent="0.25">
      <c r="A43" s="39" t="s">
        <v>484</v>
      </c>
      <c r="B43" s="364" t="str">
        <f>IF(RIGHT(OTP_conf_main_reg!H23,LEN(OTP_conf_main_reg!H23)-FIND("-",OTP_conf_main_reg!H23,1))=" enabled", "Yes","No")</f>
        <v>Yes</v>
      </c>
      <c r="C43" s="418"/>
      <c r="D43" s="35" t="s">
        <v>558</v>
      </c>
      <c r="E43" s="364" t="str">
        <f>RIGHT(OTP_conf_failsafe_reg!L31,LEN(OTP_conf_failsafe_reg!L31)-FIND("-",OTP_conf_failsafe_reg!L31,1))</f>
        <v xml:space="preserve"> 45µs</v>
      </c>
      <c r="F43" s="440"/>
      <c r="G43" s="362">
        <f t="shared" si="15"/>
        <v>1.0500000000000003</v>
      </c>
      <c r="H43" s="362">
        <f>H41</f>
        <v>12</v>
      </c>
      <c r="I43" s="362">
        <f t="shared" si="17"/>
        <v>4.8571428571428568</v>
      </c>
      <c r="J43" s="362">
        <v>0</v>
      </c>
      <c r="K43" s="362">
        <v>0</v>
      </c>
      <c r="L43" s="362">
        <v>0</v>
      </c>
      <c r="M43" s="362">
        <v>0</v>
      </c>
      <c r="N43" s="362">
        <v>0</v>
      </c>
      <c r="O43" s="362">
        <v>0</v>
      </c>
      <c r="P43" s="362">
        <v>0</v>
      </c>
      <c r="Q43" s="362">
        <v>1.6</v>
      </c>
      <c r="R43" s="362">
        <f t="shared" ca="1" si="11"/>
        <v>0</v>
      </c>
      <c r="S43" s="362">
        <f t="shared" ca="1" si="12"/>
        <v>0</v>
      </c>
      <c r="T43" s="323">
        <f t="shared" ca="1" si="16"/>
        <v>0</v>
      </c>
      <c r="U43" s="260">
        <f t="shared" ca="1" si="14"/>
        <v>1</v>
      </c>
      <c r="V43" s="260">
        <f t="shared" ca="1" si="14"/>
        <v>1</v>
      </c>
      <c r="W43" s="260">
        <f t="shared" ca="1" si="14"/>
        <v>1</v>
      </c>
      <c r="X43" s="260">
        <f t="shared" ca="1" si="14"/>
        <v>1</v>
      </c>
      <c r="Y43" s="260">
        <f t="shared" ca="1" si="14"/>
        <v>1</v>
      </c>
      <c r="Z43" s="260">
        <f t="shared" ca="1" si="14"/>
        <v>1</v>
      </c>
      <c r="AA43" s="430"/>
    </row>
    <row r="44" spans="1:27" x14ac:dyDescent="0.25">
      <c r="A44" s="39" t="s">
        <v>475</v>
      </c>
      <c r="B44" s="364" t="str">
        <f>RIGHT(OTP_conf_main_reg!E21,LEN(OTP_conf_main_reg!E21)-FIND("-",OTP_conf_main_reg!E21,1))</f>
        <v xml:space="preserve"> 1.25V</v>
      </c>
      <c r="C44" s="418"/>
      <c r="D44" s="35" t="s">
        <v>559</v>
      </c>
      <c r="E44" s="364" t="str">
        <f>RIGHT(OTP_conf_failsafe_reg!J31,LEN(OTP_conf_failsafe_reg!J31)-FIND("-",OTP_conf_failsafe_reg!J31,1))</f>
        <v xml:space="preserve"> 40µs</v>
      </c>
      <c r="F44" s="440"/>
      <c r="G44" s="362">
        <f t="shared" si="15"/>
        <v>1.1000000000000003</v>
      </c>
      <c r="H44" s="362">
        <f t="shared" ref="H44:I73" si="19">H43</f>
        <v>12</v>
      </c>
      <c r="I44" s="362">
        <v>5.0999999999999996</v>
      </c>
      <c r="J44" s="362">
        <v>0</v>
      </c>
      <c r="K44" s="362">
        <v>0</v>
      </c>
      <c r="L44" s="362">
        <v>0</v>
      </c>
      <c r="M44" s="362">
        <v>0</v>
      </c>
      <c r="N44" s="362">
        <v>0</v>
      </c>
      <c r="O44" s="362">
        <v>0</v>
      </c>
      <c r="P44" s="362">
        <v>0</v>
      </c>
      <c r="Q44" s="362">
        <v>1.6</v>
      </c>
      <c r="R44" s="362">
        <f t="shared" ca="1" si="11"/>
        <v>0</v>
      </c>
      <c r="S44" s="362">
        <f t="shared" ca="1" si="12"/>
        <v>0</v>
      </c>
      <c r="T44" s="323">
        <f t="shared" ca="1" si="16"/>
        <v>0</v>
      </c>
      <c r="U44" s="260">
        <f t="shared" ca="1" si="14"/>
        <v>1</v>
      </c>
      <c r="V44" s="260">
        <f t="shared" ca="1" si="14"/>
        <v>1</v>
      </c>
      <c r="W44" s="260">
        <f t="shared" ca="1" si="14"/>
        <v>1</v>
      </c>
      <c r="X44" s="260">
        <f t="shared" ca="1" si="14"/>
        <v>1</v>
      </c>
      <c r="Y44" s="260">
        <f t="shared" ca="1" si="14"/>
        <v>1</v>
      </c>
      <c r="Z44" s="260">
        <f t="shared" ca="1" si="14"/>
        <v>1</v>
      </c>
      <c r="AA44" s="430"/>
    </row>
    <row r="45" spans="1:27" x14ac:dyDescent="0.25">
      <c r="A45" s="39" t="s">
        <v>482</v>
      </c>
      <c r="B45" s="364" t="str">
        <f>RIGHT(OTP_conf_main_reg!F23,LEN(OTP_conf_main_reg!F23)-FIND("-",OTP_conf_main_reg!F23,1))</f>
        <v xml:space="preserve"> 1µH</v>
      </c>
      <c r="C45" s="418"/>
      <c r="D45" s="426" t="s">
        <v>14</v>
      </c>
      <c r="E45" s="421"/>
      <c r="F45" s="440"/>
      <c r="G45" s="362">
        <f t="shared" si="15"/>
        <v>1.1500000000000004</v>
      </c>
      <c r="H45" s="362">
        <f t="shared" si="19"/>
        <v>12</v>
      </c>
      <c r="I45" s="362">
        <f>I44</f>
        <v>5.0999999999999996</v>
      </c>
      <c r="J45" s="362">
        <v>0</v>
      </c>
      <c r="K45" s="362">
        <v>0</v>
      </c>
      <c r="L45" s="362">
        <v>0</v>
      </c>
      <c r="M45" s="362">
        <v>0</v>
      </c>
      <c r="N45" s="362">
        <v>0</v>
      </c>
      <c r="O45" s="362">
        <v>0</v>
      </c>
      <c r="P45" s="362">
        <v>0</v>
      </c>
      <c r="Q45" s="362">
        <v>1.6</v>
      </c>
      <c r="R45" s="362">
        <f t="shared" ca="1" si="11"/>
        <v>0</v>
      </c>
      <c r="S45" s="362">
        <f t="shared" ca="1" si="12"/>
        <v>0</v>
      </c>
      <c r="T45" s="323">
        <f t="shared" ca="1" si="16"/>
        <v>0</v>
      </c>
      <c r="U45" s="260">
        <f t="shared" ca="1" si="14"/>
        <v>1</v>
      </c>
      <c r="V45" s="260">
        <f t="shared" ca="1" si="14"/>
        <v>1</v>
      </c>
      <c r="W45" s="260">
        <f t="shared" ca="1" si="14"/>
        <v>1</v>
      </c>
      <c r="X45" s="260">
        <f t="shared" ca="1" si="14"/>
        <v>1</v>
      </c>
      <c r="Y45" s="260">
        <f t="shared" ca="1" si="14"/>
        <v>1</v>
      </c>
      <c r="Z45" s="260">
        <f t="shared" ca="1" si="14"/>
        <v>1</v>
      </c>
      <c r="AA45" s="430"/>
    </row>
    <row r="46" spans="1:27" x14ac:dyDescent="0.25">
      <c r="A46" s="39" t="s">
        <v>477</v>
      </c>
      <c r="B46" s="364" t="str">
        <f>RIGHT(OTP_conf_main_reg!I23,LEN(OTP_conf_main_reg!I23)-FIND("-",OTP_conf_main_reg!I23,1))</f>
        <v xml:space="preserve"> 2.6A</v>
      </c>
      <c r="C46" s="418"/>
      <c r="D46" s="36" t="s">
        <v>504</v>
      </c>
      <c r="E46" s="368" t="str">
        <f>IF(RIGHT(OTP_conf_failsafe_reg!L21,LEN(OTP_conf_failsafe_reg!L21)-FIND("-",OTP_conf_failsafe_reg!L21,1))=" Assigned", "Yes","No")</f>
        <v>No</v>
      </c>
      <c r="F46" s="440"/>
      <c r="G46" s="362">
        <f t="shared" si="15"/>
        <v>1.2000000000000004</v>
      </c>
      <c r="H46" s="362">
        <f t="shared" si="19"/>
        <v>12</v>
      </c>
      <c r="I46" s="362">
        <f t="shared" si="19"/>
        <v>5.0999999999999996</v>
      </c>
      <c r="J46" s="362">
        <v>0</v>
      </c>
      <c r="K46" s="362">
        <v>0</v>
      </c>
      <c r="L46" s="362">
        <v>0</v>
      </c>
      <c r="M46" s="362">
        <v>0</v>
      </c>
      <c r="N46" s="362">
        <v>0</v>
      </c>
      <c r="O46" s="362">
        <v>0</v>
      </c>
      <c r="P46" s="362">
        <v>0</v>
      </c>
      <c r="Q46" s="362">
        <v>1.6</v>
      </c>
      <c r="R46" s="362">
        <f t="shared" ca="1" si="11"/>
        <v>0</v>
      </c>
      <c r="S46" s="362">
        <f t="shared" ca="1" si="12"/>
        <v>0</v>
      </c>
      <c r="T46" s="323">
        <f t="shared" ca="1" si="16"/>
        <v>0</v>
      </c>
      <c r="U46" s="260">
        <f t="shared" ca="1" si="14"/>
        <v>1</v>
      </c>
      <c r="V46" s="260">
        <f t="shared" ca="1" si="14"/>
        <v>1</v>
      </c>
      <c r="W46" s="260">
        <f t="shared" ca="1" si="14"/>
        <v>1</v>
      </c>
      <c r="X46" s="260">
        <f t="shared" ca="1" si="14"/>
        <v>1</v>
      </c>
      <c r="Y46" s="260">
        <f t="shared" ca="1" si="14"/>
        <v>1</v>
      </c>
      <c r="Z46" s="260">
        <f t="shared" ca="1" si="14"/>
        <v>1</v>
      </c>
      <c r="AA46" s="430"/>
    </row>
    <row r="47" spans="1:27" x14ac:dyDescent="0.25">
      <c r="A47" s="39" t="s">
        <v>487</v>
      </c>
      <c r="B47" s="364" t="str">
        <f>RIGHT(OTP_conf_main_reg!E27,LEN(OTP_conf_main_reg!E27)-FIND("-",OTP_conf_main_reg!E27,1))</f>
        <v xml:space="preserve"> 48.75 GM</v>
      </c>
      <c r="C47" s="418"/>
      <c r="D47" s="35" t="s">
        <v>509</v>
      </c>
      <c r="E47" s="364" t="str">
        <f>IF(RIGHT(OTP_conf_failsafe_reg!K21,LEN(OTP_conf_failsafe_reg!K21)-FIND("-",OTP_conf_failsafe_reg!K21,1))=" Assigned", "Yes","No")</f>
        <v>No</v>
      </c>
      <c r="F47" s="440"/>
      <c r="G47" s="362">
        <f t="shared" si="15"/>
        <v>1.2500000000000004</v>
      </c>
      <c r="H47" s="362">
        <f t="shared" si="19"/>
        <v>12</v>
      </c>
      <c r="I47" s="362">
        <f t="shared" si="19"/>
        <v>5.0999999999999996</v>
      </c>
      <c r="J47" s="362">
        <v>0</v>
      </c>
      <c r="K47" s="362">
        <v>0</v>
      </c>
      <c r="L47" s="362">
        <v>0</v>
      </c>
      <c r="M47" s="362">
        <v>0</v>
      </c>
      <c r="N47" s="362">
        <v>0</v>
      </c>
      <c r="O47" s="362">
        <v>0</v>
      </c>
      <c r="P47" s="362">
        <v>0</v>
      </c>
      <c r="Q47" s="362">
        <v>1.6</v>
      </c>
      <c r="R47" s="362">
        <f t="shared" ca="1" si="11"/>
        <v>0</v>
      </c>
      <c r="S47" s="362">
        <f t="shared" ca="1" si="12"/>
        <v>0</v>
      </c>
      <c r="T47" s="323">
        <f t="shared" ca="1" si="16"/>
        <v>0</v>
      </c>
      <c r="U47" s="260">
        <f t="shared" ca="1" si="14"/>
        <v>1</v>
      </c>
      <c r="V47" s="260">
        <f t="shared" ca="1" si="14"/>
        <v>1</v>
      </c>
      <c r="W47" s="260">
        <f t="shared" ca="1" si="14"/>
        <v>1</v>
      </c>
      <c r="X47" s="260">
        <f t="shared" ca="1" si="14"/>
        <v>1</v>
      </c>
      <c r="Y47" s="260">
        <f t="shared" ca="1" si="14"/>
        <v>1</v>
      </c>
      <c r="Z47" s="260">
        <f t="shared" ca="1" si="14"/>
        <v>1</v>
      </c>
      <c r="AA47" s="430"/>
    </row>
    <row r="48" spans="1:27" x14ac:dyDescent="0.25">
      <c r="A48" s="39" t="s">
        <v>481</v>
      </c>
      <c r="B48" s="364" t="str">
        <f>IF(OTP_conf_main_reg!F43="1 - CLK2",RIGHT(OTP_conf_main_reg!J37,LEN(OTP_conf_main_reg!J37)-FIND("=",OTP_conf_main_reg!J37,1)),RIGHT(OTP_conf_main_reg!K43,LEN(OTP_conf_main_reg!K43)-FIND("=",OTP_conf_main_reg!K43,1)))</f>
        <v>2.22MHz</v>
      </c>
      <c r="C48" s="418"/>
      <c r="D48" s="35" t="s">
        <v>413</v>
      </c>
      <c r="E48" s="364" t="str">
        <f>IF(RIGHT(OTP_conf_failsafe_reg!J21,LEN(OTP_conf_failsafe_reg!J21)-FIND("-",OTP_conf_failsafe_reg!J21,1))=" Assigned", "Yes","No")</f>
        <v>No</v>
      </c>
      <c r="F48" s="440"/>
      <c r="G48" s="362">
        <f t="shared" si="15"/>
        <v>1.3000000000000005</v>
      </c>
      <c r="H48" s="362">
        <f t="shared" si="19"/>
        <v>12</v>
      </c>
      <c r="I48" s="362">
        <f t="shared" si="19"/>
        <v>5.0999999999999996</v>
      </c>
      <c r="J48" s="362">
        <v>0</v>
      </c>
      <c r="K48" s="362">
        <v>0</v>
      </c>
      <c r="L48" s="362">
        <v>0</v>
      </c>
      <c r="M48" s="362">
        <v>0</v>
      </c>
      <c r="N48" s="362">
        <v>0</v>
      </c>
      <c r="O48" s="362">
        <v>0</v>
      </c>
      <c r="P48" s="362">
        <v>0</v>
      </c>
      <c r="Q48" s="362">
        <v>1.6</v>
      </c>
      <c r="R48" s="362">
        <f t="shared" ca="1" si="11"/>
        <v>0</v>
      </c>
      <c r="S48" s="362">
        <f t="shared" ca="1" si="12"/>
        <v>0</v>
      </c>
      <c r="T48" s="323">
        <f t="shared" ca="1" si="16"/>
        <v>0</v>
      </c>
      <c r="U48" s="260">
        <f t="shared" ca="1" si="14"/>
        <v>1</v>
      </c>
      <c r="V48" s="260">
        <f t="shared" ca="1" si="14"/>
        <v>1</v>
      </c>
      <c r="W48" s="260">
        <f t="shared" ca="1" si="14"/>
        <v>1</v>
      </c>
      <c r="X48" s="260">
        <f t="shared" ca="1" si="14"/>
        <v>1</v>
      </c>
      <c r="Y48" s="260">
        <f t="shared" ca="1" si="14"/>
        <v>1</v>
      </c>
      <c r="Z48" s="260">
        <f t="shared" ca="1" si="14"/>
        <v>1</v>
      </c>
      <c r="AA48" s="430"/>
    </row>
    <row r="49" spans="1:27" x14ac:dyDescent="0.25">
      <c r="A49" s="39" t="s">
        <v>485</v>
      </c>
      <c r="B49" s="364" t="str">
        <f>IF(RIGHT(OTP_conf_main_reg!L19,LEN(OTP_conf_main_reg!L19)-FIND("-",OTP_conf_main_reg!L19,1))=" enabled","Yes","No")</f>
        <v>No</v>
      </c>
      <c r="C49" s="418"/>
      <c r="D49" s="35" t="s">
        <v>411</v>
      </c>
      <c r="E49" s="364" t="str">
        <f>IF(RIGHT(OTP_conf_failsafe_reg!I21,LEN(OTP_conf_failsafe_reg!I21)-FIND("-",OTP_conf_failsafe_reg!I21,1))=" Assigned", "Yes","No")</f>
        <v>No</v>
      </c>
      <c r="F49" s="440"/>
      <c r="G49" s="362">
        <f t="shared" si="15"/>
        <v>1.3500000000000005</v>
      </c>
      <c r="H49" s="362">
        <f t="shared" si="19"/>
        <v>12</v>
      </c>
      <c r="I49" s="362">
        <f t="shared" si="19"/>
        <v>5.0999999999999996</v>
      </c>
      <c r="J49" s="362">
        <v>0</v>
      </c>
      <c r="K49" s="362">
        <v>0</v>
      </c>
      <c r="L49" s="362">
        <v>0</v>
      </c>
      <c r="M49" s="362">
        <v>0</v>
      </c>
      <c r="N49" s="362">
        <v>0</v>
      </c>
      <c r="O49" s="362">
        <v>0</v>
      </c>
      <c r="P49" s="362">
        <v>0</v>
      </c>
      <c r="Q49" s="362">
        <v>1.6</v>
      </c>
      <c r="R49" s="362">
        <f t="shared" ca="1" si="11"/>
        <v>0</v>
      </c>
      <c r="S49" s="362">
        <f t="shared" ca="1" si="12"/>
        <v>0</v>
      </c>
      <c r="T49" s="323">
        <f t="shared" ca="1" si="16"/>
        <v>0</v>
      </c>
      <c r="U49" s="260">
        <f t="shared" ca="1" si="14"/>
        <v>1</v>
      </c>
      <c r="V49" s="260">
        <f t="shared" ca="1" si="14"/>
        <v>1</v>
      </c>
      <c r="W49" s="260">
        <f t="shared" ca="1" si="14"/>
        <v>1</v>
      </c>
      <c r="X49" s="260">
        <f t="shared" ca="1" si="14"/>
        <v>1</v>
      </c>
      <c r="Y49" s="260">
        <f t="shared" ca="1" si="14"/>
        <v>1</v>
      </c>
      <c r="Z49" s="260">
        <f t="shared" ca="1" si="14"/>
        <v>1</v>
      </c>
      <c r="AA49" s="430"/>
    </row>
    <row r="50" spans="1:27" x14ac:dyDescent="0.25">
      <c r="A50" s="39" t="s">
        <v>495</v>
      </c>
      <c r="B50" s="364" t="str">
        <f>RIGHT(OTP_conf_main_reg!J41,LEN(OTP_conf_main_reg!J41)-FIND("-",OTP_conf_main_reg!J41,1))</f>
        <v xml:space="preserve"> delay 2</v>
      </c>
      <c r="C50" s="418"/>
      <c r="D50" s="35" t="s">
        <v>409</v>
      </c>
      <c r="E50" s="364" t="str">
        <f>IF(RIGHT(OTP_conf_failsafe_reg!H21,LEN(OTP_conf_failsafe_reg!H21)-FIND("-",OTP_conf_failsafe_reg!H21,1))=" Assigned", "Yes","No")</f>
        <v>No</v>
      </c>
      <c r="F50" s="440"/>
      <c r="G50" s="362">
        <f t="shared" si="15"/>
        <v>1.4000000000000006</v>
      </c>
      <c r="H50" s="362">
        <f t="shared" si="19"/>
        <v>12</v>
      </c>
      <c r="I50" s="362">
        <f t="shared" si="19"/>
        <v>5.0999999999999996</v>
      </c>
      <c r="J50" s="362">
        <v>0</v>
      </c>
      <c r="K50" s="362">
        <v>0</v>
      </c>
      <c r="L50" s="362">
        <v>0</v>
      </c>
      <c r="M50" s="362">
        <v>0</v>
      </c>
      <c r="N50" s="362">
        <v>0</v>
      </c>
      <c r="O50" s="362">
        <v>0</v>
      </c>
      <c r="P50" s="362">
        <v>0</v>
      </c>
      <c r="Q50" s="362">
        <v>1.6</v>
      </c>
      <c r="R50" s="362">
        <f t="shared" ca="1" si="11"/>
        <v>0</v>
      </c>
      <c r="S50" s="362">
        <f t="shared" ca="1" si="12"/>
        <v>0</v>
      </c>
      <c r="T50" s="323">
        <f t="shared" ca="1" si="16"/>
        <v>0</v>
      </c>
      <c r="U50" s="260">
        <f t="shared" ca="1" si="14"/>
        <v>1</v>
      </c>
      <c r="V50" s="260">
        <f t="shared" ca="1" si="14"/>
        <v>1</v>
      </c>
      <c r="W50" s="260">
        <f t="shared" ca="1" si="14"/>
        <v>1</v>
      </c>
      <c r="X50" s="260">
        <f t="shared" ca="1" si="14"/>
        <v>1</v>
      </c>
      <c r="Y50" s="260">
        <f t="shared" ca="1" si="14"/>
        <v>1</v>
      </c>
      <c r="Z50" s="260">
        <f t="shared" ca="1" si="14"/>
        <v>1</v>
      </c>
      <c r="AA50" s="430"/>
    </row>
    <row r="51" spans="1:27" x14ac:dyDescent="0.25">
      <c r="A51" s="39" t="s">
        <v>496</v>
      </c>
      <c r="B51" s="364" t="str">
        <f>RIGHT(OTP_conf_main_reg!I45,LEN(OTP_conf_main_reg!I45)-FIND("-",OTP_conf_main_reg!I45,1))</f>
        <v xml:space="preserve"> BUCK2 Shutdown</v>
      </c>
      <c r="C51" s="418"/>
      <c r="D51" s="35" t="s">
        <v>407</v>
      </c>
      <c r="E51" s="364" t="str">
        <f>IF(RIGHT(OTP_conf_failsafe_reg!G21,LEN(OTP_conf_failsafe_reg!G21)-FIND("-",OTP_conf_failsafe_reg!G21,1))=" Assigned", "Yes","No")</f>
        <v>No</v>
      </c>
      <c r="F51" s="440"/>
      <c r="G51" s="362">
        <f t="shared" si="15"/>
        <v>1.4500000000000006</v>
      </c>
      <c r="H51" s="362">
        <f t="shared" si="19"/>
        <v>12</v>
      </c>
      <c r="I51" s="362">
        <f t="shared" si="19"/>
        <v>5.0999999999999996</v>
      </c>
      <c r="J51" s="362">
        <v>0</v>
      </c>
      <c r="K51" s="362">
        <v>0</v>
      </c>
      <c r="L51" s="362">
        <v>0</v>
      </c>
      <c r="M51" s="362">
        <v>0</v>
      </c>
      <c r="N51" s="362">
        <v>0</v>
      </c>
      <c r="O51" s="362">
        <v>0</v>
      </c>
      <c r="P51" s="362">
        <v>0</v>
      </c>
      <c r="Q51" s="362">
        <v>1.6</v>
      </c>
      <c r="R51" s="362">
        <f t="shared" ca="1" si="11"/>
        <v>0</v>
      </c>
      <c r="S51" s="362">
        <f t="shared" ca="1" si="12"/>
        <v>0</v>
      </c>
      <c r="T51" s="323">
        <f t="shared" ca="1" si="16"/>
        <v>0</v>
      </c>
      <c r="U51" s="260">
        <f t="shared" ca="1" si="14"/>
        <v>1</v>
      </c>
      <c r="V51" s="260">
        <f t="shared" ca="1" si="14"/>
        <v>1</v>
      </c>
      <c r="W51" s="260">
        <f t="shared" ca="1" si="14"/>
        <v>1</v>
      </c>
      <c r="X51" s="260">
        <f t="shared" ca="1" si="14"/>
        <v>1</v>
      </c>
      <c r="Y51" s="260">
        <f t="shared" ca="1" si="14"/>
        <v>1</v>
      </c>
      <c r="Z51" s="260">
        <f t="shared" ca="1" si="14"/>
        <v>1</v>
      </c>
      <c r="AA51" s="430"/>
    </row>
    <row r="52" spans="1:27" ht="30" x14ac:dyDescent="0.25">
      <c r="A52" s="39" t="s">
        <v>497</v>
      </c>
      <c r="B52" s="365" t="str">
        <f>RIGHT(OTP_conf_main_reg!G31,LEN(OTP_conf_main_reg!G31)-FIND("-",OTP_conf_main_reg!G31,1))</f>
        <v xml:space="preserve"> Regulator does not Start (Enabled by SPI/I2C)</v>
      </c>
      <c r="C52" s="418"/>
      <c r="D52" s="37" t="s">
        <v>511</v>
      </c>
      <c r="E52" s="369" t="str">
        <f>IF(RIGHT(OTP_conf_failsafe_reg!F21,LEN(OTP_conf_failsafe_reg!F21)-FIND("-",OTP_conf_failsafe_reg!F21,1))=" Assigned", "Yes","No")</f>
        <v>Yes</v>
      </c>
      <c r="F52" s="440"/>
      <c r="G52" s="362">
        <f t="shared" si="15"/>
        <v>1.5000000000000007</v>
      </c>
      <c r="H52" s="362">
        <f t="shared" si="19"/>
        <v>12</v>
      </c>
      <c r="I52" s="362">
        <f t="shared" si="19"/>
        <v>5.0999999999999996</v>
      </c>
      <c r="J52" s="362">
        <v>0</v>
      </c>
      <c r="K52" s="362">
        <v>0</v>
      </c>
      <c r="L52" s="362">
        <v>0</v>
      </c>
      <c r="M52" s="362">
        <v>0</v>
      </c>
      <c r="N52" s="362">
        <v>0</v>
      </c>
      <c r="O52" s="362">
        <v>0</v>
      </c>
      <c r="P52" s="362">
        <v>0</v>
      </c>
      <c r="Q52" s="362">
        <v>1.6</v>
      </c>
      <c r="R52" s="362">
        <f t="shared" ca="1" si="11"/>
        <v>0</v>
      </c>
      <c r="S52" s="362">
        <f t="shared" ca="1" si="12"/>
        <v>0</v>
      </c>
      <c r="T52" s="323">
        <f t="shared" ca="1" si="16"/>
        <v>0</v>
      </c>
      <c r="U52" s="260">
        <f t="shared" ca="1" si="14"/>
        <v>1</v>
      </c>
      <c r="V52" s="260">
        <f t="shared" ca="1" si="14"/>
        <v>1</v>
      </c>
      <c r="W52" s="260">
        <f t="shared" ca="1" si="14"/>
        <v>1</v>
      </c>
      <c r="X52" s="260">
        <f t="shared" ca="1" si="14"/>
        <v>1</v>
      </c>
      <c r="Y52" s="260">
        <f t="shared" ca="1" si="14"/>
        <v>1</v>
      </c>
      <c r="Z52" s="260">
        <f t="shared" ca="1" si="14"/>
        <v>1</v>
      </c>
      <c r="AA52" s="430"/>
    </row>
    <row r="53" spans="1:27" x14ac:dyDescent="0.25">
      <c r="A53" s="39" t="s">
        <v>822</v>
      </c>
      <c r="B53" s="364" t="str">
        <f>RIGHT(OTP_conf_main_reg!E35,LEN(OTP_conf_main_reg!E35)-FIND("-",OTP_conf_main_reg!E35,1))</f>
        <v xml:space="preserve"> 7.81mV/µs</v>
      </c>
      <c r="C53" s="418"/>
      <c r="D53" s="426" t="s">
        <v>510</v>
      </c>
      <c r="E53" s="421"/>
      <c r="F53" s="440"/>
      <c r="G53" s="362">
        <f t="shared" si="15"/>
        <v>1.5500000000000007</v>
      </c>
      <c r="H53" s="362">
        <f t="shared" si="19"/>
        <v>12</v>
      </c>
      <c r="I53" s="362">
        <f t="shared" si="19"/>
        <v>5.0999999999999996</v>
      </c>
      <c r="J53" s="362">
        <v>0</v>
      </c>
      <c r="K53" s="362">
        <v>0</v>
      </c>
      <c r="L53" s="362">
        <v>0</v>
      </c>
      <c r="M53" s="362">
        <v>0</v>
      </c>
      <c r="N53" s="362">
        <v>0</v>
      </c>
      <c r="O53" s="362">
        <v>0</v>
      </c>
      <c r="P53" s="362">
        <v>0</v>
      </c>
      <c r="Q53" s="362">
        <v>1.6</v>
      </c>
      <c r="R53" s="362">
        <f t="shared" ca="1" si="11"/>
        <v>0</v>
      </c>
      <c r="S53" s="362">
        <f t="shared" ca="1" si="12"/>
        <v>0</v>
      </c>
      <c r="T53" s="323">
        <f t="shared" ca="1" si="16"/>
        <v>0</v>
      </c>
      <c r="U53" s="260">
        <f t="shared" ca="1" si="14"/>
        <v>1</v>
      </c>
      <c r="V53" s="260">
        <f t="shared" ca="1" si="14"/>
        <v>1</v>
      </c>
      <c r="W53" s="260">
        <f t="shared" ca="1" si="14"/>
        <v>1</v>
      </c>
      <c r="X53" s="260">
        <f t="shared" ca="1" si="14"/>
        <v>1</v>
      </c>
      <c r="Y53" s="260">
        <f t="shared" ca="1" si="14"/>
        <v>1</v>
      </c>
      <c r="Z53" s="260">
        <f t="shared" ca="1" si="14"/>
        <v>1</v>
      </c>
      <c r="AA53" s="430"/>
    </row>
    <row r="54" spans="1:27" x14ac:dyDescent="0.25">
      <c r="A54" s="420" t="s">
        <v>486</v>
      </c>
      <c r="B54" s="421"/>
      <c r="C54" s="418"/>
      <c r="D54" s="36" t="s">
        <v>504</v>
      </c>
      <c r="E54" s="368" t="str">
        <f>IF(RIGHT(OTP_conf_failsafe_reg!L23,LEN(OTP_conf_failsafe_reg!L23)-FIND("-",OTP_conf_failsafe_reg!L23,1))=" Assigned", "Yes","No")</f>
        <v>No</v>
      </c>
      <c r="F54" s="440"/>
      <c r="G54" s="362">
        <f t="shared" si="15"/>
        <v>1.6000000000000008</v>
      </c>
      <c r="H54" s="362">
        <f t="shared" si="19"/>
        <v>12</v>
      </c>
      <c r="I54" s="362">
        <f t="shared" si="19"/>
        <v>5.0999999999999996</v>
      </c>
      <c r="J54" s="362">
        <v>0</v>
      </c>
      <c r="K54" s="362">
        <v>0</v>
      </c>
      <c r="L54" s="362">
        <v>0</v>
      </c>
      <c r="M54" s="362">
        <v>0</v>
      </c>
      <c r="N54" s="362">
        <v>0</v>
      </c>
      <c r="O54" s="362">
        <v>0</v>
      </c>
      <c r="P54" s="362">
        <v>0</v>
      </c>
      <c r="Q54" s="362">
        <v>1.6</v>
      </c>
      <c r="R54" s="362">
        <f t="shared" ca="1" si="11"/>
        <v>0</v>
      </c>
      <c r="S54" s="362">
        <f t="shared" ca="1" si="12"/>
        <v>0</v>
      </c>
      <c r="T54" s="323">
        <f t="shared" ca="1" si="16"/>
        <v>0</v>
      </c>
      <c r="U54" s="260">
        <f t="shared" ca="1" si="14"/>
        <v>1</v>
      </c>
      <c r="V54" s="260">
        <f t="shared" ca="1" si="14"/>
        <v>1</v>
      </c>
      <c r="W54" s="260">
        <f t="shared" ca="1" si="14"/>
        <v>1</v>
      </c>
      <c r="X54" s="260">
        <f t="shared" ca="1" si="14"/>
        <v>1</v>
      </c>
      <c r="Y54" s="260">
        <f t="shared" ca="1" si="14"/>
        <v>1</v>
      </c>
      <c r="Z54" s="260">
        <f t="shared" ca="1" si="14"/>
        <v>1</v>
      </c>
      <c r="AA54" s="430"/>
    </row>
    <row r="55" spans="1:27" x14ac:dyDescent="0.25">
      <c r="A55" s="39" t="s">
        <v>484</v>
      </c>
      <c r="B55" s="364" t="str">
        <f>IF(RIGHT(OTP_conf_main_reg!E25,LEN(OTP_conf_main_reg!E25)-FIND("-",OTP_conf_main_reg!E25,1))=" enabled", "Yes","No")</f>
        <v>Yes</v>
      </c>
      <c r="C55" s="418"/>
      <c r="D55" s="35" t="s">
        <v>509</v>
      </c>
      <c r="E55" s="364" t="str">
        <f>IF(RIGHT(OTP_conf_failsafe_reg!K23,LEN(OTP_conf_failsafe_reg!K23)-FIND("-",OTP_conf_failsafe_reg!K23,1))=" Assigned", "Yes","No")</f>
        <v>No</v>
      </c>
      <c r="F55" s="440"/>
      <c r="G55" s="362">
        <f t="shared" si="15"/>
        <v>1.6500000000000008</v>
      </c>
      <c r="H55" s="362">
        <f t="shared" si="19"/>
        <v>12</v>
      </c>
      <c r="I55" s="362">
        <f t="shared" si="19"/>
        <v>5.0999999999999996</v>
      </c>
      <c r="J55" s="362">
        <v>0</v>
      </c>
      <c r="K55" s="362">
        <v>0</v>
      </c>
      <c r="L55" s="362">
        <v>0</v>
      </c>
      <c r="M55" s="362">
        <v>0</v>
      </c>
      <c r="N55" s="362">
        <v>0</v>
      </c>
      <c r="O55" s="362">
        <v>0</v>
      </c>
      <c r="P55" s="362">
        <v>0</v>
      </c>
      <c r="Q55" s="362">
        <v>1.6</v>
      </c>
      <c r="R55" s="362">
        <f t="shared" ca="1" si="11"/>
        <v>0</v>
      </c>
      <c r="S55" s="362">
        <f t="shared" ca="1" si="12"/>
        <v>0</v>
      </c>
      <c r="T55" s="323">
        <f t="shared" ca="1" si="16"/>
        <v>0</v>
      </c>
      <c r="U55" s="260">
        <f t="shared" ca="1" si="14"/>
        <v>1</v>
      </c>
      <c r="V55" s="260">
        <f t="shared" ca="1" si="14"/>
        <v>1</v>
      </c>
      <c r="W55" s="260">
        <f t="shared" ca="1" si="14"/>
        <v>1</v>
      </c>
      <c r="X55" s="260">
        <f t="shared" ca="1" si="14"/>
        <v>1</v>
      </c>
      <c r="Y55" s="260">
        <f t="shared" ca="1" si="14"/>
        <v>1</v>
      </c>
      <c r="Z55" s="260">
        <f t="shared" ca="1" si="14"/>
        <v>1</v>
      </c>
      <c r="AA55" s="430"/>
    </row>
    <row r="56" spans="1:27" x14ac:dyDescent="0.25">
      <c r="A56" s="39" t="s">
        <v>475</v>
      </c>
      <c r="B56" s="364" t="str">
        <f>RIGHT(OTP_conf_main_reg!H25,LEN(OTP_conf_main_reg!H25)-FIND("-",OTP_conf_main_reg!H25,1))</f>
        <v xml:space="preserve"> 3.3V</v>
      </c>
      <c r="C56" s="418"/>
      <c r="D56" s="35" t="s">
        <v>413</v>
      </c>
      <c r="E56" s="364" t="str">
        <f>IF(RIGHT(OTP_conf_failsafe_reg!J23,LEN(OTP_conf_failsafe_reg!J23)-FIND("-",OTP_conf_failsafe_reg!J23,1))=" Assigned", "Yes","No")</f>
        <v>No</v>
      </c>
      <c r="F56" s="440"/>
      <c r="G56" s="362">
        <f t="shared" si="15"/>
        <v>1.7000000000000008</v>
      </c>
      <c r="H56" s="362">
        <f t="shared" si="19"/>
        <v>12</v>
      </c>
      <c r="I56" s="362">
        <f t="shared" si="19"/>
        <v>5.0999999999999996</v>
      </c>
      <c r="J56" s="362">
        <v>0</v>
      </c>
      <c r="K56" s="362">
        <v>0</v>
      </c>
      <c r="L56" s="362">
        <v>0</v>
      </c>
      <c r="M56" s="362">
        <v>0</v>
      </c>
      <c r="N56" s="362">
        <v>0</v>
      </c>
      <c r="O56" s="362">
        <v>0</v>
      </c>
      <c r="P56" s="362">
        <v>0</v>
      </c>
      <c r="Q56" s="362">
        <v>1.6</v>
      </c>
      <c r="R56" s="362">
        <f t="shared" ca="1" si="11"/>
        <v>0</v>
      </c>
      <c r="S56" s="362">
        <f t="shared" ca="1" si="12"/>
        <v>0</v>
      </c>
      <c r="T56" s="323">
        <f t="shared" ca="1" si="16"/>
        <v>0</v>
      </c>
      <c r="U56" s="260">
        <f t="shared" ca="1" si="14"/>
        <v>1</v>
      </c>
      <c r="V56" s="260">
        <f t="shared" ca="1" si="14"/>
        <v>1</v>
      </c>
      <c r="W56" s="260">
        <f t="shared" ca="1" si="14"/>
        <v>1</v>
      </c>
      <c r="X56" s="260">
        <f t="shared" ca="1" si="14"/>
        <v>1</v>
      </c>
      <c r="Y56" s="260">
        <f t="shared" ca="1" si="14"/>
        <v>1</v>
      </c>
      <c r="Z56" s="260">
        <f t="shared" ca="1" si="14"/>
        <v>1</v>
      </c>
      <c r="AA56" s="430"/>
    </row>
    <row r="57" spans="1:27" x14ac:dyDescent="0.25">
      <c r="A57" s="39" t="s">
        <v>482</v>
      </c>
      <c r="B57" s="364" t="str">
        <f>RIGHT(OTP_conf_main_reg!F25,LEN(OTP_conf_main_reg!F25)-FIND("-",OTP_conf_main_reg!F25,1))</f>
        <v xml:space="preserve"> 1µH</v>
      </c>
      <c r="C57" s="418"/>
      <c r="D57" s="35" t="s">
        <v>411</v>
      </c>
      <c r="E57" s="364" t="str">
        <f>IF(RIGHT(OTP_conf_failsafe_reg!I23,LEN(OTP_conf_failsafe_reg!I23)-FIND("-",OTP_conf_failsafe_reg!I23,1))=" Assigned", "Yes","No")</f>
        <v>No</v>
      </c>
      <c r="F57" s="440"/>
      <c r="G57" s="362">
        <f t="shared" si="15"/>
        <v>1.7500000000000009</v>
      </c>
      <c r="H57" s="362">
        <f t="shared" si="19"/>
        <v>12</v>
      </c>
      <c r="I57" s="362">
        <f t="shared" si="19"/>
        <v>5.0999999999999996</v>
      </c>
      <c r="J57" s="362">
        <v>0</v>
      </c>
      <c r="K57" s="362">
        <v>0</v>
      </c>
      <c r="L57" s="362">
        <v>0</v>
      </c>
      <c r="M57" s="362">
        <v>0</v>
      </c>
      <c r="N57" s="362">
        <v>0</v>
      </c>
      <c r="O57" s="362">
        <v>0</v>
      </c>
      <c r="P57" s="362">
        <v>0</v>
      </c>
      <c r="Q57" s="362">
        <v>1.6</v>
      </c>
      <c r="R57" s="362">
        <f t="shared" ca="1" si="11"/>
        <v>0</v>
      </c>
      <c r="S57" s="362">
        <f t="shared" ca="1" si="12"/>
        <v>0</v>
      </c>
      <c r="T57" s="323">
        <f t="shared" ca="1" si="16"/>
        <v>0</v>
      </c>
      <c r="U57" s="260">
        <f t="shared" ca="1" si="14"/>
        <v>1</v>
      </c>
      <c r="V57" s="260">
        <f t="shared" ca="1" si="14"/>
        <v>1</v>
      </c>
      <c r="W57" s="260">
        <f t="shared" ca="1" si="14"/>
        <v>1</v>
      </c>
      <c r="X57" s="260">
        <f t="shared" ca="1" si="14"/>
        <v>1</v>
      </c>
      <c r="Y57" s="260">
        <f t="shared" ca="1" si="14"/>
        <v>1</v>
      </c>
      <c r="Z57" s="260">
        <f t="shared" ca="1" si="14"/>
        <v>1</v>
      </c>
      <c r="AA57" s="430"/>
    </row>
    <row r="58" spans="1:27" ht="15.75" thickBot="1" x14ac:dyDescent="0.3">
      <c r="A58" s="39" t="s">
        <v>477</v>
      </c>
      <c r="B58" s="364" t="str">
        <f>RIGHT(OTP_conf_main_reg!K27,LEN(OTP_conf_main_reg!K27)-FIND("-",OTP_conf_main_reg!K27,1))</f>
        <v xml:space="preserve"> 4.5A</v>
      </c>
      <c r="C58" s="418"/>
      <c r="D58" s="35" t="s">
        <v>409</v>
      </c>
      <c r="E58" s="364" t="str">
        <f>IF(RIGHT(OTP_conf_failsafe_reg!H23,LEN(OTP_conf_failsafe_reg!H23)-FIND("-",OTP_conf_failsafe_reg!H23,1))=" Assigned", "Yes","No")</f>
        <v>No</v>
      </c>
      <c r="F58" s="440"/>
      <c r="G58" s="362">
        <f t="shared" si="15"/>
        <v>1.8000000000000009</v>
      </c>
      <c r="H58" s="362">
        <f t="shared" si="19"/>
        <v>12</v>
      </c>
      <c r="I58" s="362">
        <f t="shared" si="19"/>
        <v>5.0999999999999996</v>
      </c>
      <c r="J58" s="362">
        <v>0</v>
      </c>
      <c r="K58" s="362">
        <v>0</v>
      </c>
      <c r="L58" s="362">
        <v>0</v>
      </c>
      <c r="M58" s="362">
        <v>0</v>
      </c>
      <c r="N58" s="362">
        <v>0</v>
      </c>
      <c r="O58" s="362">
        <v>0</v>
      </c>
      <c r="P58" s="362">
        <v>0</v>
      </c>
      <c r="Q58" s="362">
        <v>1.6</v>
      </c>
      <c r="R58" s="362">
        <f t="shared" ca="1" si="11"/>
        <v>0</v>
      </c>
      <c r="S58" s="362">
        <f t="shared" ca="1" si="12"/>
        <v>0</v>
      </c>
      <c r="T58" s="323">
        <f t="shared" ca="1" si="16"/>
        <v>0</v>
      </c>
      <c r="U58" s="260">
        <f t="shared" ca="1" si="14"/>
        <v>1</v>
      </c>
      <c r="V58" s="260">
        <f t="shared" ca="1" si="14"/>
        <v>1</v>
      </c>
      <c r="W58" s="260">
        <f t="shared" ca="1" si="14"/>
        <v>1</v>
      </c>
      <c r="X58" s="260">
        <f t="shared" ca="1" si="14"/>
        <v>1</v>
      </c>
      <c r="Y58" s="260">
        <f t="shared" ca="1" si="14"/>
        <v>1</v>
      </c>
      <c r="Z58" s="260">
        <f t="shared" ca="1" si="14"/>
        <v>1</v>
      </c>
      <c r="AA58" s="431"/>
    </row>
    <row r="59" spans="1:27" x14ac:dyDescent="0.25">
      <c r="A59" s="39" t="s">
        <v>488</v>
      </c>
      <c r="B59" s="364" t="str">
        <f>RIGHT(OTP_conf_main_reg!K23,LEN(OTP_conf_main_reg!K23)-FIND("-",OTP_conf_main_reg!K23,1))</f>
        <v xml:space="preserve"> Default</v>
      </c>
      <c r="C59" s="418"/>
      <c r="D59" s="35" t="s">
        <v>407</v>
      </c>
      <c r="E59" s="364" t="str">
        <f>IF(RIGHT(OTP_conf_failsafe_reg!G23,LEN(OTP_conf_failsafe_reg!G23)-FIND("-",OTP_conf_failsafe_reg!G23,1))=" Assigned", "Yes","No")</f>
        <v>No</v>
      </c>
      <c r="F59" s="440"/>
      <c r="G59" s="362">
        <f t="shared" si="15"/>
        <v>1.850000000000001</v>
      </c>
      <c r="H59" s="362">
        <f t="shared" si="19"/>
        <v>12</v>
      </c>
      <c r="I59" s="362">
        <f t="shared" si="19"/>
        <v>5.0999999999999996</v>
      </c>
      <c r="J59" s="362">
        <v>0</v>
      </c>
      <c r="K59" s="362">
        <v>0</v>
      </c>
      <c r="L59" s="362">
        <v>0</v>
      </c>
      <c r="M59" s="362">
        <v>0</v>
      </c>
      <c r="N59" s="362">
        <v>0</v>
      </c>
      <c r="O59" s="362">
        <v>0</v>
      </c>
      <c r="P59" s="362">
        <v>0</v>
      </c>
      <c r="Q59" s="362">
        <v>1.6</v>
      </c>
      <c r="R59" s="362">
        <f t="shared" ca="1" si="11"/>
        <v>0</v>
      </c>
      <c r="S59" s="362">
        <f t="shared" ca="1" si="12"/>
        <v>0</v>
      </c>
      <c r="T59" s="323">
        <f t="shared" ca="1" si="16"/>
        <v>0</v>
      </c>
      <c r="U59" s="260">
        <f t="shared" ca="1" si="14"/>
        <v>1</v>
      </c>
      <c r="V59" s="260">
        <f t="shared" ca="1" si="14"/>
        <v>1</v>
      </c>
      <c r="W59" s="260">
        <f t="shared" ca="1" si="14"/>
        <v>1</v>
      </c>
      <c r="X59" s="260">
        <f t="shared" ca="1" si="14"/>
        <v>1</v>
      </c>
      <c r="Y59" s="260">
        <f t="shared" ca="1" si="14"/>
        <v>1</v>
      </c>
      <c r="Z59" s="260">
        <f t="shared" ca="1" si="14"/>
        <v>1</v>
      </c>
      <c r="AA59" s="261"/>
    </row>
    <row r="60" spans="1:27" x14ac:dyDescent="0.25">
      <c r="A60" s="39" t="s">
        <v>489</v>
      </c>
      <c r="B60" s="364" t="str">
        <f>RIGHT(OTP_conf_main_reg!L23,LEN(OTP_conf_main_reg!L23)-FIND("-",OTP_conf_main_reg!L23,1))</f>
        <v xml:space="preserve"> Default</v>
      </c>
      <c r="C60" s="418"/>
      <c r="D60" s="426" t="s">
        <v>512</v>
      </c>
      <c r="E60" s="421"/>
      <c r="F60" s="440"/>
      <c r="G60" s="362">
        <f t="shared" si="15"/>
        <v>1.900000000000001</v>
      </c>
      <c r="H60" s="362">
        <f t="shared" si="19"/>
        <v>12</v>
      </c>
      <c r="I60" s="362">
        <f t="shared" si="19"/>
        <v>5.0999999999999996</v>
      </c>
      <c r="J60" s="362">
        <v>0</v>
      </c>
      <c r="K60" s="362">
        <v>0</v>
      </c>
      <c r="L60" s="362">
        <v>0</v>
      </c>
      <c r="M60" s="362">
        <v>0</v>
      </c>
      <c r="N60" s="362">
        <v>0</v>
      </c>
      <c r="O60" s="362">
        <v>0</v>
      </c>
      <c r="P60" s="362">
        <v>0</v>
      </c>
      <c r="Q60" s="362">
        <v>1.6</v>
      </c>
      <c r="R60" s="362">
        <f t="shared" ca="1" si="11"/>
        <v>0</v>
      </c>
      <c r="S60" s="362">
        <f t="shared" ca="1" si="12"/>
        <v>0</v>
      </c>
      <c r="T60" s="323">
        <f t="shared" ca="1" si="16"/>
        <v>0</v>
      </c>
      <c r="U60" s="260">
        <f t="shared" ca="1" si="14"/>
        <v>1</v>
      </c>
      <c r="V60" s="260">
        <f t="shared" ca="1" si="14"/>
        <v>1</v>
      </c>
      <c r="W60" s="260">
        <f t="shared" ca="1" si="14"/>
        <v>1</v>
      </c>
      <c r="X60" s="260">
        <f t="shared" ca="1" si="14"/>
        <v>1</v>
      </c>
      <c r="Y60" s="260">
        <f t="shared" ca="1" si="14"/>
        <v>1</v>
      </c>
      <c r="Z60" s="260">
        <f t="shared" ca="1" si="14"/>
        <v>1</v>
      </c>
      <c r="AA60" s="261"/>
    </row>
    <row r="61" spans="1:27" x14ac:dyDescent="0.25">
      <c r="A61" s="39" t="s">
        <v>481</v>
      </c>
      <c r="B61" s="364" t="str">
        <f>IF(OTP_conf_main_reg!E43="1 - CLK2",RIGHT(OTP_conf_main_reg!J37,LEN(OTP_conf_main_reg!J37)-FIND("=",OTP_conf_main_reg!J37,1)),RIGHT(OTP_conf_main_reg!K43,LEN(OTP_conf_main_reg!K43)-FIND("=",OTP_conf_main_reg!K43,1)))</f>
        <v>2.22MHz</v>
      </c>
      <c r="C61" s="418"/>
      <c r="D61" s="35" t="s">
        <v>413</v>
      </c>
      <c r="E61" s="368" t="str">
        <f>IF(RIGHT(OTP_conf_failsafe_reg!L25,LEN(OTP_conf_failsafe_reg!L25)-FIND("-",OTP_conf_failsafe_reg!L25,1))=" Enabled", "Yes","No")</f>
        <v>No</v>
      </c>
      <c r="F61" s="440"/>
      <c r="G61" s="362">
        <f t="shared" si="15"/>
        <v>1.9500000000000011</v>
      </c>
      <c r="H61" s="362">
        <f t="shared" si="19"/>
        <v>12</v>
      </c>
      <c r="I61" s="362">
        <f t="shared" si="19"/>
        <v>5.0999999999999996</v>
      </c>
      <c r="J61" s="362">
        <v>0</v>
      </c>
      <c r="K61" s="362">
        <v>0</v>
      </c>
      <c r="L61" s="362">
        <v>0</v>
      </c>
      <c r="M61" s="362">
        <v>0</v>
      </c>
      <c r="N61" s="362">
        <v>0</v>
      </c>
      <c r="O61" s="362">
        <v>0</v>
      </c>
      <c r="P61" s="362">
        <v>0</v>
      </c>
      <c r="Q61" s="362">
        <v>1.6</v>
      </c>
      <c r="R61" s="362">
        <f t="shared" ca="1" si="11"/>
        <v>0</v>
      </c>
      <c r="S61" s="362">
        <f t="shared" ca="1" si="12"/>
        <v>0</v>
      </c>
      <c r="T61" s="323">
        <f t="shared" ca="1" si="16"/>
        <v>0</v>
      </c>
      <c r="U61" s="260">
        <f t="shared" ca="1" si="14"/>
        <v>1</v>
      </c>
      <c r="V61" s="260">
        <f t="shared" ca="1" si="14"/>
        <v>1</v>
      </c>
      <c r="W61" s="260">
        <f t="shared" ca="1" si="14"/>
        <v>1</v>
      </c>
      <c r="X61" s="260">
        <f t="shared" ca="1" si="14"/>
        <v>1</v>
      </c>
      <c r="Y61" s="260">
        <f t="shared" ca="1" si="14"/>
        <v>1</v>
      </c>
      <c r="Z61" s="260">
        <f t="shared" ca="1" si="14"/>
        <v>1</v>
      </c>
      <c r="AA61" s="261"/>
    </row>
    <row r="62" spans="1:27" x14ac:dyDescent="0.25">
      <c r="A62" s="39" t="s">
        <v>495</v>
      </c>
      <c r="B62" s="364" t="str">
        <f>RIGHT(OTP_conf_main_reg!G41,LEN(OTP_conf_main_reg!G41)-FIND("-",OTP_conf_main_reg!G41,1))</f>
        <v xml:space="preserve"> delay 0</v>
      </c>
      <c r="C62" s="418"/>
      <c r="D62" s="35" t="s">
        <v>411</v>
      </c>
      <c r="E62" s="364" t="str">
        <f>IF(RIGHT(OTP_conf_failsafe_reg!K25,LEN(OTP_conf_failsafe_reg!K25)-FIND("-",OTP_conf_failsafe_reg!K25,1))=" Enabled", "Yes","No")</f>
        <v>No</v>
      </c>
      <c r="F62" s="440"/>
      <c r="G62" s="362">
        <f t="shared" si="15"/>
        <v>2.0000000000000009</v>
      </c>
      <c r="H62" s="362">
        <f t="shared" si="19"/>
        <v>12</v>
      </c>
      <c r="I62" s="362">
        <f t="shared" si="19"/>
        <v>5.0999999999999996</v>
      </c>
      <c r="J62" s="362">
        <v>0</v>
      </c>
      <c r="K62" s="362">
        <v>0</v>
      </c>
      <c r="L62" s="362">
        <v>0</v>
      </c>
      <c r="M62" s="362">
        <v>0</v>
      </c>
      <c r="N62" s="362">
        <v>0</v>
      </c>
      <c r="O62" s="362">
        <v>0</v>
      </c>
      <c r="P62" s="362">
        <v>0</v>
      </c>
      <c r="Q62" s="362">
        <v>1.6</v>
      </c>
      <c r="R62" s="362">
        <f t="shared" ca="1" si="11"/>
        <v>0</v>
      </c>
      <c r="S62" s="362">
        <f t="shared" ca="1" si="12"/>
        <v>0</v>
      </c>
      <c r="T62" s="323">
        <f t="shared" ca="1" si="16"/>
        <v>0</v>
      </c>
      <c r="U62" s="260">
        <f t="shared" ca="1" si="14"/>
        <v>1</v>
      </c>
      <c r="V62" s="260">
        <f t="shared" ca="1" si="14"/>
        <v>1</v>
      </c>
      <c r="W62" s="260">
        <f t="shared" ca="1" si="14"/>
        <v>1</v>
      </c>
      <c r="X62" s="260">
        <f t="shared" ca="1" si="14"/>
        <v>1</v>
      </c>
      <c r="Y62" s="260">
        <f t="shared" ca="1" si="14"/>
        <v>1</v>
      </c>
      <c r="Z62" s="260">
        <f t="shared" ca="1" si="14"/>
        <v>1</v>
      </c>
      <c r="AA62" s="261"/>
    </row>
    <row r="63" spans="1:27" x14ac:dyDescent="0.25">
      <c r="A63" s="39" t="s">
        <v>496</v>
      </c>
      <c r="B63" s="364" t="str">
        <f>RIGHT(OTP_conf_main_reg!J45,LEN(OTP_conf_main_reg!J45)-FIND("-",OTP_conf_main_reg!J45,1))</f>
        <v xml:space="preserve"> BUCK3 Shutdown</v>
      </c>
      <c r="C63" s="418"/>
      <c r="D63" s="35" t="s">
        <v>409</v>
      </c>
      <c r="E63" s="364" t="str">
        <f>IF(RIGHT(OTP_conf_failsafe_reg!J25,LEN(OTP_conf_failsafe_reg!J25)-FIND("-",OTP_conf_failsafe_reg!J25,1))=" Enabled", "Yes","No")</f>
        <v>No</v>
      </c>
      <c r="F63" s="440"/>
      <c r="G63" s="362">
        <f t="shared" si="15"/>
        <v>2.0500000000000007</v>
      </c>
      <c r="H63" s="362">
        <f t="shared" si="19"/>
        <v>12</v>
      </c>
      <c r="I63" s="362">
        <f t="shared" si="19"/>
        <v>5.0999999999999996</v>
      </c>
      <c r="J63" s="362">
        <v>0</v>
      </c>
      <c r="K63" s="362">
        <v>0</v>
      </c>
      <c r="L63" s="362">
        <v>0</v>
      </c>
      <c r="M63" s="362">
        <v>0</v>
      </c>
      <c r="N63" s="362">
        <v>0</v>
      </c>
      <c r="O63" s="362">
        <v>0</v>
      </c>
      <c r="P63" s="362">
        <v>0</v>
      </c>
      <c r="Q63" s="362">
        <v>1.6</v>
      </c>
      <c r="R63" s="362">
        <f t="shared" ca="1" si="11"/>
        <v>0</v>
      </c>
      <c r="S63" s="362">
        <f t="shared" ca="1" si="12"/>
        <v>0</v>
      </c>
      <c r="T63" s="323">
        <f t="shared" ca="1" si="16"/>
        <v>0</v>
      </c>
      <c r="U63" s="260">
        <f t="shared" ca="1" si="14"/>
        <v>1</v>
      </c>
      <c r="V63" s="260">
        <f t="shared" ca="1" si="14"/>
        <v>1</v>
      </c>
      <c r="W63" s="260">
        <f t="shared" ca="1" si="14"/>
        <v>1</v>
      </c>
      <c r="X63" s="260">
        <f t="shared" ca="1" si="14"/>
        <v>1</v>
      </c>
      <c r="Y63" s="260">
        <f t="shared" ca="1" si="14"/>
        <v>1</v>
      </c>
      <c r="Z63" s="260">
        <f t="shared" ca="1" si="14"/>
        <v>1</v>
      </c>
      <c r="AA63" s="261"/>
    </row>
    <row r="64" spans="1:27" x14ac:dyDescent="0.25">
      <c r="A64" s="39" t="s">
        <v>497</v>
      </c>
      <c r="B64" s="365" t="str">
        <f>RIGHT(OTP_conf_main_reg!J35,LEN(OTP_conf_main_reg!J35)-FIND("-",OTP_conf_main_reg!J35,1))</f>
        <v xml:space="preserve"> Regulator Start and Stop in Slot 2</v>
      </c>
      <c r="C64" s="418"/>
      <c r="D64" s="35" t="s">
        <v>407</v>
      </c>
      <c r="E64" s="364" t="str">
        <f>IF(RIGHT(OTP_conf_failsafe_reg!I25,LEN(OTP_conf_failsafe_reg!I25)-FIND("-",OTP_conf_failsafe_reg!I25,1))=" Enabled", "Yes","No")</f>
        <v>No</v>
      </c>
      <c r="F64" s="440"/>
      <c r="G64" s="362">
        <f t="shared" si="15"/>
        <v>2.1000000000000005</v>
      </c>
      <c r="H64" s="362">
        <f t="shared" si="19"/>
        <v>12</v>
      </c>
      <c r="I64" s="362">
        <f t="shared" si="19"/>
        <v>5.0999999999999996</v>
      </c>
      <c r="J64" s="362">
        <v>0</v>
      </c>
      <c r="K64" s="362">
        <v>0</v>
      </c>
      <c r="L64" s="362">
        <v>0</v>
      </c>
      <c r="M64" s="362">
        <v>0</v>
      </c>
      <c r="N64" s="362">
        <v>0</v>
      </c>
      <c r="O64" s="362">
        <v>0</v>
      </c>
      <c r="P64" s="362">
        <v>0</v>
      </c>
      <c r="Q64" s="362">
        <v>1.6</v>
      </c>
      <c r="R64" s="362">
        <f t="shared" ca="1" si="11"/>
        <v>0</v>
      </c>
      <c r="S64" s="362">
        <f t="shared" ca="1" si="12"/>
        <v>0</v>
      </c>
      <c r="T64" s="323">
        <f t="shared" ca="1" si="16"/>
        <v>0</v>
      </c>
      <c r="U64" s="260">
        <f t="shared" ca="1" si="14"/>
        <v>1</v>
      </c>
      <c r="V64" s="260">
        <f t="shared" ca="1" si="14"/>
        <v>1</v>
      </c>
      <c r="W64" s="260">
        <f t="shared" ca="1" si="14"/>
        <v>1</v>
      </c>
      <c r="X64" s="260">
        <f t="shared" ca="1" si="14"/>
        <v>1</v>
      </c>
      <c r="Y64" s="260">
        <f t="shared" ca="1" si="14"/>
        <v>1</v>
      </c>
      <c r="Z64" s="260">
        <f t="shared" ca="1" si="14"/>
        <v>1</v>
      </c>
      <c r="AA64" s="261"/>
    </row>
    <row r="65" spans="1:27" x14ac:dyDescent="0.25">
      <c r="A65" s="39" t="s">
        <v>822</v>
      </c>
      <c r="B65" s="364" t="str">
        <f>RIGHT(OTP_conf_main_reg!G35,LEN(OTP_conf_main_reg!G35)-FIND("-",OTP_conf_main_reg!G35,1))</f>
        <v xml:space="preserve"> 10.4mV/µs</v>
      </c>
      <c r="C65" s="418"/>
      <c r="D65" s="35" t="s">
        <v>513</v>
      </c>
      <c r="E65" s="364" t="str">
        <f>IF(RIGHT(OTP_conf_failsafe_reg!H25,LEN(OTP_conf_failsafe_reg!H25)-FIND("-",OTP_conf_failsafe_reg!H25,1))=" Enabled", "Yes","No")</f>
        <v>No</v>
      </c>
      <c r="F65" s="440"/>
      <c r="G65" s="362">
        <f t="shared" si="15"/>
        <v>2.1500000000000004</v>
      </c>
      <c r="H65" s="362">
        <f t="shared" si="19"/>
        <v>12</v>
      </c>
      <c r="I65" s="362">
        <f t="shared" si="19"/>
        <v>5.0999999999999996</v>
      </c>
      <c r="J65" s="362">
        <v>0</v>
      </c>
      <c r="K65" s="362">
        <v>0</v>
      </c>
      <c r="L65" s="362">
        <v>0</v>
      </c>
      <c r="M65" s="362">
        <v>0</v>
      </c>
      <c r="N65" s="362">
        <v>0</v>
      </c>
      <c r="O65" s="362">
        <v>0</v>
      </c>
      <c r="P65" s="362">
        <v>0</v>
      </c>
      <c r="Q65" s="362">
        <v>1.6</v>
      </c>
      <c r="R65" s="362">
        <f t="shared" ca="1" si="11"/>
        <v>0</v>
      </c>
      <c r="S65" s="362">
        <f t="shared" ca="1" si="12"/>
        <v>0</v>
      </c>
      <c r="T65" s="323">
        <f t="shared" ca="1" si="16"/>
        <v>0</v>
      </c>
      <c r="U65" s="260">
        <f t="shared" ca="1" si="14"/>
        <v>1</v>
      </c>
      <c r="V65" s="260">
        <f t="shared" ca="1" si="14"/>
        <v>1</v>
      </c>
      <c r="W65" s="260">
        <f t="shared" ca="1" si="14"/>
        <v>1</v>
      </c>
      <c r="X65" s="260">
        <f t="shared" ca="1" si="14"/>
        <v>1</v>
      </c>
      <c r="Y65" s="260">
        <f t="shared" ca="1" si="14"/>
        <v>1</v>
      </c>
      <c r="Z65" s="260">
        <f t="shared" ca="1" si="14"/>
        <v>1</v>
      </c>
      <c r="AA65" s="261"/>
    </row>
    <row r="66" spans="1:27" x14ac:dyDescent="0.25">
      <c r="A66" s="420" t="s">
        <v>18</v>
      </c>
      <c r="B66" s="421"/>
      <c r="C66" s="418"/>
      <c r="D66" s="35" t="s">
        <v>514</v>
      </c>
      <c r="E66" s="364" t="str">
        <f>IF(RIGHT(OTP_conf_failsafe_reg!G25,LEN(OTP_conf_failsafe_reg!G25)-FIND("-",OTP_conf_failsafe_reg!G25,1))=" Enabled", "Yes","No")</f>
        <v>No</v>
      </c>
      <c r="F66" s="440"/>
      <c r="G66" s="362">
        <f t="shared" si="15"/>
        <v>2.2000000000000002</v>
      </c>
      <c r="H66" s="362">
        <f t="shared" si="19"/>
        <v>12</v>
      </c>
      <c r="I66" s="362">
        <f t="shared" si="19"/>
        <v>5.0999999999999996</v>
      </c>
      <c r="J66" s="362">
        <v>0</v>
      </c>
      <c r="K66" s="362">
        <v>0</v>
      </c>
      <c r="L66" s="362">
        <v>0</v>
      </c>
      <c r="M66" s="362">
        <v>0</v>
      </c>
      <c r="N66" s="362">
        <v>0</v>
      </c>
      <c r="O66" s="362">
        <v>0</v>
      </c>
      <c r="P66" s="362">
        <v>0</v>
      </c>
      <c r="Q66" s="362">
        <v>1.6</v>
      </c>
      <c r="R66" s="362">
        <f t="shared" ca="1" si="11"/>
        <v>0</v>
      </c>
      <c r="S66" s="362">
        <f t="shared" ca="1" si="12"/>
        <v>0</v>
      </c>
      <c r="T66" s="323">
        <f t="shared" ca="1" si="16"/>
        <v>0</v>
      </c>
      <c r="U66" s="260">
        <f t="shared" ca="1" si="14"/>
        <v>1</v>
      </c>
      <c r="V66" s="260">
        <f t="shared" ca="1" si="14"/>
        <v>1</v>
      </c>
      <c r="W66" s="260">
        <f t="shared" ca="1" si="14"/>
        <v>1</v>
      </c>
      <c r="X66" s="260">
        <f t="shared" ca="1" si="14"/>
        <v>1</v>
      </c>
      <c r="Y66" s="260">
        <f t="shared" ca="1" si="14"/>
        <v>1</v>
      </c>
      <c r="Z66" s="260">
        <f t="shared" ca="1" si="14"/>
        <v>1</v>
      </c>
      <c r="AA66" s="261"/>
    </row>
    <row r="67" spans="1:27" x14ac:dyDescent="0.25">
      <c r="A67" s="39" t="s">
        <v>475</v>
      </c>
      <c r="B67" s="364" t="str">
        <f>RIGHT(OTP_conf_main_reg!J29,LEN(OTP_conf_main_reg!J29)-FIND("-",OTP_conf_main_reg!J29,1))</f>
        <v xml:space="preserve"> 2.5V</v>
      </c>
      <c r="C67" s="418"/>
      <c r="D67" s="35" t="s">
        <v>16</v>
      </c>
      <c r="E67" s="364" t="str">
        <f>IF(RIGHT(OTP_conf_failsafe_reg!E25,LEN(OTP_conf_failsafe_reg!E25)-FIND("-",OTP_conf_failsafe_reg!E25,1))=" Enabled", RIGHT(OTP_conf_failsafe_reg!F25,LEN(OTP_conf_failsafe_reg!F25)-FIND("-",OTP_conf_failsafe_reg!F25,1)),"No")</f>
        <v xml:space="preserve"> Challenger WD</v>
      </c>
      <c r="F67" s="440"/>
      <c r="G67" s="362">
        <f t="shared" si="15"/>
        <v>2.25</v>
      </c>
      <c r="H67" s="362">
        <f t="shared" si="19"/>
        <v>12</v>
      </c>
      <c r="I67" s="362">
        <f t="shared" si="19"/>
        <v>5.0999999999999996</v>
      </c>
      <c r="J67" s="362">
        <v>0</v>
      </c>
      <c r="K67" s="362">
        <v>0</v>
      </c>
      <c r="L67" s="362">
        <v>0</v>
      </c>
      <c r="M67" s="362">
        <v>0</v>
      </c>
      <c r="N67" s="362">
        <v>0</v>
      </c>
      <c r="O67" s="362">
        <v>0</v>
      </c>
      <c r="P67" s="362">
        <v>0</v>
      </c>
      <c r="Q67" s="362">
        <v>1.6</v>
      </c>
      <c r="R67" s="362">
        <f t="shared" ca="1" si="11"/>
        <v>0</v>
      </c>
      <c r="S67" s="362">
        <f t="shared" ca="1" si="12"/>
        <v>0</v>
      </c>
      <c r="T67" s="323">
        <f t="shared" ca="1" si="16"/>
        <v>0</v>
      </c>
      <c r="U67" s="260">
        <f t="shared" ca="1" si="14"/>
        <v>1</v>
      </c>
      <c r="V67" s="260">
        <f t="shared" ca="1" si="14"/>
        <v>1</v>
      </c>
      <c r="W67" s="260">
        <f t="shared" ca="1" si="14"/>
        <v>1</v>
      </c>
      <c r="X67" s="260">
        <f t="shared" ca="1" si="14"/>
        <v>1</v>
      </c>
      <c r="Y67" s="260">
        <f t="shared" ca="1" si="14"/>
        <v>1</v>
      </c>
      <c r="Z67" s="260">
        <f t="shared" ca="1" si="14"/>
        <v>1</v>
      </c>
      <c r="AA67" s="261"/>
    </row>
    <row r="68" spans="1:27" x14ac:dyDescent="0.25">
      <c r="A68" s="39" t="s">
        <v>477</v>
      </c>
      <c r="B68" s="364" t="str">
        <f>RIGHT(OTP_conf_main_reg!I29,LEN(OTP_conf_main_reg!I29)-FIND("-",OTP_conf_main_reg!I29,1))</f>
        <v xml:space="preserve"> 400mA</v>
      </c>
      <c r="C68" s="418"/>
      <c r="D68" s="35" t="s">
        <v>515</v>
      </c>
      <c r="E68" s="364" t="str">
        <f>IF(RIGHT(OTP_conf_failsafe_reg!H27,LEN(OTP_conf_failsafe_reg!H27)-FIND("-",OTP_conf_failsafe_reg!H27,1))=" Enabled", "Yes","No")</f>
        <v>Yes</v>
      </c>
      <c r="F68" s="440"/>
      <c r="G68" s="362">
        <f t="shared" si="15"/>
        <v>2.2999999999999998</v>
      </c>
      <c r="H68" s="362">
        <f t="shared" si="19"/>
        <v>12</v>
      </c>
      <c r="I68" s="362">
        <f t="shared" si="19"/>
        <v>5.0999999999999996</v>
      </c>
      <c r="J68" s="362">
        <v>0</v>
      </c>
      <c r="K68" s="362">
        <v>0</v>
      </c>
      <c r="L68" s="362">
        <v>0</v>
      </c>
      <c r="M68" s="362">
        <v>0</v>
      </c>
      <c r="N68" s="362">
        <v>0</v>
      </c>
      <c r="O68" s="362">
        <v>0</v>
      </c>
      <c r="P68" s="362">
        <v>0</v>
      </c>
      <c r="Q68" s="362">
        <v>1.6</v>
      </c>
      <c r="R68" s="362">
        <f t="shared" ca="1" si="11"/>
        <v>0</v>
      </c>
      <c r="S68" s="362">
        <f t="shared" ca="1" si="12"/>
        <v>0</v>
      </c>
      <c r="T68" s="323">
        <f t="shared" ca="1" si="16"/>
        <v>0</v>
      </c>
      <c r="U68" s="260">
        <f t="shared" ca="1" si="14"/>
        <v>1</v>
      </c>
      <c r="V68" s="260">
        <f t="shared" ca="1" si="14"/>
        <v>1</v>
      </c>
      <c r="W68" s="260">
        <f t="shared" ca="1" si="14"/>
        <v>1</v>
      </c>
      <c r="X68" s="260">
        <f t="shared" ca="1" si="14"/>
        <v>1</v>
      </c>
      <c r="Y68" s="260">
        <f t="shared" ca="1" si="14"/>
        <v>1</v>
      </c>
      <c r="Z68" s="260">
        <f t="shared" ca="1" si="14"/>
        <v>1</v>
      </c>
      <c r="AA68" s="261"/>
    </row>
    <row r="69" spans="1:27" x14ac:dyDescent="0.25">
      <c r="A69" s="39" t="s">
        <v>496</v>
      </c>
      <c r="B69" s="364" t="str">
        <f>RIGHT(OTP_conf_main_reg!K45,LEN(OTP_conf_main_reg!K45)-FIND("-",OTP_conf_main_reg!K45,1))</f>
        <v xml:space="preserve"> LDO1 Shutdown</v>
      </c>
      <c r="C69" s="418"/>
      <c r="D69" s="426" t="s">
        <v>500</v>
      </c>
      <c r="E69" s="421"/>
      <c r="F69" s="440"/>
      <c r="G69" s="362">
        <f t="shared" si="15"/>
        <v>2.3499999999999996</v>
      </c>
      <c r="H69" s="362">
        <f t="shared" si="19"/>
        <v>12</v>
      </c>
      <c r="I69" s="362">
        <f t="shared" si="19"/>
        <v>5.0999999999999996</v>
      </c>
      <c r="J69" s="362">
        <v>0</v>
      </c>
      <c r="K69" s="362">
        <v>0</v>
      </c>
      <c r="L69" s="362">
        <v>0</v>
      </c>
      <c r="M69" s="362">
        <v>0</v>
      </c>
      <c r="N69" s="362">
        <v>0</v>
      </c>
      <c r="O69" s="362">
        <v>0</v>
      </c>
      <c r="P69" s="362">
        <v>0</v>
      </c>
      <c r="Q69" s="362">
        <v>1.6</v>
      </c>
      <c r="R69" s="362">
        <f t="shared" ca="1" si="11"/>
        <v>0</v>
      </c>
      <c r="S69" s="362">
        <f t="shared" ca="1" si="12"/>
        <v>0</v>
      </c>
      <c r="T69" s="323">
        <f t="shared" ca="1" si="16"/>
        <v>0</v>
      </c>
      <c r="U69" s="260">
        <f t="shared" ca="1" si="14"/>
        <v>1</v>
      </c>
      <c r="V69" s="260">
        <f t="shared" ca="1" si="14"/>
        <v>1</v>
      </c>
      <c r="W69" s="260">
        <f t="shared" ca="1" si="14"/>
        <v>1</v>
      </c>
      <c r="X69" s="260">
        <f t="shared" ca="1" si="14"/>
        <v>1</v>
      </c>
      <c r="Y69" s="260">
        <f t="shared" ca="1" si="14"/>
        <v>1</v>
      </c>
      <c r="Z69" s="260">
        <f t="shared" ca="1" si="14"/>
        <v>1</v>
      </c>
      <c r="AA69" s="261"/>
    </row>
    <row r="70" spans="1:27" ht="30.75" thickBot="1" x14ac:dyDescent="0.3">
      <c r="A70" s="39" t="s">
        <v>497</v>
      </c>
      <c r="B70" s="365" t="str">
        <f>RIGHT(OTP_conf_main_reg!J33,LEN(OTP_conf_main_reg!J33)-FIND("-",OTP_conf_main_reg!J33,1))</f>
        <v xml:space="preserve"> Regulator does not Start (Enabled by SPI/I2C)</v>
      </c>
      <c r="C70" s="418"/>
      <c r="D70" s="41" t="s">
        <v>501</v>
      </c>
      <c r="E70" s="367" t="str">
        <f>"0x"&amp;BIN2HEX("01"&amp;LEFT(OTP_conf_failsafe_reg!I27,4)&amp;"1")</f>
        <v>0x21</v>
      </c>
      <c r="F70" s="441"/>
      <c r="G70" s="362">
        <f t="shared" si="15"/>
        <v>2.3999999999999995</v>
      </c>
      <c r="H70" s="362">
        <f t="shared" si="19"/>
        <v>12</v>
      </c>
      <c r="I70" s="362">
        <f t="shared" si="19"/>
        <v>5.0999999999999996</v>
      </c>
      <c r="J70" s="362">
        <v>0</v>
      </c>
      <c r="K70" s="362">
        <v>0</v>
      </c>
      <c r="L70" s="362">
        <v>0</v>
      </c>
      <c r="M70" s="362">
        <v>0</v>
      </c>
      <c r="N70" s="362">
        <v>0</v>
      </c>
      <c r="O70" s="362">
        <v>0</v>
      </c>
      <c r="P70" s="362">
        <v>0</v>
      </c>
      <c r="Q70" s="362">
        <v>1.6</v>
      </c>
      <c r="R70" s="362">
        <f t="shared" ca="1" si="11"/>
        <v>0</v>
      </c>
      <c r="S70" s="362">
        <f t="shared" ca="1" si="12"/>
        <v>0</v>
      </c>
      <c r="T70" s="323">
        <f t="shared" ca="1" si="16"/>
        <v>0</v>
      </c>
      <c r="U70" s="260">
        <f t="shared" ca="1" si="14"/>
        <v>1</v>
      </c>
      <c r="V70" s="260">
        <f t="shared" ca="1" si="14"/>
        <v>1</v>
      </c>
      <c r="W70" s="260">
        <f t="shared" ca="1" si="14"/>
        <v>1</v>
      </c>
      <c r="X70" s="260">
        <f t="shared" ca="1" si="14"/>
        <v>1</v>
      </c>
      <c r="Y70" s="260">
        <f t="shared" ca="1" si="14"/>
        <v>1</v>
      </c>
      <c r="Z70" s="260">
        <f t="shared" ca="1" si="14"/>
        <v>1</v>
      </c>
      <c r="AA70" s="261"/>
    </row>
    <row r="71" spans="1:27" x14ac:dyDescent="0.25">
      <c r="A71" s="420" t="s">
        <v>17</v>
      </c>
      <c r="B71" s="421"/>
      <c r="C71" s="418"/>
      <c r="F71" s="261"/>
      <c r="G71" s="362">
        <f t="shared" si="15"/>
        <v>2.4499999999999993</v>
      </c>
      <c r="H71" s="362">
        <f t="shared" si="19"/>
        <v>12</v>
      </c>
      <c r="I71" s="362">
        <f t="shared" si="19"/>
        <v>5.0999999999999996</v>
      </c>
      <c r="J71" s="362">
        <v>0</v>
      </c>
      <c r="K71" s="362">
        <v>0</v>
      </c>
      <c r="L71" s="362">
        <v>0</v>
      </c>
      <c r="M71" s="362">
        <v>0</v>
      </c>
      <c r="N71" s="362">
        <v>0</v>
      </c>
      <c r="O71" s="362">
        <v>0</v>
      </c>
      <c r="P71" s="362">
        <v>0</v>
      </c>
      <c r="Q71" s="362">
        <v>1.6</v>
      </c>
      <c r="R71" s="362">
        <f t="shared" ca="1" si="11"/>
        <v>0</v>
      </c>
      <c r="S71" s="362">
        <f t="shared" ca="1" si="12"/>
        <v>0</v>
      </c>
      <c r="T71" s="323">
        <f t="shared" ca="1" si="16"/>
        <v>0</v>
      </c>
      <c r="U71" s="260">
        <f t="shared" ca="1" si="14"/>
        <v>1</v>
      </c>
      <c r="V71" s="260">
        <f t="shared" ca="1" si="14"/>
        <v>1</v>
      </c>
      <c r="W71" s="260">
        <f t="shared" ca="1" si="14"/>
        <v>1</v>
      </c>
      <c r="X71" s="260">
        <f t="shared" ca="1" si="14"/>
        <v>1</v>
      </c>
      <c r="Y71" s="260">
        <f t="shared" ca="1" si="14"/>
        <v>1</v>
      </c>
      <c r="Z71" s="260">
        <f t="shared" ca="1" si="14"/>
        <v>1</v>
      </c>
      <c r="AA71" s="261"/>
    </row>
    <row r="72" spans="1:27" x14ac:dyDescent="0.25">
      <c r="A72" s="39" t="s">
        <v>475</v>
      </c>
      <c r="B72" s="364" t="str">
        <f>RIGHT(OTP_conf_main_reg!F29,LEN(OTP_conf_main_reg!F29)-FIND("-",OTP_conf_main_reg!F29,1))</f>
        <v xml:space="preserve"> 3.3V</v>
      </c>
      <c r="C72" s="418"/>
      <c r="F72" s="261"/>
      <c r="G72" s="362">
        <f t="shared" si="15"/>
        <v>2.4999999999999991</v>
      </c>
      <c r="H72" s="362">
        <f t="shared" si="19"/>
        <v>12</v>
      </c>
      <c r="I72" s="362">
        <f t="shared" si="19"/>
        <v>5.0999999999999996</v>
      </c>
      <c r="J72" s="362">
        <v>0</v>
      </c>
      <c r="K72" s="362">
        <v>0</v>
      </c>
      <c r="L72" s="362">
        <v>0</v>
      </c>
      <c r="M72" s="362">
        <v>0</v>
      </c>
      <c r="N72" s="362">
        <v>0</v>
      </c>
      <c r="O72" s="362">
        <v>0</v>
      </c>
      <c r="P72" s="362">
        <v>0</v>
      </c>
      <c r="Q72" s="362">
        <v>1.6</v>
      </c>
      <c r="R72" s="362">
        <f t="shared" ca="1" si="11"/>
        <v>0</v>
      </c>
      <c r="S72" s="362">
        <f t="shared" ca="1" si="12"/>
        <v>0</v>
      </c>
      <c r="T72" s="323">
        <f t="shared" ca="1" si="16"/>
        <v>0</v>
      </c>
      <c r="U72" s="260">
        <f t="shared" ca="1" si="14"/>
        <v>1</v>
      </c>
      <c r="V72" s="260">
        <f t="shared" ca="1" si="14"/>
        <v>1</v>
      </c>
      <c r="W72" s="260">
        <f t="shared" ca="1" si="14"/>
        <v>1</v>
      </c>
      <c r="X72" s="260">
        <f t="shared" ca="1" si="14"/>
        <v>1</v>
      </c>
      <c r="Y72" s="260">
        <f t="shared" ca="1" si="14"/>
        <v>1</v>
      </c>
      <c r="Z72" s="260">
        <f t="shared" ca="1" si="14"/>
        <v>1</v>
      </c>
      <c r="AA72" s="261"/>
    </row>
    <row r="73" spans="1:27" x14ac:dyDescent="0.25">
      <c r="A73" s="39" t="s">
        <v>477</v>
      </c>
      <c r="B73" s="364" t="str">
        <f>RIGHT(OTP_conf_main_reg!E29,LEN(OTP_conf_main_reg!E29)-FIND("-",OTP_conf_main_reg!E29,1))</f>
        <v xml:space="preserve"> 150mA</v>
      </c>
      <c r="C73" s="418"/>
      <c r="F73" s="261"/>
      <c r="G73" s="362">
        <f t="shared" si="15"/>
        <v>2.5499999999999989</v>
      </c>
      <c r="H73" s="362">
        <f t="shared" si="19"/>
        <v>12</v>
      </c>
      <c r="I73" s="362">
        <f t="shared" si="19"/>
        <v>5.0999999999999996</v>
      </c>
      <c r="J73" s="362">
        <v>0</v>
      </c>
      <c r="K73" s="362">
        <v>0</v>
      </c>
      <c r="L73" s="362">
        <v>0</v>
      </c>
      <c r="M73" s="362">
        <v>0</v>
      </c>
      <c r="N73" s="362">
        <v>0</v>
      </c>
      <c r="O73" s="362">
        <v>0</v>
      </c>
      <c r="P73" s="362">
        <v>0</v>
      </c>
      <c r="Q73" s="362">
        <v>1.6</v>
      </c>
      <c r="R73" s="362">
        <f t="shared" ca="1" si="11"/>
        <v>0</v>
      </c>
      <c r="S73" s="362">
        <f t="shared" ca="1" si="12"/>
        <v>0</v>
      </c>
      <c r="T73" s="323">
        <f t="shared" ca="1" si="16"/>
        <v>0</v>
      </c>
      <c r="U73" s="260">
        <f t="shared" ca="1" si="14"/>
        <v>1</v>
      </c>
      <c r="V73" s="260">
        <f t="shared" ca="1" si="14"/>
        <v>1</v>
      </c>
      <c r="W73" s="260">
        <f t="shared" ca="1" si="14"/>
        <v>1</v>
      </c>
      <c r="X73" s="260">
        <f t="shared" ca="1" si="14"/>
        <v>1</v>
      </c>
      <c r="Y73" s="260">
        <f t="shared" ca="1" si="14"/>
        <v>1</v>
      </c>
      <c r="Z73" s="260">
        <f t="shared" ca="1" si="14"/>
        <v>1</v>
      </c>
      <c r="AA73" s="261"/>
    </row>
    <row r="74" spans="1:27" x14ac:dyDescent="0.25">
      <c r="A74" s="39" t="s">
        <v>496</v>
      </c>
      <c r="B74" s="364" t="str">
        <f>RIGHT(OTP_conf_main_reg!L45,LEN(OTP_conf_main_reg!L45)-FIND("-",OTP_conf_main_reg!L45,1))</f>
        <v xml:space="preserve"> LDO2 Shutdown</v>
      </c>
      <c r="C74" s="418"/>
      <c r="F74" s="261"/>
      <c r="G74" s="362">
        <f t="shared" si="15"/>
        <v>2.5999999999999988</v>
      </c>
      <c r="H74" s="362">
        <f t="shared" ref="H74:H107" si="20">H73</f>
        <v>12</v>
      </c>
      <c r="I74" s="362">
        <f t="shared" ref="I74:I107" si="21">I73</f>
        <v>5.0999999999999996</v>
      </c>
      <c r="J74" s="362">
        <v>0</v>
      </c>
      <c r="K74" s="362">
        <v>0</v>
      </c>
      <c r="L74" s="362">
        <v>0</v>
      </c>
      <c r="M74" s="362">
        <v>0</v>
      </c>
      <c r="N74" s="362">
        <v>0</v>
      </c>
      <c r="O74" s="362">
        <v>0</v>
      </c>
      <c r="P74" s="362">
        <v>0</v>
      </c>
      <c r="Q74" s="362">
        <v>1.6</v>
      </c>
      <c r="R74" s="362">
        <f t="shared" ca="1" si="11"/>
        <v>0</v>
      </c>
      <c r="S74" s="362">
        <f t="shared" ca="1" si="12"/>
        <v>0</v>
      </c>
      <c r="T74" s="323">
        <f t="shared" ca="1" si="16"/>
        <v>0</v>
      </c>
      <c r="U74" s="260">
        <f t="shared" ca="1" si="14"/>
        <v>1</v>
      </c>
      <c r="V74" s="260">
        <f t="shared" ca="1" si="14"/>
        <v>1</v>
      </c>
      <c r="W74" s="260">
        <f t="shared" ca="1" si="14"/>
        <v>1</v>
      </c>
      <c r="X74" s="260">
        <f t="shared" ca="1" si="14"/>
        <v>1</v>
      </c>
      <c r="Y74" s="260">
        <f t="shared" ca="1" si="14"/>
        <v>1</v>
      </c>
      <c r="Z74" s="260">
        <f t="shared" ca="1" si="14"/>
        <v>1</v>
      </c>
      <c r="AA74" s="261"/>
    </row>
    <row r="75" spans="1:27" ht="30" x14ac:dyDescent="0.25">
      <c r="A75" s="39" t="s">
        <v>497</v>
      </c>
      <c r="B75" s="365" t="str">
        <f>RIGHT(OTP_conf_main_reg!G33,LEN(OTP_conf_main_reg!G33)-FIND("-",OTP_conf_main_reg!G33,1))</f>
        <v xml:space="preserve"> Regulator does not Start (Enabled by SPI/I2C)</v>
      </c>
      <c r="C75" s="418"/>
      <c r="F75" s="261"/>
      <c r="G75" s="362">
        <f t="shared" si="15"/>
        <v>2.6499999999999986</v>
      </c>
      <c r="H75" s="362">
        <f t="shared" si="20"/>
        <v>12</v>
      </c>
      <c r="I75" s="362">
        <f t="shared" si="21"/>
        <v>5.0999999999999996</v>
      </c>
      <c r="J75" s="362">
        <v>0</v>
      </c>
      <c r="K75" s="362">
        <v>0</v>
      </c>
      <c r="L75" s="362">
        <v>0</v>
      </c>
      <c r="M75" s="362">
        <v>0</v>
      </c>
      <c r="N75" s="362">
        <v>0</v>
      </c>
      <c r="O75" s="362">
        <v>0</v>
      </c>
      <c r="P75" s="362">
        <v>0</v>
      </c>
      <c r="Q75" s="362">
        <v>1.6</v>
      </c>
      <c r="R75" s="362">
        <f t="shared" ca="1" si="11"/>
        <v>0</v>
      </c>
      <c r="S75" s="362">
        <f t="shared" ca="1" si="12"/>
        <v>0</v>
      </c>
      <c r="T75" s="323">
        <f t="shared" ca="1" si="16"/>
        <v>0</v>
      </c>
      <c r="U75" s="260">
        <f t="shared" ca="1" si="14"/>
        <v>1</v>
      </c>
      <c r="V75" s="260">
        <f t="shared" ca="1" si="14"/>
        <v>1</v>
      </c>
      <c r="W75" s="260">
        <f t="shared" ca="1" si="14"/>
        <v>1</v>
      </c>
      <c r="X75" s="260">
        <f t="shared" ca="1" si="14"/>
        <v>1</v>
      </c>
      <c r="Y75" s="260">
        <f t="shared" ca="1" si="14"/>
        <v>1</v>
      </c>
      <c r="Z75" s="260">
        <f t="shared" ca="1" si="14"/>
        <v>1</v>
      </c>
      <c r="AA75" s="261"/>
    </row>
    <row r="76" spans="1:27" x14ac:dyDescent="0.25">
      <c r="A76" s="420" t="s">
        <v>500</v>
      </c>
      <c r="B76" s="421"/>
      <c r="C76" s="418"/>
      <c r="F76" s="261"/>
      <c r="G76" s="362">
        <f t="shared" si="15"/>
        <v>2.6999999999999984</v>
      </c>
      <c r="H76" s="362">
        <f t="shared" si="20"/>
        <v>12</v>
      </c>
      <c r="I76" s="362">
        <f t="shared" si="21"/>
        <v>5.0999999999999996</v>
      </c>
      <c r="J76" s="362">
        <v>0</v>
      </c>
      <c r="K76" s="362">
        <v>0</v>
      </c>
      <c r="L76" s="362">
        <v>0</v>
      </c>
      <c r="M76" s="362">
        <v>0</v>
      </c>
      <c r="N76" s="362">
        <v>0</v>
      </c>
      <c r="O76" s="362">
        <v>0</v>
      </c>
      <c r="P76" s="362">
        <v>0</v>
      </c>
      <c r="Q76" s="362">
        <v>1.6</v>
      </c>
      <c r="R76" s="362">
        <f t="shared" ca="1" si="11"/>
        <v>0</v>
      </c>
      <c r="S76" s="362">
        <f t="shared" ca="1" si="12"/>
        <v>0</v>
      </c>
      <c r="T76" s="323">
        <f t="shared" ca="1" si="16"/>
        <v>0</v>
      </c>
      <c r="U76" s="260">
        <f t="shared" ca="1" si="14"/>
        <v>1</v>
      </c>
      <c r="V76" s="260">
        <f t="shared" ca="1" si="14"/>
        <v>1</v>
      </c>
      <c r="W76" s="260">
        <f t="shared" ca="1" si="14"/>
        <v>1</v>
      </c>
      <c r="X76" s="260">
        <f t="shared" ca="1" si="14"/>
        <v>1</v>
      </c>
      <c r="Y76" s="260">
        <f t="shared" ca="1" si="14"/>
        <v>1</v>
      </c>
      <c r="Z76" s="260">
        <f t="shared" ca="1" si="14"/>
        <v>1</v>
      </c>
      <c r="AA76" s="261"/>
    </row>
    <row r="77" spans="1:27" x14ac:dyDescent="0.25">
      <c r="A77" s="39" t="s">
        <v>823</v>
      </c>
      <c r="B77" s="364" t="str">
        <f>RIGHT(OTP_conf_main_reg!I35,LEN(OTP_conf_main_reg!I35)-FIND("-",OTP_conf_main_reg!I35,1))</f>
        <v xml:space="preserve"> 250µs</v>
      </c>
      <c r="C77" s="418"/>
      <c r="F77" s="261"/>
      <c r="G77" s="362">
        <f t="shared" si="15"/>
        <v>2.7499999999999982</v>
      </c>
      <c r="H77" s="362">
        <f t="shared" si="20"/>
        <v>12</v>
      </c>
      <c r="I77" s="362">
        <f t="shared" si="21"/>
        <v>5.0999999999999996</v>
      </c>
      <c r="J77" s="362">
        <v>0</v>
      </c>
      <c r="K77" s="362">
        <v>0</v>
      </c>
      <c r="L77" s="362">
        <v>0</v>
      </c>
      <c r="M77" s="362">
        <v>0</v>
      </c>
      <c r="N77" s="362">
        <v>0</v>
      </c>
      <c r="O77" s="362">
        <v>0</v>
      </c>
      <c r="P77" s="362">
        <v>0</v>
      </c>
      <c r="Q77" s="362">
        <v>1.6</v>
      </c>
      <c r="R77" s="362">
        <f t="shared" ca="1" si="11"/>
        <v>0</v>
      </c>
      <c r="S77" s="362">
        <f t="shared" ca="1" si="12"/>
        <v>0</v>
      </c>
      <c r="T77" s="323">
        <f t="shared" ca="1" si="16"/>
        <v>0</v>
      </c>
      <c r="U77" s="260">
        <f t="shared" ca="1" si="14"/>
        <v>1</v>
      </c>
      <c r="V77" s="260">
        <f t="shared" ca="1" si="14"/>
        <v>1</v>
      </c>
      <c r="W77" s="260">
        <f t="shared" ca="1" si="14"/>
        <v>1</v>
      </c>
      <c r="X77" s="260">
        <f t="shared" ca="1" si="14"/>
        <v>1</v>
      </c>
      <c r="Y77" s="260">
        <f t="shared" ca="1" si="14"/>
        <v>1</v>
      </c>
      <c r="Z77" s="260">
        <f t="shared" ca="1" si="14"/>
        <v>1</v>
      </c>
      <c r="AA77" s="261"/>
    </row>
    <row r="78" spans="1:27" x14ac:dyDescent="0.25">
      <c r="A78" s="39" t="s">
        <v>499</v>
      </c>
      <c r="B78" s="364" t="str">
        <f>IF(OTP_conf_main_reg!L47="1 - Enabled",RIGHT(OTP_conf_main_reg!K47,LEN(OTP_conf_main_reg!K47)-FIND("-",OTP_conf_main_reg!K47,1)),"Disabled")</f>
        <v>Disabled</v>
      </c>
      <c r="C78" s="418"/>
      <c r="F78" s="261"/>
      <c r="G78" s="362">
        <f t="shared" si="15"/>
        <v>2.799999999999998</v>
      </c>
      <c r="H78" s="362">
        <f t="shared" si="20"/>
        <v>12</v>
      </c>
      <c r="I78" s="362">
        <f t="shared" si="21"/>
        <v>5.0999999999999996</v>
      </c>
      <c r="J78" s="362">
        <v>0</v>
      </c>
      <c r="K78" s="362">
        <v>0</v>
      </c>
      <c r="L78" s="362">
        <v>0</v>
      </c>
      <c r="M78" s="362">
        <v>0</v>
      </c>
      <c r="N78" s="362">
        <v>0</v>
      </c>
      <c r="O78" s="362">
        <v>0</v>
      </c>
      <c r="P78" s="362">
        <v>0</v>
      </c>
      <c r="Q78" s="362">
        <v>1.6</v>
      </c>
      <c r="R78" s="362">
        <f t="shared" ca="1" si="11"/>
        <v>0</v>
      </c>
      <c r="S78" s="362">
        <f t="shared" ca="1" si="12"/>
        <v>0</v>
      </c>
      <c r="T78" s="323">
        <f t="shared" ca="1" si="16"/>
        <v>0</v>
      </c>
      <c r="U78" s="260">
        <f t="shared" ref="U78:Z120" ca="1" si="22">IF(OR(U$17="ABIST1_No",COUNTIF($V$2,U$18)),1,IF(AND(U$19&lt;&gt;0,OFFSET($I78,0,MATCH(U$18,$J$21:$P$21,0))=U$19),1,0))</f>
        <v>1</v>
      </c>
      <c r="V78" s="260">
        <f t="shared" ca="1" si="22"/>
        <v>1</v>
      </c>
      <c r="W78" s="260">
        <f t="shared" ca="1" si="22"/>
        <v>1</v>
      </c>
      <c r="X78" s="260">
        <f t="shared" ca="1" si="22"/>
        <v>1</v>
      </c>
      <c r="Y78" s="260">
        <f t="shared" ca="1" si="22"/>
        <v>1</v>
      </c>
      <c r="Z78" s="260">
        <f t="shared" ca="1" si="22"/>
        <v>1</v>
      </c>
      <c r="AA78" s="261"/>
    </row>
    <row r="79" spans="1:27" x14ac:dyDescent="0.25">
      <c r="A79" s="39" t="s">
        <v>563</v>
      </c>
      <c r="B79" s="364" t="str">
        <f>IF(RIGHT(OTP_conf_main_reg!J43,LEN(OTP_conf_main_reg!J43)-FIND("-",OTP_conf_main_reg!J43,1))=" enabled", "Yes","No")</f>
        <v>No</v>
      </c>
      <c r="C79" s="418"/>
      <c r="F79" s="261"/>
      <c r="G79" s="362">
        <f t="shared" si="15"/>
        <v>2.8499999999999979</v>
      </c>
      <c r="H79" s="362">
        <f t="shared" si="20"/>
        <v>12</v>
      </c>
      <c r="I79" s="362">
        <f t="shared" si="21"/>
        <v>5.0999999999999996</v>
      </c>
      <c r="J79" s="362">
        <v>0</v>
      </c>
      <c r="K79" s="362">
        <v>0</v>
      </c>
      <c r="L79" s="362">
        <v>0</v>
      </c>
      <c r="M79" s="362">
        <v>0</v>
      </c>
      <c r="N79" s="362">
        <v>0</v>
      </c>
      <c r="O79" s="362">
        <v>0</v>
      </c>
      <c r="P79" s="362">
        <v>0</v>
      </c>
      <c r="Q79" s="362">
        <v>1.6</v>
      </c>
      <c r="R79" s="362">
        <f t="shared" ca="1" si="11"/>
        <v>0</v>
      </c>
      <c r="S79" s="362">
        <f t="shared" ca="1" si="12"/>
        <v>0</v>
      </c>
      <c r="T79" s="323">
        <f t="shared" ca="1" si="16"/>
        <v>0</v>
      </c>
      <c r="U79" s="260">
        <f t="shared" ca="1" si="22"/>
        <v>1</v>
      </c>
      <c r="V79" s="260">
        <f t="shared" ca="1" si="22"/>
        <v>1</v>
      </c>
      <c r="W79" s="260">
        <f t="shared" ca="1" si="22"/>
        <v>1</v>
      </c>
      <c r="X79" s="260">
        <f t="shared" ca="1" si="22"/>
        <v>1</v>
      </c>
      <c r="Y79" s="260">
        <f t="shared" ca="1" si="22"/>
        <v>1</v>
      </c>
      <c r="Z79" s="260">
        <f t="shared" ca="1" si="22"/>
        <v>1</v>
      </c>
      <c r="AA79" s="261"/>
    </row>
    <row r="80" spans="1:27" x14ac:dyDescent="0.25">
      <c r="A80" s="39" t="s">
        <v>520</v>
      </c>
      <c r="B80" s="364" t="str">
        <f>IF(OTP_conf_main_reg!J47="1 - Enabled",IF(OTP_conf_main_reg!I47="1 - Enabled","Infinite","x15"),"Disabled")</f>
        <v>Disabled</v>
      </c>
      <c r="C80" s="418"/>
      <c r="G80" s="362">
        <f t="shared" si="15"/>
        <v>2.8999999999999977</v>
      </c>
      <c r="H80" s="362">
        <f t="shared" si="20"/>
        <v>12</v>
      </c>
      <c r="I80" s="362">
        <f t="shared" si="21"/>
        <v>5.0999999999999996</v>
      </c>
      <c r="J80" s="362">
        <v>0</v>
      </c>
      <c r="K80" s="362">
        <v>0</v>
      </c>
      <c r="L80" s="362">
        <v>0</v>
      </c>
      <c r="M80" s="362">
        <v>0</v>
      </c>
      <c r="N80" s="362">
        <v>0</v>
      </c>
      <c r="O80" s="362">
        <v>0</v>
      </c>
      <c r="P80" s="362">
        <v>0</v>
      </c>
      <c r="Q80" s="362">
        <v>1.6</v>
      </c>
      <c r="R80" s="362">
        <f t="shared" ca="1" si="11"/>
        <v>0</v>
      </c>
      <c r="S80" s="362">
        <f t="shared" ca="1" si="12"/>
        <v>0</v>
      </c>
      <c r="T80" s="323">
        <f t="shared" ca="1" si="16"/>
        <v>0</v>
      </c>
      <c r="U80" s="260">
        <f t="shared" ca="1" si="22"/>
        <v>1</v>
      </c>
      <c r="V80" s="260">
        <f t="shared" ca="1" si="22"/>
        <v>1</v>
      </c>
      <c r="W80" s="260">
        <f t="shared" ca="1" si="22"/>
        <v>1</v>
      </c>
      <c r="X80" s="260">
        <f t="shared" ca="1" si="22"/>
        <v>1</v>
      </c>
      <c r="Y80" s="260">
        <f t="shared" ca="1" si="22"/>
        <v>1</v>
      </c>
      <c r="Z80" s="260">
        <f t="shared" ca="1" si="22"/>
        <v>1</v>
      </c>
    </row>
    <row r="81" spans="1:26" x14ac:dyDescent="0.25">
      <c r="A81" s="39" t="s">
        <v>503</v>
      </c>
      <c r="B81" s="364" t="str">
        <f>RIGHT(OTP_conf_main_reg!L49,LEN(OTP_conf_main_reg!L49)-FIND("-",OTP_conf_main_reg!L49,1))</f>
        <v xml:space="preserve"> 4.9V for Vpre &lt; 4.5V</v>
      </c>
      <c r="C81" s="418"/>
      <c r="G81" s="362">
        <f t="shared" si="15"/>
        <v>2.9499999999999975</v>
      </c>
      <c r="H81" s="362">
        <f t="shared" si="20"/>
        <v>12</v>
      </c>
      <c r="I81" s="362">
        <f t="shared" si="21"/>
        <v>5.0999999999999996</v>
      </c>
      <c r="J81" s="362">
        <v>0</v>
      </c>
      <c r="K81" s="362">
        <v>0</v>
      </c>
      <c r="L81" s="362">
        <v>0</v>
      </c>
      <c r="M81" s="362">
        <v>0</v>
      </c>
      <c r="N81" s="362">
        <v>0</v>
      </c>
      <c r="O81" s="362">
        <v>0</v>
      </c>
      <c r="P81" s="362">
        <v>0</v>
      </c>
      <c r="Q81" s="362">
        <v>1.6</v>
      </c>
      <c r="R81" s="362">
        <f t="shared" ca="1" si="11"/>
        <v>0</v>
      </c>
      <c r="S81" s="362">
        <f t="shared" ca="1" si="12"/>
        <v>0</v>
      </c>
      <c r="T81" s="323">
        <f t="shared" ca="1" si="16"/>
        <v>0</v>
      </c>
      <c r="U81" s="260">
        <f t="shared" ca="1" si="22"/>
        <v>1</v>
      </c>
      <c r="V81" s="260">
        <f t="shared" ca="1" si="22"/>
        <v>1</v>
      </c>
      <c r="W81" s="260">
        <f t="shared" ca="1" si="22"/>
        <v>1</v>
      </c>
      <c r="X81" s="260">
        <f t="shared" ca="1" si="22"/>
        <v>1</v>
      </c>
      <c r="Y81" s="260">
        <f t="shared" ca="1" si="22"/>
        <v>1</v>
      </c>
      <c r="Z81" s="260">
        <f t="shared" ca="1" si="22"/>
        <v>1</v>
      </c>
    </row>
    <row r="82" spans="1:26" x14ac:dyDescent="0.25">
      <c r="A82" s="39" t="s">
        <v>295</v>
      </c>
      <c r="B82" s="364" t="str">
        <f>RIGHT(OTP_conf_main_reg!J53,LEN(OTP_conf_main_reg!J53)-6)</f>
        <v>VPRE</v>
      </c>
      <c r="C82" s="418"/>
      <c r="G82" s="362">
        <f t="shared" si="15"/>
        <v>2.9999999999999973</v>
      </c>
      <c r="H82" s="362">
        <f t="shared" si="20"/>
        <v>12</v>
      </c>
      <c r="I82" s="362">
        <f t="shared" si="21"/>
        <v>5.0999999999999996</v>
      </c>
      <c r="J82" s="362">
        <v>0</v>
      </c>
      <c r="K82" s="362">
        <v>0</v>
      </c>
      <c r="L82" s="362">
        <v>0</v>
      </c>
      <c r="M82" s="362">
        <v>0</v>
      </c>
      <c r="N82" s="362">
        <v>0</v>
      </c>
      <c r="O82" s="362">
        <v>0</v>
      </c>
      <c r="P82" s="362">
        <v>0</v>
      </c>
      <c r="Q82" s="362">
        <v>1.6</v>
      </c>
      <c r="R82" s="362">
        <f t="shared" ca="1" si="11"/>
        <v>0</v>
      </c>
      <c r="S82" s="362">
        <f t="shared" ca="1" si="12"/>
        <v>0</v>
      </c>
      <c r="T82" s="323">
        <f t="shared" ca="1" si="16"/>
        <v>0</v>
      </c>
      <c r="U82" s="260">
        <f t="shared" ca="1" si="22"/>
        <v>1</v>
      </c>
      <c r="V82" s="260">
        <f t="shared" ca="1" si="22"/>
        <v>1</v>
      </c>
      <c r="W82" s="260">
        <f t="shared" ca="1" si="22"/>
        <v>1</v>
      </c>
      <c r="X82" s="260">
        <f t="shared" ca="1" si="22"/>
        <v>1</v>
      </c>
      <c r="Y82" s="260">
        <f t="shared" ca="1" si="22"/>
        <v>1</v>
      </c>
      <c r="Z82" s="260">
        <f t="shared" ca="1" si="22"/>
        <v>1</v>
      </c>
    </row>
    <row r="83" spans="1:26" x14ac:dyDescent="0.25">
      <c r="A83" s="39" t="s">
        <v>501</v>
      </c>
      <c r="B83" s="364" t="str">
        <f>"0x"&amp;BIN2HEX("01"&amp;LEFT(OTP_conf_main_reg!I51,4)&amp;"0")</f>
        <v>0x20</v>
      </c>
      <c r="C83" s="418"/>
      <c r="G83" s="362">
        <f t="shared" si="15"/>
        <v>3.0499999999999972</v>
      </c>
      <c r="H83" s="362">
        <f t="shared" si="20"/>
        <v>12</v>
      </c>
      <c r="I83" s="362">
        <f t="shared" si="21"/>
        <v>5.0999999999999996</v>
      </c>
      <c r="J83" s="362">
        <v>0</v>
      </c>
      <c r="K83" s="362">
        <v>0</v>
      </c>
      <c r="L83" s="362">
        <v>0</v>
      </c>
      <c r="M83" s="362">
        <v>0</v>
      </c>
      <c r="N83" s="362">
        <v>0</v>
      </c>
      <c r="O83" s="362">
        <v>0</v>
      </c>
      <c r="P83" s="362">
        <v>0</v>
      </c>
      <c r="Q83" s="362">
        <v>1.6</v>
      </c>
      <c r="R83" s="362">
        <f t="shared" ca="1" si="11"/>
        <v>0</v>
      </c>
      <c r="S83" s="362">
        <f t="shared" ca="1" si="12"/>
        <v>0</v>
      </c>
      <c r="T83" s="323">
        <f t="shared" ca="1" si="16"/>
        <v>0</v>
      </c>
      <c r="U83" s="260">
        <f t="shared" ca="1" si="22"/>
        <v>1</v>
      </c>
      <c r="V83" s="260">
        <f t="shared" ca="1" si="22"/>
        <v>1</v>
      </c>
      <c r="W83" s="260">
        <f t="shared" ca="1" si="22"/>
        <v>1</v>
      </c>
      <c r="X83" s="260">
        <f t="shared" ca="1" si="22"/>
        <v>1</v>
      </c>
      <c r="Y83" s="260">
        <f t="shared" ca="1" si="22"/>
        <v>1</v>
      </c>
      <c r="Z83" s="260">
        <f t="shared" ca="1" si="22"/>
        <v>1</v>
      </c>
    </row>
    <row r="84" spans="1:26" ht="15.75" thickBot="1" x14ac:dyDescent="0.3">
      <c r="A84" s="40" t="s">
        <v>502</v>
      </c>
      <c r="B84" s="366" t="str">
        <f>OTP_conf_main_reg!E55</f>
        <v>00000001</v>
      </c>
      <c r="C84" s="419"/>
      <c r="G84" s="362">
        <f t="shared" si="15"/>
        <v>3.099999999999997</v>
      </c>
      <c r="H84" s="362">
        <f t="shared" si="20"/>
        <v>12</v>
      </c>
      <c r="I84" s="362">
        <f t="shared" si="21"/>
        <v>5.0999999999999996</v>
      </c>
      <c r="J84" s="362">
        <v>0</v>
      </c>
      <c r="K84" s="362">
        <v>0</v>
      </c>
      <c r="L84" s="362">
        <v>0</v>
      </c>
      <c r="M84" s="362">
        <v>0</v>
      </c>
      <c r="N84" s="362">
        <v>0</v>
      </c>
      <c r="O84" s="362">
        <v>0</v>
      </c>
      <c r="P84" s="362">
        <v>0</v>
      </c>
      <c r="Q84" s="362">
        <v>1.6</v>
      </c>
      <c r="R84" s="362">
        <f t="shared" ca="1" si="11"/>
        <v>0</v>
      </c>
      <c r="S84" s="362">
        <f t="shared" ca="1" si="12"/>
        <v>0</v>
      </c>
      <c r="T84" s="323">
        <f t="shared" ca="1" si="16"/>
        <v>0</v>
      </c>
      <c r="U84" s="260">
        <f t="shared" ca="1" si="22"/>
        <v>1</v>
      </c>
      <c r="V84" s="260">
        <f t="shared" ca="1" si="22"/>
        <v>1</v>
      </c>
      <c r="W84" s="260">
        <f t="shared" ca="1" si="22"/>
        <v>1</v>
      </c>
      <c r="X84" s="260">
        <f t="shared" ca="1" si="22"/>
        <v>1</v>
      </c>
      <c r="Y84" s="260">
        <f t="shared" ca="1" si="22"/>
        <v>1</v>
      </c>
      <c r="Z84" s="260">
        <f t="shared" ca="1" si="22"/>
        <v>1</v>
      </c>
    </row>
    <row r="85" spans="1:26" x14ac:dyDescent="0.25">
      <c r="G85" s="362">
        <f t="shared" si="15"/>
        <v>3.1499999999999968</v>
      </c>
      <c r="H85" s="362">
        <f t="shared" si="20"/>
        <v>12</v>
      </c>
      <c r="I85" s="362">
        <f t="shared" si="21"/>
        <v>5.0999999999999996</v>
      </c>
      <c r="J85" s="362">
        <v>0</v>
      </c>
      <c r="K85" s="362">
        <v>0</v>
      </c>
      <c r="L85" s="362">
        <v>0</v>
      </c>
      <c r="M85" s="362">
        <v>0</v>
      </c>
      <c r="N85" s="362">
        <v>0</v>
      </c>
      <c r="O85" s="362">
        <v>0</v>
      </c>
      <c r="P85" s="362">
        <v>0</v>
      </c>
      <c r="Q85" s="362">
        <v>1.6</v>
      </c>
      <c r="R85" s="362">
        <f t="shared" ca="1" si="11"/>
        <v>0</v>
      </c>
      <c r="S85" s="362">
        <f t="shared" ca="1" si="12"/>
        <v>0</v>
      </c>
      <c r="T85" s="323">
        <f t="shared" ca="1" si="16"/>
        <v>0</v>
      </c>
      <c r="U85" s="260">
        <f t="shared" ca="1" si="22"/>
        <v>1</v>
      </c>
      <c r="V85" s="260">
        <f t="shared" ca="1" si="22"/>
        <v>1</v>
      </c>
      <c r="W85" s="260">
        <f t="shared" ca="1" si="22"/>
        <v>1</v>
      </c>
      <c r="X85" s="260">
        <f t="shared" ca="1" si="22"/>
        <v>1</v>
      </c>
      <c r="Y85" s="260">
        <f t="shared" ca="1" si="22"/>
        <v>1</v>
      </c>
      <c r="Z85" s="260">
        <f t="shared" ca="1" si="22"/>
        <v>1</v>
      </c>
    </row>
    <row r="86" spans="1:26" x14ac:dyDescent="0.25">
      <c r="G86" s="362">
        <f t="shared" si="15"/>
        <v>3.1999999999999966</v>
      </c>
      <c r="H86" s="362">
        <f t="shared" si="20"/>
        <v>12</v>
      </c>
      <c r="I86" s="362">
        <f t="shared" si="21"/>
        <v>5.0999999999999996</v>
      </c>
      <c r="J86" s="362">
        <v>0</v>
      </c>
      <c r="K86" s="362">
        <v>0</v>
      </c>
      <c r="L86" s="362">
        <v>0</v>
      </c>
      <c r="M86" s="362">
        <v>0</v>
      </c>
      <c r="N86" s="362">
        <v>0</v>
      </c>
      <c r="O86" s="362">
        <v>0</v>
      </c>
      <c r="P86" s="362">
        <v>0</v>
      </c>
      <c r="Q86" s="362">
        <v>1.6</v>
      </c>
      <c r="R86" s="362">
        <f t="shared" ref="R86:R149" ca="1" si="23">IF(T86&gt;0.2+$AF$12/6+$H$1,vRST,0)</f>
        <v>0</v>
      </c>
      <c r="S86" s="362">
        <f t="shared" ref="S86:S149" ca="1" si="24">IF(AND(T86&gt;0,T86&lt;0.2+$AF$12/6),vABIST,0)</f>
        <v>0</v>
      </c>
      <c r="T86" s="323">
        <f t="shared" ca="1" si="16"/>
        <v>0</v>
      </c>
      <c r="U86" s="260">
        <f t="shared" ca="1" si="22"/>
        <v>1</v>
      </c>
      <c r="V86" s="260">
        <f t="shared" ca="1" si="22"/>
        <v>1</v>
      </c>
      <c r="W86" s="260">
        <f t="shared" ca="1" si="22"/>
        <v>1</v>
      </c>
      <c r="X86" s="260">
        <f t="shared" ca="1" si="22"/>
        <v>1</v>
      </c>
      <c r="Y86" s="260">
        <f t="shared" ca="1" si="22"/>
        <v>1</v>
      </c>
      <c r="Z86" s="260">
        <f t="shared" ca="1" si="22"/>
        <v>1</v>
      </c>
    </row>
    <row r="87" spans="1:26" x14ac:dyDescent="0.25">
      <c r="G87" s="362">
        <f t="shared" si="15"/>
        <v>3.2499999999999964</v>
      </c>
      <c r="H87" s="362">
        <f t="shared" si="20"/>
        <v>12</v>
      </c>
      <c r="I87" s="362">
        <f t="shared" si="21"/>
        <v>5.0999999999999996</v>
      </c>
      <c r="J87" s="362">
        <v>0</v>
      </c>
      <c r="K87" s="362">
        <v>0</v>
      </c>
      <c r="L87" s="362">
        <v>0</v>
      </c>
      <c r="M87" s="362">
        <v>0</v>
      </c>
      <c r="N87" s="362">
        <v>0</v>
      </c>
      <c r="O87" s="362">
        <v>0</v>
      </c>
      <c r="P87" s="362">
        <v>0</v>
      </c>
      <c r="Q87" s="362">
        <v>1.6</v>
      </c>
      <c r="R87" s="362">
        <f t="shared" ca="1" si="23"/>
        <v>0</v>
      </c>
      <c r="S87" s="362">
        <f t="shared" ca="1" si="24"/>
        <v>0</v>
      </c>
      <c r="T87" s="323">
        <f t="shared" ca="1" si="16"/>
        <v>0</v>
      </c>
      <c r="U87" s="260">
        <f t="shared" ca="1" si="22"/>
        <v>1</v>
      </c>
      <c r="V87" s="260">
        <f t="shared" ca="1" si="22"/>
        <v>1</v>
      </c>
      <c r="W87" s="260">
        <f t="shared" ca="1" si="22"/>
        <v>1</v>
      </c>
      <c r="X87" s="260">
        <f t="shared" ca="1" si="22"/>
        <v>1</v>
      </c>
      <c r="Y87" s="260">
        <f t="shared" ca="1" si="22"/>
        <v>1</v>
      </c>
      <c r="Z87" s="260">
        <f t="shared" ca="1" si="22"/>
        <v>1</v>
      </c>
    </row>
    <row r="88" spans="1:26" x14ac:dyDescent="0.25">
      <c r="G88" s="362">
        <f t="shared" ref="G88:G90" si="25">G87+0.05</f>
        <v>3.2999999999999963</v>
      </c>
      <c r="H88" s="362">
        <f t="shared" si="20"/>
        <v>12</v>
      </c>
      <c r="I88" s="362">
        <f t="shared" si="21"/>
        <v>5.0999999999999996</v>
      </c>
      <c r="J88" s="362">
        <v>0</v>
      </c>
      <c r="K88" s="362">
        <v>0</v>
      </c>
      <c r="L88" s="362">
        <v>0</v>
      </c>
      <c r="M88" s="362">
        <v>0</v>
      </c>
      <c r="N88" s="362">
        <v>0</v>
      </c>
      <c r="O88" s="362">
        <v>0</v>
      </c>
      <c r="P88" s="362">
        <v>0</v>
      </c>
      <c r="Q88" s="362">
        <v>1.6</v>
      </c>
      <c r="R88" s="362">
        <f t="shared" ca="1" si="23"/>
        <v>0</v>
      </c>
      <c r="S88" s="362">
        <f t="shared" ca="1" si="24"/>
        <v>0</v>
      </c>
      <c r="T88" s="323">
        <f t="shared" ref="T88:T151" ca="1" si="26">T87+IF(INT(AND(U88:Z88,Q87="DONE"))=0,0,G88-G87)</f>
        <v>0</v>
      </c>
      <c r="U88" s="260">
        <f t="shared" ca="1" si="22"/>
        <v>1</v>
      </c>
      <c r="V88" s="260">
        <f t="shared" ca="1" si="22"/>
        <v>1</v>
      </c>
      <c r="W88" s="260">
        <f t="shared" ca="1" si="22"/>
        <v>1</v>
      </c>
      <c r="X88" s="260">
        <f t="shared" ca="1" si="22"/>
        <v>1</v>
      </c>
      <c r="Y88" s="260">
        <f t="shared" ca="1" si="22"/>
        <v>1</v>
      </c>
      <c r="Z88" s="260">
        <f t="shared" ca="1" si="22"/>
        <v>1</v>
      </c>
    </row>
    <row r="89" spans="1:26" x14ac:dyDescent="0.25">
      <c r="G89" s="362">
        <f t="shared" si="25"/>
        <v>3.3499999999999961</v>
      </c>
      <c r="H89" s="362">
        <f t="shared" si="20"/>
        <v>12</v>
      </c>
      <c r="I89" s="362">
        <f t="shared" si="21"/>
        <v>5.0999999999999996</v>
      </c>
      <c r="J89" s="362">
        <v>0</v>
      </c>
      <c r="K89" s="362">
        <v>0</v>
      </c>
      <c r="L89" s="362">
        <v>0</v>
      </c>
      <c r="M89" s="362">
        <v>0</v>
      </c>
      <c r="N89" s="362">
        <v>0</v>
      </c>
      <c r="O89" s="362">
        <v>0</v>
      </c>
      <c r="P89" s="362">
        <v>0</v>
      </c>
      <c r="Q89" s="362">
        <v>1.6</v>
      </c>
      <c r="R89" s="362">
        <f t="shared" ca="1" si="23"/>
        <v>0</v>
      </c>
      <c r="S89" s="362">
        <f t="shared" ca="1" si="24"/>
        <v>0</v>
      </c>
      <c r="T89" s="323">
        <f t="shared" ca="1" si="26"/>
        <v>0</v>
      </c>
      <c r="U89" s="260">
        <f t="shared" ca="1" si="22"/>
        <v>1</v>
      </c>
      <c r="V89" s="260">
        <f t="shared" ca="1" si="22"/>
        <v>1</v>
      </c>
      <c r="W89" s="260">
        <f t="shared" ca="1" si="22"/>
        <v>1</v>
      </c>
      <c r="X89" s="260">
        <f t="shared" ca="1" si="22"/>
        <v>1</v>
      </c>
      <c r="Y89" s="260">
        <f t="shared" ca="1" si="22"/>
        <v>1</v>
      </c>
      <c r="Z89" s="260">
        <f t="shared" ca="1" si="22"/>
        <v>1</v>
      </c>
    </row>
    <row r="90" spans="1:26" x14ac:dyDescent="0.25">
      <c r="G90" s="362">
        <f t="shared" si="25"/>
        <v>3.3999999999999959</v>
      </c>
      <c r="H90" s="362">
        <f t="shared" si="20"/>
        <v>12</v>
      </c>
      <c r="I90" s="362">
        <f t="shared" si="21"/>
        <v>5.0999999999999996</v>
      </c>
      <c r="J90" s="362">
        <v>0</v>
      </c>
      <c r="K90" s="362">
        <v>0</v>
      </c>
      <c r="L90" s="362">
        <v>0</v>
      </c>
      <c r="M90" s="362">
        <v>0</v>
      </c>
      <c r="N90" s="362">
        <v>0</v>
      </c>
      <c r="O90" s="362">
        <v>0</v>
      </c>
      <c r="P90" s="362">
        <v>0</v>
      </c>
      <c r="Q90" s="362">
        <v>1.6</v>
      </c>
      <c r="R90" s="362">
        <f t="shared" ca="1" si="23"/>
        <v>0</v>
      </c>
      <c r="S90" s="362">
        <f t="shared" ca="1" si="24"/>
        <v>0</v>
      </c>
      <c r="T90" s="323">
        <f t="shared" ca="1" si="26"/>
        <v>0</v>
      </c>
      <c r="U90" s="260">
        <f t="shared" ca="1" si="22"/>
        <v>1</v>
      </c>
      <c r="V90" s="260">
        <f t="shared" ca="1" si="22"/>
        <v>1</v>
      </c>
      <c r="W90" s="260">
        <f t="shared" ca="1" si="22"/>
        <v>1</v>
      </c>
      <c r="X90" s="260">
        <f t="shared" ca="1" si="22"/>
        <v>1</v>
      </c>
      <c r="Y90" s="260">
        <f t="shared" ca="1" si="22"/>
        <v>1</v>
      </c>
      <c r="Z90" s="260">
        <f t="shared" ca="1" si="22"/>
        <v>1</v>
      </c>
    </row>
    <row r="91" spans="1:26" x14ac:dyDescent="0.25">
      <c r="G91" s="362">
        <f t="shared" ref="G91:G124" si="27">G90+0.05</f>
        <v>3.4499999999999957</v>
      </c>
      <c r="H91" s="362">
        <f t="shared" si="20"/>
        <v>12</v>
      </c>
      <c r="I91" s="362">
        <f t="shared" si="21"/>
        <v>5.0999999999999996</v>
      </c>
      <c r="J91" s="362">
        <v>0</v>
      </c>
      <c r="K91" s="362">
        <v>0</v>
      </c>
      <c r="L91" s="362">
        <v>0</v>
      </c>
      <c r="M91" s="362">
        <v>0</v>
      </c>
      <c r="N91" s="362">
        <v>0</v>
      </c>
      <c r="O91" s="362">
        <v>0</v>
      </c>
      <c r="P91" s="362">
        <v>0</v>
      </c>
      <c r="Q91" s="362">
        <v>1.6</v>
      </c>
      <c r="R91" s="362">
        <f t="shared" ca="1" si="23"/>
        <v>0</v>
      </c>
      <c r="S91" s="362">
        <f t="shared" ca="1" si="24"/>
        <v>0</v>
      </c>
      <c r="T91" s="323">
        <f t="shared" ca="1" si="26"/>
        <v>0</v>
      </c>
      <c r="U91" s="260">
        <f t="shared" ca="1" si="22"/>
        <v>1</v>
      </c>
      <c r="V91" s="260">
        <f t="shared" ca="1" si="22"/>
        <v>1</v>
      </c>
      <c r="W91" s="260">
        <f t="shared" ca="1" si="22"/>
        <v>1</v>
      </c>
      <c r="X91" s="260">
        <f t="shared" ca="1" si="22"/>
        <v>1</v>
      </c>
      <c r="Y91" s="260">
        <f t="shared" ca="1" si="22"/>
        <v>1</v>
      </c>
      <c r="Z91" s="260">
        <f t="shared" ca="1" si="22"/>
        <v>1</v>
      </c>
    </row>
    <row r="92" spans="1:26" x14ac:dyDescent="0.25">
      <c r="G92" s="362">
        <f t="shared" si="27"/>
        <v>3.4999999999999956</v>
      </c>
      <c r="H92" s="362">
        <f t="shared" si="20"/>
        <v>12</v>
      </c>
      <c r="I92" s="362">
        <f t="shared" si="21"/>
        <v>5.0999999999999996</v>
      </c>
      <c r="J92" s="362">
        <v>0</v>
      </c>
      <c r="K92" s="362">
        <v>0</v>
      </c>
      <c r="L92" s="362">
        <v>0</v>
      </c>
      <c r="M92" s="362">
        <v>0</v>
      </c>
      <c r="N92" s="362">
        <v>0</v>
      </c>
      <c r="O92" s="362">
        <v>0</v>
      </c>
      <c r="P92" s="362">
        <v>0</v>
      </c>
      <c r="Q92" s="362">
        <v>1.6</v>
      </c>
      <c r="R92" s="362">
        <f t="shared" ca="1" si="23"/>
        <v>0</v>
      </c>
      <c r="S92" s="362">
        <f t="shared" ca="1" si="24"/>
        <v>0</v>
      </c>
      <c r="T92" s="323">
        <f t="shared" ca="1" si="26"/>
        <v>0</v>
      </c>
      <c r="U92" s="260">
        <f t="shared" ca="1" si="22"/>
        <v>1</v>
      </c>
      <c r="V92" s="260">
        <f t="shared" ca="1" si="22"/>
        <v>1</v>
      </c>
      <c r="W92" s="260">
        <f t="shared" ca="1" si="22"/>
        <v>1</v>
      </c>
      <c r="X92" s="260">
        <f t="shared" ca="1" si="22"/>
        <v>1</v>
      </c>
      <c r="Y92" s="260">
        <f t="shared" ca="1" si="22"/>
        <v>1</v>
      </c>
      <c r="Z92" s="260">
        <f t="shared" ca="1" si="22"/>
        <v>1</v>
      </c>
    </row>
    <row r="93" spans="1:26" x14ac:dyDescent="0.25">
      <c r="G93" s="362">
        <f t="shared" si="27"/>
        <v>3.5499999999999954</v>
      </c>
      <c r="H93" s="362">
        <f t="shared" si="20"/>
        <v>12</v>
      </c>
      <c r="I93" s="362">
        <f t="shared" si="21"/>
        <v>5.0999999999999996</v>
      </c>
      <c r="J93" s="362">
        <v>0</v>
      </c>
      <c r="K93" s="362">
        <v>0</v>
      </c>
      <c r="L93" s="362">
        <v>0</v>
      </c>
      <c r="M93" s="362">
        <v>0</v>
      </c>
      <c r="N93" s="362">
        <v>0</v>
      </c>
      <c r="O93" s="362">
        <v>0</v>
      </c>
      <c r="P93" s="362">
        <v>0</v>
      </c>
      <c r="Q93" s="362">
        <v>1.6</v>
      </c>
      <c r="R93" s="362">
        <f t="shared" ca="1" si="23"/>
        <v>0</v>
      </c>
      <c r="S93" s="362">
        <f t="shared" ca="1" si="24"/>
        <v>0</v>
      </c>
      <c r="T93" s="323">
        <f t="shared" ca="1" si="26"/>
        <v>0</v>
      </c>
      <c r="U93" s="260">
        <f t="shared" ca="1" si="22"/>
        <v>1</v>
      </c>
      <c r="V93" s="260">
        <f t="shared" ca="1" si="22"/>
        <v>1</v>
      </c>
      <c r="W93" s="260">
        <f t="shared" ca="1" si="22"/>
        <v>1</v>
      </c>
      <c r="X93" s="260">
        <f t="shared" ca="1" si="22"/>
        <v>1</v>
      </c>
      <c r="Y93" s="260">
        <f t="shared" ca="1" si="22"/>
        <v>1</v>
      </c>
      <c r="Z93" s="260">
        <f t="shared" ca="1" si="22"/>
        <v>1</v>
      </c>
    </row>
    <row r="94" spans="1:26" x14ac:dyDescent="0.25">
      <c r="G94" s="362">
        <f t="shared" si="27"/>
        <v>3.5999999999999952</v>
      </c>
      <c r="H94" s="362">
        <f t="shared" si="20"/>
        <v>12</v>
      </c>
      <c r="I94" s="362">
        <f t="shared" si="21"/>
        <v>5.0999999999999996</v>
      </c>
      <c r="J94" s="362">
        <v>0</v>
      </c>
      <c r="K94" s="362">
        <v>0</v>
      </c>
      <c r="L94" s="362">
        <v>0</v>
      </c>
      <c r="M94" s="362">
        <v>0</v>
      </c>
      <c r="N94" s="362">
        <v>0</v>
      </c>
      <c r="O94" s="362">
        <v>0</v>
      </c>
      <c r="P94" s="362">
        <v>0</v>
      </c>
      <c r="Q94" s="362">
        <v>1.6</v>
      </c>
      <c r="R94" s="362">
        <f t="shared" ca="1" si="23"/>
        <v>0</v>
      </c>
      <c r="S94" s="362">
        <f t="shared" ca="1" si="24"/>
        <v>0</v>
      </c>
      <c r="T94" s="323">
        <f t="shared" ca="1" si="26"/>
        <v>0</v>
      </c>
      <c r="U94" s="260">
        <f t="shared" ca="1" si="22"/>
        <v>1</v>
      </c>
      <c r="V94" s="260">
        <f t="shared" ca="1" si="22"/>
        <v>1</v>
      </c>
      <c r="W94" s="260">
        <f t="shared" ca="1" si="22"/>
        <v>1</v>
      </c>
      <c r="X94" s="260">
        <f t="shared" ca="1" si="22"/>
        <v>1</v>
      </c>
      <c r="Y94" s="260">
        <f t="shared" ca="1" si="22"/>
        <v>1</v>
      </c>
      <c r="Z94" s="260">
        <f t="shared" ca="1" si="22"/>
        <v>1</v>
      </c>
    </row>
    <row r="95" spans="1:26" x14ac:dyDescent="0.25">
      <c r="G95" s="362">
        <f t="shared" si="27"/>
        <v>3.649999999999995</v>
      </c>
      <c r="H95" s="362">
        <f t="shared" si="20"/>
        <v>12</v>
      </c>
      <c r="I95" s="362">
        <f t="shared" si="21"/>
        <v>5.0999999999999996</v>
      </c>
      <c r="J95" s="362">
        <v>0</v>
      </c>
      <c r="K95" s="362">
        <v>0</v>
      </c>
      <c r="L95" s="362">
        <v>0</v>
      </c>
      <c r="M95" s="362">
        <v>0</v>
      </c>
      <c r="N95" s="362">
        <v>0</v>
      </c>
      <c r="O95" s="362">
        <v>0</v>
      </c>
      <c r="P95" s="362">
        <v>0</v>
      </c>
      <c r="Q95" s="362">
        <v>1.6</v>
      </c>
      <c r="R95" s="362">
        <f t="shared" ca="1" si="23"/>
        <v>0</v>
      </c>
      <c r="S95" s="362">
        <f t="shared" ca="1" si="24"/>
        <v>0</v>
      </c>
      <c r="T95" s="323">
        <f t="shared" ca="1" si="26"/>
        <v>0</v>
      </c>
      <c r="U95" s="260">
        <f t="shared" ca="1" si="22"/>
        <v>1</v>
      </c>
      <c r="V95" s="260">
        <f t="shared" ca="1" si="22"/>
        <v>1</v>
      </c>
      <c r="W95" s="260">
        <f t="shared" ca="1" si="22"/>
        <v>1</v>
      </c>
      <c r="X95" s="260">
        <f t="shared" ca="1" si="22"/>
        <v>1</v>
      </c>
      <c r="Y95" s="260">
        <f t="shared" ca="1" si="22"/>
        <v>1</v>
      </c>
      <c r="Z95" s="260">
        <f t="shared" ca="1" si="22"/>
        <v>1</v>
      </c>
    </row>
    <row r="96" spans="1:26" x14ac:dyDescent="0.25">
      <c r="G96" s="362">
        <f t="shared" si="27"/>
        <v>3.6999999999999948</v>
      </c>
      <c r="H96" s="362">
        <f t="shared" si="20"/>
        <v>12</v>
      </c>
      <c r="I96" s="362">
        <f t="shared" si="21"/>
        <v>5.0999999999999996</v>
      </c>
      <c r="J96" s="362">
        <v>0</v>
      </c>
      <c r="K96" s="362">
        <v>0</v>
      </c>
      <c r="L96" s="362">
        <v>0</v>
      </c>
      <c r="M96" s="362">
        <v>0</v>
      </c>
      <c r="N96" s="362">
        <v>0</v>
      </c>
      <c r="O96" s="362">
        <v>0</v>
      </c>
      <c r="P96" s="362">
        <v>0</v>
      </c>
      <c r="Q96" s="362">
        <v>1.6</v>
      </c>
      <c r="R96" s="362">
        <f t="shared" ca="1" si="23"/>
        <v>0</v>
      </c>
      <c r="S96" s="362">
        <f t="shared" ca="1" si="24"/>
        <v>0</v>
      </c>
      <c r="T96" s="323">
        <f t="shared" ca="1" si="26"/>
        <v>0</v>
      </c>
      <c r="U96" s="260">
        <f t="shared" ca="1" si="22"/>
        <v>1</v>
      </c>
      <c r="V96" s="260">
        <f t="shared" ca="1" si="22"/>
        <v>1</v>
      </c>
      <c r="W96" s="260">
        <f t="shared" ca="1" si="22"/>
        <v>1</v>
      </c>
      <c r="X96" s="260">
        <f t="shared" ca="1" si="22"/>
        <v>1</v>
      </c>
      <c r="Y96" s="260">
        <f t="shared" ca="1" si="22"/>
        <v>1</v>
      </c>
      <c r="Z96" s="260">
        <f t="shared" ca="1" si="22"/>
        <v>1</v>
      </c>
    </row>
    <row r="97" spans="2:36" x14ac:dyDescent="0.25">
      <c r="G97" s="362">
        <f t="shared" si="27"/>
        <v>3.7499999999999947</v>
      </c>
      <c r="H97" s="362">
        <f t="shared" si="20"/>
        <v>12</v>
      </c>
      <c r="I97" s="362">
        <f t="shared" si="21"/>
        <v>5.0999999999999996</v>
      </c>
      <c r="J97" s="362">
        <v>0</v>
      </c>
      <c r="K97" s="362">
        <v>0</v>
      </c>
      <c r="L97" s="362">
        <v>0</v>
      </c>
      <c r="M97" s="362">
        <v>0</v>
      </c>
      <c r="N97" s="362">
        <v>0</v>
      </c>
      <c r="O97" s="362">
        <v>0</v>
      </c>
      <c r="P97" s="362">
        <v>0</v>
      </c>
      <c r="Q97" s="362">
        <v>1.6</v>
      </c>
      <c r="R97" s="362">
        <f t="shared" ca="1" si="23"/>
        <v>0</v>
      </c>
      <c r="S97" s="362">
        <f t="shared" ca="1" si="24"/>
        <v>0</v>
      </c>
      <c r="T97" s="323">
        <f t="shared" ca="1" si="26"/>
        <v>0</v>
      </c>
      <c r="U97" s="260">
        <f t="shared" ca="1" si="22"/>
        <v>1</v>
      </c>
      <c r="V97" s="260">
        <f t="shared" ca="1" si="22"/>
        <v>1</v>
      </c>
      <c r="W97" s="260">
        <f t="shared" ca="1" si="22"/>
        <v>1</v>
      </c>
      <c r="X97" s="260">
        <f t="shared" ca="1" si="22"/>
        <v>1</v>
      </c>
      <c r="Y97" s="260">
        <f t="shared" ca="1" si="22"/>
        <v>1</v>
      </c>
      <c r="Z97" s="260">
        <f t="shared" ca="1" si="22"/>
        <v>1</v>
      </c>
    </row>
    <row r="98" spans="2:36" x14ac:dyDescent="0.25">
      <c r="G98" s="362">
        <f t="shared" si="27"/>
        <v>3.7999999999999945</v>
      </c>
      <c r="H98" s="362">
        <f t="shared" si="20"/>
        <v>12</v>
      </c>
      <c r="I98" s="362">
        <f t="shared" si="21"/>
        <v>5.0999999999999996</v>
      </c>
      <c r="J98" s="362">
        <v>0</v>
      </c>
      <c r="K98" s="362">
        <v>0</v>
      </c>
      <c r="L98" s="362">
        <v>0</v>
      </c>
      <c r="M98" s="362">
        <v>0</v>
      </c>
      <c r="N98" s="362">
        <v>0</v>
      </c>
      <c r="O98" s="362">
        <v>0</v>
      </c>
      <c r="P98" s="362">
        <v>0</v>
      </c>
      <c r="Q98" s="362">
        <v>1.6</v>
      </c>
      <c r="R98" s="362">
        <f t="shared" ca="1" si="23"/>
        <v>0</v>
      </c>
      <c r="S98" s="362">
        <f t="shared" ca="1" si="24"/>
        <v>0</v>
      </c>
      <c r="T98" s="323">
        <f t="shared" ca="1" si="26"/>
        <v>0</v>
      </c>
      <c r="U98" s="260">
        <f t="shared" ca="1" si="22"/>
        <v>1</v>
      </c>
      <c r="V98" s="260">
        <f t="shared" ca="1" si="22"/>
        <v>1</v>
      </c>
      <c r="W98" s="260">
        <f t="shared" ca="1" si="22"/>
        <v>1</v>
      </c>
      <c r="X98" s="260">
        <f t="shared" ca="1" si="22"/>
        <v>1</v>
      </c>
      <c r="Y98" s="260">
        <f t="shared" ca="1" si="22"/>
        <v>1</v>
      </c>
      <c r="Z98" s="260">
        <f t="shared" ca="1" si="22"/>
        <v>1</v>
      </c>
    </row>
    <row r="99" spans="2:36" x14ac:dyDescent="0.25">
      <c r="G99" s="362">
        <f t="shared" si="27"/>
        <v>3.8499999999999943</v>
      </c>
      <c r="H99" s="362">
        <f t="shared" si="20"/>
        <v>12</v>
      </c>
      <c r="I99" s="362">
        <f t="shared" si="21"/>
        <v>5.0999999999999996</v>
      </c>
      <c r="J99" s="362">
        <v>0</v>
      </c>
      <c r="K99" s="362">
        <v>0</v>
      </c>
      <c r="L99" s="362">
        <v>0</v>
      </c>
      <c r="M99" s="362">
        <v>0</v>
      </c>
      <c r="N99" s="362">
        <v>0</v>
      </c>
      <c r="O99" s="362">
        <v>0</v>
      </c>
      <c r="P99" s="362">
        <v>0</v>
      </c>
      <c r="Q99" s="362">
        <v>1.6</v>
      </c>
      <c r="R99" s="362">
        <f t="shared" ca="1" si="23"/>
        <v>0</v>
      </c>
      <c r="S99" s="362">
        <f t="shared" ca="1" si="24"/>
        <v>0</v>
      </c>
      <c r="T99" s="323">
        <f t="shared" ca="1" si="26"/>
        <v>0</v>
      </c>
      <c r="U99" s="260">
        <f t="shared" ca="1" si="22"/>
        <v>1</v>
      </c>
      <c r="V99" s="260">
        <f t="shared" ca="1" si="22"/>
        <v>1</v>
      </c>
      <c r="W99" s="260">
        <f t="shared" ca="1" si="22"/>
        <v>1</v>
      </c>
      <c r="X99" s="260">
        <f t="shared" ca="1" si="22"/>
        <v>1</v>
      </c>
      <c r="Y99" s="260">
        <f t="shared" ca="1" si="22"/>
        <v>1</v>
      </c>
      <c r="Z99" s="260">
        <f t="shared" ca="1" si="22"/>
        <v>1</v>
      </c>
    </row>
    <row r="100" spans="2:36" s="259" customFormat="1" x14ac:dyDescent="0.25">
      <c r="B100" s="258"/>
      <c r="C100" s="258"/>
      <c r="E100" s="258"/>
      <c r="F100" s="260"/>
      <c r="G100" s="362">
        <f t="shared" si="27"/>
        <v>3.8999999999999941</v>
      </c>
      <c r="H100" s="362">
        <f t="shared" si="20"/>
        <v>12</v>
      </c>
      <c r="I100" s="362">
        <f t="shared" si="21"/>
        <v>5.0999999999999996</v>
      </c>
      <c r="J100" s="362">
        <v>0</v>
      </c>
      <c r="K100" s="362">
        <v>0</v>
      </c>
      <c r="L100" s="362">
        <v>0</v>
      </c>
      <c r="M100" s="362">
        <v>0</v>
      </c>
      <c r="N100" s="362">
        <v>0</v>
      </c>
      <c r="O100" s="362">
        <v>0</v>
      </c>
      <c r="P100" s="362">
        <v>0</v>
      </c>
      <c r="Q100" s="362">
        <v>1.6</v>
      </c>
      <c r="R100" s="362">
        <f t="shared" ca="1" si="23"/>
        <v>0</v>
      </c>
      <c r="S100" s="362">
        <f t="shared" ca="1" si="24"/>
        <v>0</v>
      </c>
      <c r="T100" s="323">
        <f t="shared" ca="1" si="26"/>
        <v>0</v>
      </c>
      <c r="U100" s="260">
        <f t="shared" ca="1" si="22"/>
        <v>1</v>
      </c>
      <c r="V100" s="260">
        <f t="shared" ca="1" si="22"/>
        <v>1</v>
      </c>
      <c r="W100" s="260">
        <f t="shared" ca="1" si="22"/>
        <v>1</v>
      </c>
      <c r="X100" s="260">
        <f t="shared" ca="1" si="22"/>
        <v>1</v>
      </c>
      <c r="Y100" s="260">
        <f t="shared" ca="1" si="22"/>
        <v>1</v>
      </c>
      <c r="Z100" s="260">
        <f t="shared" ca="1" si="22"/>
        <v>1</v>
      </c>
      <c r="AA100" s="260"/>
      <c r="AB100" s="257"/>
      <c r="AC100" s="260"/>
      <c r="AD100" s="257"/>
      <c r="AE100" s="257"/>
      <c r="AF100" s="257"/>
      <c r="AG100" s="257"/>
      <c r="AH100" s="257"/>
      <c r="AI100" s="257"/>
      <c r="AJ100" s="257"/>
    </row>
    <row r="101" spans="2:36" s="259" customFormat="1" x14ac:dyDescent="0.25">
      <c r="B101" s="258"/>
      <c r="C101" s="258"/>
      <c r="E101" s="258"/>
      <c r="F101" s="260"/>
      <c r="G101" s="362">
        <f t="shared" si="27"/>
        <v>3.949999999999994</v>
      </c>
      <c r="H101" s="362">
        <f t="shared" si="20"/>
        <v>12</v>
      </c>
      <c r="I101" s="362">
        <f t="shared" si="21"/>
        <v>5.0999999999999996</v>
      </c>
      <c r="J101" s="362">
        <v>0</v>
      </c>
      <c r="K101" s="362">
        <v>0</v>
      </c>
      <c r="L101" s="362">
        <v>0</v>
      </c>
      <c r="M101" s="362">
        <v>0</v>
      </c>
      <c r="N101" s="362">
        <v>0</v>
      </c>
      <c r="O101" s="362">
        <v>0</v>
      </c>
      <c r="P101" s="362">
        <v>0</v>
      </c>
      <c r="Q101" s="362">
        <v>1.6</v>
      </c>
      <c r="R101" s="362">
        <f t="shared" ca="1" si="23"/>
        <v>0</v>
      </c>
      <c r="S101" s="362">
        <f t="shared" ca="1" si="24"/>
        <v>0</v>
      </c>
      <c r="T101" s="323">
        <f t="shared" ca="1" si="26"/>
        <v>0</v>
      </c>
      <c r="U101" s="260">
        <f t="shared" ca="1" si="22"/>
        <v>1</v>
      </c>
      <c r="V101" s="260">
        <f t="shared" ca="1" si="22"/>
        <v>1</v>
      </c>
      <c r="W101" s="260">
        <f t="shared" ca="1" si="22"/>
        <v>1</v>
      </c>
      <c r="X101" s="260">
        <f t="shared" ca="1" si="22"/>
        <v>1</v>
      </c>
      <c r="Y101" s="260">
        <f t="shared" ca="1" si="22"/>
        <v>1</v>
      </c>
      <c r="Z101" s="260">
        <f t="shared" ca="1" si="22"/>
        <v>1</v>
      </c>
      <c r="AA101" s="260"/>
      <c r="AB101" s="257"/>
      <c r="AC101" s="260"/>
      <c r="AD101" s="257"/>
      <c r="AE101" s="257"/>
      <c r="AF101" s="257"/>
      <c r="AG101" s="257"/>
      <c r="AH101" s="257"/>
      <c r="AI101" s="257"/>
      <c r="AJ101" s="257"/>
    </row>
    <row r="102" spans="2:36" s="259" customFormat="1" x14ac:dyDescent="0.25">
      <c r="B102" s="258"/>
      <c r="C102" s="258"/>
      <c r="E102" s="258"/>
      <c r="F102" s="260"/>
      <c r="G102" s="362">
        <f t="shared" si="27"/>
        <v>3.9999999999999938</v>
      </c>
      <c r="H102" s="362">
        <f t="shared" si="20"/>
        <v>12</v>
      </c>
      <c r="I102" s="362">
        <f t="shared" si="21"/>
        <v>5.0999999999999996</v>
      </c>
      <c r="J102" s="362">
        <v>0</v>
      </c>
      <c r="K102" s="362">
        <v>0</v>
      </c>
      <c r="L102" s="362">
        <v>0</v>
      </c>
      <c r="M102" s="362">
        <v>0</v>
      </c>
      <c r="N102" s="362">
        <v>0</v>
      </c>
      <c r="O102" s="362">
        <v>0</v>
      </c>
      <c r="P102" s="362">
        <v>0</v>
      </c>
      <c r="Q102" s="362">
        <v>1.6</v>
      </c>
      <c r="R102" s="362">
        <f t="shared" ca="1" si="23"/>
        <v>0</v>
      </c>
      <c r="S102" s="362">
        <f t="shared" ca="1" si="24"/>
        <v>0</v>
      </c>
      <c r="T102" s="323">
        <f t="shared" ca="1" si="26"/>
        <v>0</v>
      </c>
      <c r="U102" s="260">
        <f t="shared" ca="1" si="22"/>
        <v>1</v>
      </c>
      <c r="V102" s="260">
        <f t="shared" ca="1" si="22"/>
        <v>1</v>
      </c>
      <c r="W102" s="260">
        <f t="shared" ca="1" si="22"/>
        <v>1</v>
      </c>
      <c r="X102" s="260">
        <f t="shared" ca="1" si="22"/>
        <v>1</v>
      </c>
      <c r="Y102" s="260">
        <f t="shared" ca="1" si="22"/>
        <v>1</v>
      </c>
      <c r="Z102" s="260">
        <f t="shared" ca="1" si="22"/>
        <v>1</v>
      </c>
      <c r="AA102" s="260"/>
      <c r="AB102" s="257"/>
      <c r="AC102" s="260"/>
      <c r="AD102" s="257"/>
      <c r="AE102" s="257"/>
      <c r="AF102" s="257"/>
      <c r="AG102" s="257"/>
      <c r="AH102" s="257"/>
      <c r="AI102" s="257"/>
      <c r="AJ102" s="257"/>
    </row>
    <row r="103" spans="2:36" s="259" customFormat="1" x14ac:dyDescent="0.25">
      <c r="B103" s="258"/>
      <c r="C103" s="258"/>
      <c r="D103" s="271"/>
      <c r="E103" s="95"/>
      <c r="F103" s="260"/>
      <c r="G103" s="362">
        <f t="shared" si="27"/>
        <v>4.0499999999999936</v>
      </c>
      <c r="H103" s="362">
        <f t="shared" si="20"/>
        <v>12</v>
      </c>
      <c r="I103" s="362">
        <f t="shared" si="21"/>
        <v>5.0999999999999996</v>
      </c>
      <c r="J103" s="362">
        <v>0</v>
      </c>
      <c r="K103" s="362">
        <v>0</v>
      </c>
      <c r="L103" s="362">
        <v>0</v>
      </c>
      <c r="M103" s="362">
        <v>0</v>
      </c>
      <c r="N103" s="362">
        <v>0</v>
      </c>
      <c r="O103" s="362">
        <v>0</v>
      </c>
      <c r="P103" s="362">
        <v>0</v>
      </c>
      <c r="Q103" s="362">
        <v>1.6</v>
      </c>
      <c r="R103" s="362">
        <f t="shared" ca="1" si="23"/>
        <v>0</v>
      </c>
      <c r="S103" s="362">
        <f t="shared" ca="1" si="24"/>
        <v>0</v>
      </c>
      <c r="T103" s="323">
        <f t="shared" ca="1" si="26"/>
        <v>0</v>
      </c>
      <c r="U103" s="260">
        <f t="shared" ca="1" si="22"/>
        <v>1</v>
      </c>
      <c r="V103" s="260">
        <f t="shared" ca="1" si="22"/>
        <v>1</v>
      </c>
      <c r="W103" s="260">
        <f t="shared" ca="1" si="22"/>
        <v>1</v>
      </c>
      <c r="X103" s="260">
        <f t="shared" ca="1" si="22"/>
        <v>1</v>
      </c>
      <c r="Y103" s="260">
        <f t="shared" ca="1" si="22"/>
        <v>1</v>
      </c>
      <c r="Z103" s="260">
        <f t="shared" ca="1" si="22"/>
        <v>1</v>
      </c>
      <c r="AA103" s="260"/>
      <c r="AB103" s="257"/>
      <c r="AC103" s="260"/>
      <c r="AD103" s="257"/>
      <c r="AE103" s="257"/>
      <c r="AF103" s="257"/>
      <c r="AG103" s="257"/>
      <c r="AH103" s="257"/>
      <c r="AI103" s="257"/>
      <c r="AJ103" s="257"/>
    </row>
    <row r="104" spans="2:36" s="259" customFormat="1" x14ac:dyDescent="0.25">
      <c r="B104" s="258"/>
      <c r="C104" s="258"/>
      <c r="D104" s="266"/>
      <c r="E104" s="265"/>
      <c r="F104" s="298"/>
      <c r="G104" s="362">
        <f t="shared" si="27"/>
        <v>4.0999999999999934</v>
      </c>
      <c r="H104" s="362">
        <f t="shared" si="20"/>
        <v>12</v>
      </c>
      <c r="I104" s="362">
        <f t="shared" si="21"/>
        <v>5.0999999999999996</v>
      </c>
      <c r="J104" s="362">
        <v>0</v>
      </c>
      <c r="K104" s="362">
        <v>0</v>
      </c>
      <c r="L104" s="362">
        <v>0</v>
      </c>
      <c r="M104" s="362">
        <v>0</v>
      </c>
      <c r="N104" s="362">
        <v>0</v>
      </c>
      <c r="O104" s="362">
        <v>0</v>
      </c>
      <c r="P104" s="362">
        <v>0</v>
      </c>
      <c r="Q104" s="362">
        <v>1.6</v>
      </c>
      <c r="R104" s="362">
        <f t="shared" ca="1" si="23"/>
        <v>0</v>
      </c>
      <c r="S104" s="362">
        <f t="shared" ca="1" si="24"/>
        <v>0</v>
      </c>
      <c r="T104" s="323">
        <f t="shared" ca="1" si="26"/>
        <v>0</v>
      </c>
      <c r="U104" s="260">
        <f t="shared" ca="1" si="22"/>
        <v>1</v>
      </c>
      <c r="V104" s="260">
        <f t="shared" ca="1" si="22"/>
        <v>1</v>
      </c>
      <c r="W104" s="260">
        <f t="shared" ca="1" si="22"/>
        <v>1</v>
      </c>
      <c r="X104" s="260">
        <f t="shared" ca="1" si="22"/>
        <v>1</v>
      </c>
      <c r="Y104" s="260">
        <f t="shared" ca="1" si="22"/>
        <v>1</v>
      </c>
      <c r="Z104" s="260">
        <f t="shared" ca="1" si="22"/>
        <v>1</v>
      </c>
      <c r="AA104" s="260"/>
      <c r="AB104" s="257"/>
      <c r="AC104" s="260"/>
      <c r="AD104" s="257"/>
      <c r="AE104" s="257"/>
      <c r="AF104" s="257"/>
      <c r="AG104" s="257"/>
      <c r="AH104" s="257"/>
      <c r="AI104" s="257"/>
      <c r="AJ104" s="257"/>
    </row>
    <row r="105" spans="2:36" s="259" customFormat="1" x14ac:dyDescent="0.25">
      <c r="B105" s="258"/>
      <c r="C105" s="258"/>
      <c r="D105" s="266"/>
      <c r="E105" s="265"/>
      <c r="F105" s="298"/>
      <c r="G105" s="362">
        <f t="shared" si="27"/>
        <v>4.1499999999999932</v>
      </c>
      <c r="H105" s="362">
        <f t="shared" si="20"/>
        <v>12</v>
      </c>
      <c r="I105" s="362">
        <f t="shared" si="21"/>
        <v>5.0999999999999996</v>
      </c>
      <c r="J105" s="362">
        <v>0</v>
      </c>
      <c r="K105" s="362">
        <v>0</v>
      </c>
      <c r="L105" s="362">
        <v>0</v>
      </c>
      <c r="M105" s="362">
        <v>0</v>
      </c>
      <c r="N105" s="362">
        <v>0</v>
      </c>
      <c r="O105" s="362">
        <v>0</v>
      </c>
      <c r="P105" s="362">
        <v>0</v>
      </c>
      <c r="Q105" s="362">
        <v>1.6</v>
      </c>
      <c r="R105" s="362">
        <f t="shared" ca="1" si="23"/>
        <v>0</v>
      </c>
      <c r="S105" s="362">
        <f t="shared" ca="1" si="24"/>
        <v>0</v>
      </c>
      <c r="T105" s="323">
        <f t="shared" ca="1" si="26"/>
        <v>0</v>
      </c>
      <c r="U105" s="260">
        <f t="shared" ca="1" si="22"/>
        <v>1</v>
      </c>
      <c r="V105" s="260">
        <f t="shared" ca="1" si="22"/>
        <v>1</v>
      </c>
      <c r="W105" s="260">
        <f t="shared" ca="1" si="22"/>
        <v>1</v>
      </c>
      <c r="X105" s="260">
        <f t="shared" ca="1" si="22"/>
        <v>1</v>
      </c>
      <c r="Y105" s="260">
        <f t="shared" ca="1" si="22"/>
        <v>1</v>
      </c>
      <c r="Z105" s="260">
        <f t="shared" ca="1" si="22"/>
        <v>1</v>
      </c>
      <c r="AA105" s="260"/>
      <c r="AB105" s="257"/>
      <c r="AC105" s="260"/>
      <c r="AD105" s="257"/>
      <c r="AE105" s="257"/>
      <c r="AF105" s="257"/>
      <c r="AG105" s="257"/>
      <c r="AH105" s="257"/>
      <c r="AI105" s="257"/>
      <c r="AJ105" s="257"/>
    </row>
    <row r="106" spans="2:36" s="259" customFormat="1" x14ac:dyDescent="0.25">
      <c r="B106" s="258"/>
      <c r="C106" s="258"/>
      <c r="D106" s="266"/>
      <c r="E106" s="265"/>
      <c r="F106" s="298"/>
      <c r="G106" s="362">
        <f t="shared" si="27"/>
        <v>4.1999999999999931</v>
      </c>
      <c r="H106" s="362">
        <f t="shared" si="20"/>
        <v>12</v>
      </c>
      <c r="I106" s="362">
        <f t="shared" si="21"/>
        <v>5.0999999999999996</v>
      </c>
      <c r="J106" s="362">
        <v>0</v>
      </c>
      <c r="K106" s="362">
        <v>0</v>
      </c>
      <c r="L106" s="362">
        <v>0</v>
      </c>
      <c r="M106" s="362">
        <v>0</v>
      </c>
      <c r="N106" s="362">
        <v>0</v>
      </c>
      <c r="O106" s="362">
        <v>0</v>
      </c>
      <c r="P106" s="362">
        <v>0</v>
      </c>
      <c r="Q106" s="362">
        <v>1.6</v>
      </c>
      <c r="R106" s="362">
        <f t="shared" ca="1" si="23"/>
        <v>0</v>
      </c>
      <c r="S106" s="362">
        <f t="shared" ca="1" si="24"/>
        <v>0</v>
      </c>
      <c r="T106" s="323">
        <f t="shared" ca="1" si="26"/>
        <v>0</v>
      </c>
      <c r="U106" s="260">
        <f t="shared" ca="1" si="22"/>
        <v>1</v>
      </c>
      <c r="V106" s="260">
        <f t="shared" ca="1" si="22"/>
        <v>1</v>
      </c>
      <c r="W106" s="260">
        <f t="shared" ca="1" si="22"/>
        <v>1</v>
      </c>
      <c r="X106" s="260">
        <f t="shared" ca="1" si="22"/>
        <v>1</v>
      </c>
      <c r="Y106" s="260">
        <f t="shared" ca="1" si="22"/>
        <v>1</v>
      </c>
      <c r="Z106" s="260">
        <f t="shared" ca="1" si="22"/>
        <v>1</v>
      </c>
      <c r="AA106" s="260"/>
      <c r="AB106" s="257"/>
      <c r="AC106" s="260"/>
      <c r="AD106" s="257"/>
      <c r="AE106" s="257"/>
      <c r="AF106" s="257"/>
      <c r="AG106" s="257"/>
      <c r="AH106" s="257"/>
      <c r="AI106" s="257"/>
      <c r="AJ106" s="257"/>
    </row>
    <row r="107" spans="2:36" s="259" customFormat="1" x14ac:dyDescent="0.25">
      <c r="B107" s="258"/>
      <c r="C107" s="258"/>
      <c r="D107" s="266"/>
      <c r="E107" s="265"/>
      <c r="F107" s="298"/>
      <c r="G107" s="362">
        <f t="shared" si="27"/>
        <v>4.2499999999999929</v>
      </c>
      <c r="H107" s="362">
        <f t="shared" si="20"/>
        <v>12</v>
      </c>
      <c r="I107" s="362">
        <f t="shared" si="21"/>
        <v>5.0999999999999996</v>
      </c>
      <c r="J107" s="362">
        <v>0</v>
      </c>
      <c r="K107" s="362">
        <v>0</v>
      </c>
      <c r="L107" s="362">
        <v>0</v>
      </c>
      <c r="M107" s="362">
        <v>0</v>
      </c>
      <c r="N107" s="362">
        <v>0</v>
      </c>
      <c r="O107" s="362">
        <v>0</v>
      </c>
      <c r="P107" s="362">
        <v>0</v>
      </c>
      <c r="Q107" s="362">
        <v>1.6</v>
      </c>
      <c r="R107" s="362">
        <f t="shared" ca="1" si="23"/>
        <v>0</v>
      </c>
      <c r="S107" s="362">
        <f t="shared" ca="1" si="24"/>
        <v>0</v>
      </c>
      <c r="T107" s="323">
        <f t="shared" ca="1" si="26"/>
        <v>0</v>
      </c>
      <c r="U107" s="260">
        <f t="shared" ca="1" si="22"/>
        <v>1</v>
      </c>
      <c r="V107" s="260">
        <f t="shared" ca="1" si="22"/>
        <v>1</v>
      </c>
      <c r="W107" s="260">
        <f t="shared" ca="1" si="22"/>
        <v>1</v>
      </c>
      <c r="X107" s="260">
        <f t="shared" ca="1" si="22"/>
        <v>1</v>
      </c>
      <c r="Y107" s="260">
        <f t="shared" ca="1" si="22"/>
        <v>1</v>
      </c>
      <c r="Z107" s="260">
        <f t="shared" ca="1" si="22"/>
        <v>1</v>
      </c>
      <c r="AA107" s="260"/>
      <c r="AB107" s="257"/>
      <c r="AC107" s="260"/>
      <c r="AD107" s="257"/>
      <c r="AE107" s="257"/>
      <c r="AF107" s="257"/>
      <c r="AG107" s="257"/>
      <c r="AH107" s="257"/>
      <c r="AI107" s="257"/>
      <c r="AJ107" s="257"/>
    </row>
    <row r="108" spans="2:36" s="259" customFormat="1" x14ac:dyDescent="0.25">
      <c r="B108" s="258"/>
      <c r="C108" s="258"/>
      <c r="D108" s="266"/>
      <c r="E108" s="265"/>
      <c r="F108" s="298"/>
      <c r="G108" s="362">
        <f t="shared" si="27"/>
        <v>4.2999999999999927</v>
      </c>
      <c r="H108" s="362">
        <f t="shared" ref="H108:K204" si="28">H107</f>
        <v>12</v>
      </c>
      <c r="I108" s="362">
        <f t="shared" si="28"/>
        <v>5.0999999999999996</v>
      </c>
      <c r="J108" s="362">
        <v>0</v>
      </c>
      <c r="K108" s="362">
        <v>0</v>
      </c>
      <c r="L108" s="362">
        <v>0</v>
      </c>
      <c r="M108" s="362">
        <v>0</v>
      </c>
      <c r="N108" s="362">
        <v>0</v>
      </c>
      <c r="O108" s="362">
        <v>0</v>
      </c>
      <c r="P108" s="362">
        <v>0</v>
      </c>
      <c r="Q108" s="362">
        <v>1.6</v>
      </c>
      <c r="R108" s="362">
        <f t="shared" ca="1" si="23"/>
        <v>0</v>
      </c>
      <c r="S108" s="362">
        <f t="shared" ca="1" si="24"/>
        <v>0</v>
      </c>
      <c r="T108" s="323">
        <f t="shared" ca="1" si="26"/>
        <v>0</v>
      </c>
      <c r="U108" s="260">
        <f t="shared" ca="1" si="22"/>
        <v>1</v>
      </c>
      <c r="V108" s="260">
        <f t="shared" ca="1" si="22"/>
        <v>1</v>
      </c>
      <c r="W108" s="260">
        <f t="shared" ca="1" si="22"/>
        <v>1</v>
      </c>
      <c r="X108" s="260">
        <f t="shared" ca="1" si="22"/>
        <v>1</v>
      </c>
      <c r="Y108" s="260">
        <f t="shared" ca="1" si="22"/>
        <v>1</v>
      </c>
      <c r="Z108" s="260">
        <f t="shared" ca="1" si="22"/>
        <v>1</v>
      </c>
      <c r="AA108" s="260"/>
      <c r="AB108" s="257"/>
      <c r="AC108" s="260"/>
      <c r="AD108" s="257"/>
      <c r="AE108" s="257"/>
      <c r="AF108" s="257"/>
      <c r="AG108" s="257"/>
      <c r="AH108" s="257"/>
      <c r="AI108" s="257"/>
      <c r="AJ108" s="257"/>
    </row>
    <row r="109" spans="2:36" s="259" customFormat="1" x14ac:dyDescent="0.25">
      <c r="B109" s="258"/>
      <c r="C109" s="258"/>
      <c r="D109" s="266"/>
      <c r="E109" s="265"/>
      <c r="F109" s="298"/>
      <c r="G109" s="362">
        <f t="shared" si="27"/>
        <v>4.3499999999999925</v>
      </c>
      <c r="H109" s="362">
        <f t="shared" si="28"/>
        <v>12</v>
      </c>
      <c r="I109" s="362">
        <f t="shared" si="28"/>
        <v>5.0999999999999996</v>
      </c>
      <c r="J109" s="362">
        <v>0</v>
      </c>
      <c r="K109" s="362">
        <v>0</v>
      </c>
      <c r="L109" s="362">
        <v>0</v>
      </c>
      <c r="M109" s="362">
        <v>0</v>
      </c>
      <c r="N109" s="362">
        <v>0</v>
      </c>
      <c r="O109" s="362">
        <v>0</v>
      </c>
      <c r="P109" s="362">
        <v>0</v>
      </c>
      <c r="Q109" s="362">
        <v>1.6</v>
      </c>
      <c r="R109" s="362">
        <f t="shared" ca="1" si="23"/>
        <v>0</v>
      </c>
      <c r="S109" s="362">
        <f t="shared" ca="1" si="24"/>
        <v>0</v>
      </c>
      <c r="T109" s="323">
        <f t="shared" ca="1" si="26"/>
        <v>0</v>
      </c>
      <c r="U109" s="260">
        <f t="shared" ca="1" si="22"/>
        <v>1</v>
      </c>
      <c r="V109" s="260">
        <f t="shared" ca="1" si="22"/>
        <v>1</v>
      </c>
      <c r="W109" s="260">
        <f t="shared" ca="1" si="22"/>
        <v>1</v>
      </c>
      <c r="X109" s="260">
        <f t="shared" ca="1" si="22"/>
        <v>1</v>
      </c>
      <c r="Y109" s="260">
        <f t="shared" ca="1" si="22"/>
        <v>1</v>
      </c>
      <c r="Z109" s="260">
        <f t="shared" ca="1" si="22"/>
        <v>1</v>
      </c>
      <c r="AA109" s="260"/>
      <c r="AB109" s="257"/>
      <c r="AC109" s="260"/>
      <c r="AD109" s="257"/>
      <c r="AE109" s="257"/>
      <c r="AF109" s="257"/>
      <c r="AG109" s="257"/>
      <c r="AH109" s="257"/>
      <c r="AI109" s="257"/>
      <c r="AJ109" s="257"/>
    </row>
    <row r="110" spans="2:36" s="259" customFormat="1" x14ac:dyDescent="0.25">
      <c r="B110" s="258"/>
      <c r="C110" s="258"/>
      <c r="D110" s="266"/>
      <c r="E110" s="265"/>
      <c r="F110" s="298"/>
      <c r="G110" s="362">
        <f t="shared" si="27"/>
        <v>4.3999999999999924</v>
      </c>
      <c r="H110" s="362">
        <f t="shared" si="28"/>
        <v>12</v>
      </c>
      <c r="I110" s="362">
        <f t="shared" si="28"/>
        <v>5.0999999999999996</v>
      </c>
      <c r="J110" s="362">
        <v>0</v>
      </c>
      <c r="K110" s="362">
        <v>0</v>
      </c>
      <c r="L110" s="362">
        <v>0</v>
      </c>
      <c r="M110" s="362">
        <v>0</v>
      </c>
      <c r="N110" s="362">
        <v>0</v>
      </c>
      <c r="O110" s="362">
        <v>0</v>
      </c>
      <c r="P110" s="362">
        <v>0</v>
      </c>
      <c r="Q110" s="362">
        <v>1.6</v>
      </c>
      <c r="R110" s="362">
        <f t="shared" ca="1" si="23"/>
        <v>0</v>
      </c>
      <c r="S110" s="362">
        <f t="shared" ca="1" si="24"/>
        <v>0</v>
      </c>
      <c r="T110" s="323">
        <f t="shared" ca="1" si="26"/>
        <v>0</v>
      </c>
      <c r="U110" s="260">
        <f t="shared" ca="1" si="22"/>
        <v>1</v>
      </c>
      <c r="V110" s="260">
        <f t="shared" ca="1" si="22"/>
        <v>1</v>
      </c>
      <c r="W110" s="260">
        <f t="shared" ca="1" si="22"/>
        <v>1</v>
      </c>
      <c r="X110" s="260">
        <f t="shared" ca="1" si="22"/>
        <v>1</v>
      </c>
      <c r="Y110" s="260">
        <f t="shared" ca="1" si="22"/>
        <v>1</v>
      </c>
      <c r="Z110" s="260">
        <f t="shared" ca="1" si="22"/>
        <v>1</v>
      </c>
      <c r="AA110" s="260"/>
      <c r="AB110" s="257"/>
      <c r="AC110" s="260"/>
      <c r="AD110" s="257"/>
      <c r="AE110" s="257"/>
      <c r="AF110" s="257"/>
      <c r="AG110" s="257"/>
      <c r="AH110" s="257"/>
      <c r="AI110" s="257"/>
      <c r="AJ110" s="257"/>
    </row>
    <row r="111" spans="2:36" s="259" customFormat="1" x14ac:dyDescent="0.25">
      <c r="B111" s="258"/>
      <c r="C111" s="258"/>
      <c r="D111" s="266"/>
      <c r="E111" s="265"/>
      <c r="F111" s="298"/>
      <c r="G111" s="362">
        <f t="shared" si="27"/>
        <v>4.4499999999999922</v>
      </c>
      <c r="H111" s="362">
        <f t="shared" si="28"/>
        <v>12</v>
      </c>
      <c r="I111" s="362">
        <f t="shared" si="28"/>
        <v>5.0999999999999996</v>
      </c>
      <c r="J111" s="362">
        <v>0</v>
      </c>
      <c r="K111" s="362">
        <v>0</v>
      </c>
      <c r="L111" s="362">
        <v>0</v>
      </c>
      <c r="M111" s="362">
        <v>0</v>
      </c>
      <c r="N111" s="362">
        <v>0</v>
      </c>
      <c r="O111" s="362">
        <v>0</v>
      </c>
      <c r="P111" s="362">
        <v>0</v>
      </c>
      <c r="Q111" s="362">
        <v>1.6</v>
      </c>
      <c r="R111" s="362">
        <f t="shared" ca="1" si="23"/>
        <v>0</v>
      </c>
      <c r="S111" s="362">
        <f t="shared" ca="1" si="24"/>
        <v>0</v>
      </c>
      <c r="T111" s="323">
        <f t="shared" ca="1" si="26"/>
        <v>0</v>
      </c>
      <c r="U111" s="260">
        <f t="shared" ca="1" si="22"/>
        <v>1</v>
      </c>
      <c r="V111" s="260">
        <f t="shared" ca="1" si="22"/>
        <v>1</v>
      </c>
      <c r="W111" s="260">
        <f t="shared" ca="1" si="22"/>
        <v>1</v>
      </c>
      <c r="X111" s="260">
        <f t="shared" ca="1" si="22"/>
        <v>1</v>
      </c>
      <c r="Y111" s="260">
        <f t="shared" ca="1" si="22"/>
        <v>1</v>
      </c>
      <c r="Z111" s="260">
        <f t="shared" ca="1" si="22"/>
        <v>1</v>
      </c>
      <c r="AA111" s="260"/>
      <c r="AB111" s="257"/>
      <c r="AC111" s="260"/>
      <c r="AD111" s="257"/>
      <c r="AE111" s="257"/>
      <c r="AF111" s="257"/>
      <c r="AG111" s="257"/>
      <c r="AH111" s="257"/>
      <c r="AI111" s="257"/>
      <c r="AJ111" s="257"/>
    </row>
    <row r="112" spans="2:36" s="259" customFormat="1" x14ac:dyDescent="0.25">
      <c r="B112" s="258"/>
      <c r="C112" s="258"/>
      <c r="D112" s="266"/>
      <c r="E112" s="265"/>
      <c r="F112" s="298"/>
      <c r="G112" s="362">
        <f t="shared" si="27"/>
        <v>4.499999999999992</v>
      </c>
      <c r="H112" s="362">
        <f t="shared" si="28"/>
        <v>12</v>
      </c>
      <c r="I112" s="362">
        <f t="shared" si="28"/>
        <v>5.0999999999999996</v>
      </c>
      <c r="J112" s="362">
        <v>0</v>
      </c>
      <c r="K112" s="362">
        <v>0</v>
      </c>
      <c r="L112" s="362">
        <v>0</v>
      </c>
      <c r="M112" s="362">
        <v>0</v>
      </c>
      <c r="N112" s="362">
        <v>0</v>
      </c>
      <c r="O112" s="362">
        <v>0</v>
      </c>
      <c r="P112" s="362">
        <v>0</v>
      </c>
      <c r="Q112" s="362">
        <v>1.6</v>
      </c>
      <c r="R112" s="362">
        <f t="shared" ca="1" si="23"/>
        <v>0</v>
      </c>
      <c r="S112" s="362">
        <f t="shared" ca="1" si="24"/>
        <v>0</v>
      </c>
      <c r="T112" s="323">
        <f t="shared" ca="1" si="26"/>
        <v>0</v>
      </c>
      <c r="U112" s="260">
        <f t="shared" ca="1" si="22"/>
        <v>1</v>
      </c>
      <c r="V112" s="260">
        <f t="shared" ca="1" si="22"/>
        <v>1</v>
      </c>
      <c r="W112" s="260">
        <f t="shared" ca="1" si="22"/>
        <v>1</v>
      </c>
      <c r="X112" s="260">
        <f t="shared" ca="1" si="22"/>
        <v>1</v>
      </c>
      <c r="Y112" s="260">
        <f t="shared" ca="1" si="22"/>
        <v>1</v>
      </c>
      <c r="Z112" s="260">
        <f t="shared" ca="1" si="22"/>
        <v>1</v>
      </c>
      <c r="AA112" s="260"/>
      <c r="AB112" s="257"/>
      <c r="AC112" s="260"/>
      <c r="AD112" s="257"/>
      <c r="AE112" s="257"/>
      <c r="AF112" s="257"/>
      <c r="AG112" s="257"/>
      <c r="AH112" s="257"/>
      <c r="AI112" s="257"/>
      <c r="AJ112" s="257"/>
    </row>
    <row r="113" spans="2:36" s="259" customFormat="1" x14ac:dyDescent="0.25">
      <c r="B113" s="258"/>
      <c r="C113" s="258"/>
      <c r="D113" s="266"/>
      <c r="E113" s="265"/>
      <c r="F113" s="265"/>
      <c r="G113" s="362">
        <f t="shared" si="27"/>
        <v>4.5499999999999918</v>
      </c>
      <c r="H113" s="362">
        <f t="shared" si="28"/>
        <v>12</v>
      </c>
      <c r="I113" s="362">
        <f t="shared" si="28"/>
        <v>5.0999999999999996</v>
      </c>
      <c r="J113" s="362">
        <v>0</v>
      </c>
      <c r="K113" s="362">
        <v>0</v>
      </c>
      <c r="L113" s="362">
        <v>0</v>
      </c>
      <c r="M113" s="362">
        <v>0</v>
      </c>
      <c r="N113" s="362">
        <v>0</v>
      </c>
      <c r="O113" s="362">
        <v>0</v>
      </c>
      <c r="P113" s="362">
        <v>0</v>
      </c>
      <c r="Q113" s="362">
        <v>1.6</v>
      </c>
      <c r="R113" s="362">
        <f t="shared" ca="1" si="23"/>
        <v>0</v>
      </c>
      <c r="S113" s="362">
        <f t="shared" ca="1" si="24"/>
        <v>0</v>
      </c>
      <c r="T113" s="323">
        <f t="shared" ca="1" si="26"/>
        <v>0</v>
      </c>
      <c r="U113" s="260">
        <f t="shared" ca="1" si="22"/>
        <v>1</v>
      </c>
      <c r="V113" s="260">
        <f t="shared" ca="1" si="22"/>
        <v>1</v>
      </c>
      <c r="W113" s="260">
        <f t="shared" ca="1" si="22"/>
        <v>1</v>
      </c>
      <c r="X113" s="260">
        <f t="shared" ca="1" si="22"/>
        <v>1</v>
      </c>
      <c r="Y113" s="260">
        <f t="shared" ca="1" si="22"/>
        <v>1</v>
      </c>
      <c r="Z113" s="260">
        <f t="shared" ca="1" si="22"/>
        <v>1</v>
      </c>
      <c r="AA113" s="260"/>
      <c r="AB113" s="257"/>
      <c r="AC113" s="260"/>
      <c r="AD113" s="257"/>
      <c r="AE113" s="257"/>
      <c r="AF113" s="257"/>
      <c r="AG113" s="257"/>
      <c r="AH113" s="257"/>
      <c r="AI113" s="257"/>
      <c r="AJ113" s="257"/>
    </row>
    <row r="114" spans="2:36" s="259" customFormat="1" x14ac:dyDescent="0.25">
      <c r="B114" s="258"/>
      <c r="C114" s="258"/>
      <c r="D114" s="266"/>
      <c r="E114" s="265"/>
      <c r="F114" s="265"/>
      <c r="G114" s="362">
        <f t="shared" si="27"/>
        <v>4.5999999999999917</v>
      </c>
      <c r="H114" s="362">
        <f t="shared" si="28"/>
        <v>12</v>
      </c>
      <c r="I114" s="362">
        <f t="shared" si="28"/>
        <v>5.0999999999999996</v>
      </c>
      <c r="J114" s="362">
        <v>0</v>
      </c>
      <c r="K114" s="362">
        <v>0</v>
      </c>
      <c r="L114" s="362">
        <v>0</v>
      </c>
      <c r="M114" s="362">
        <v>0</v>
      </c>
      <c r="N114" s="362">
        <v>0</v>
      </c>
      <c r="O114" s="362">
        <v>0</v>
      </c>
      <c r="P114" s="362">
        <v>0</v>
      </c>
      <c r="Q114" s="362" t="s">
        <v>534</v>
      </c>
      <c r="R114" s="362">
        <f t="shared" ca="1" si="23"/>
        <v>0</v>
      </c>
      <c r="S114" s="362">
        <f t="shared" ca="1" si="24"/>
        <v>0</v>
      </c>
      <c r="T114" s="323">
        <f t="shared" ca="1" si="26"/>
        <v>0</v>
      </c>
      <c r="U114" s="260">
        <f t="shared" ca="1" si="22"/>
        <v>1</v>
      </c>
      <c r="V114" s="260">
        <f t="shared" ca="1" si="22"/>
        <v>1</v>
      </c>
      <c r="W114" s="260">
        <f t="shared" ca="1" si="22"/>
        <v>1</v>
      </c>
      <c r="X114" s="260">
        <f t="shared" ca="1" si="22"/>
        <v>1</v>
      </c>
      <c r="Y114" s="260">
        <f t="shared" ca="1" si="22"/>
        <v>1</v>
      </c>
      <c r="Z114" s="260">
        <f t="shared" ca="1" si="22"/>
        <v>1</v>
      </c>
      <c r="AA114" s="260"/>
      <c r="AB114" s="257"/>
      <c r="AC114" s="260"/>
      <c r="AD114" s="257"/>
      <c r="AE114" s="257"/>
      <c r="AF114" s="257"/>
      <c r="AG114" s="257"/>
      <c r="AH114" s="257"/>
      <c r="AI114" s="257"/>
      <c r="AJ114" s="257"/>
    </row>
    <row r="115" spans="2:36" s="259" customFormat="1" x14ac:dyDescent="0.25">
      <c r="B115" s="258"/>
      <c r="C115" s="258"/>
      <c r="D115" s="266"/>
      <c r="E115" s="265"/>
      <c r="F115" s="265" t="s">
        <v>877</v>
      </c>
      <c r="G115" s="362">
        <f t="shared" si="27"/>
        <v>4.6499999999999915</v>
      </c>
      <c r="H115" s="362">
        <f t="shared" si="28"/>
        <v>12</v>
      </c>
      <c r="I115" s="362">
        <f t="shared" si="28"/>
        <v>5.0999999999999996</v>
      </c>
      <c r="J115" s="362">
        <f>$J$124/10</f>
        <v>0.5</v>
      </c>
      <c r="K115" s="362">
        <f>MAX(K114,J115-0.5)</f>
        <v>0</v>
      </c>
      <c r="L115" s="362">
        <v>0</v>
      </c>
      <c r="M115" s="362">
        <v>0</v>
      </c>
      <c r="N115" s="362">
        <v>0</v>
      </c>
      <c r="O115" s="362">
        <v>0</v>
      </c>
      <c r="P115" s="362">
        <v>0</v>
      </c>
      <c r="Q115" s="362" t="s">
        <v>534</v>
      </c>
      <c r="R115" s="362">
        <f t="shared" ca="1" si="23"/>
        <v>0</v>
      </c>
      <c r="S115" s="362">
        <f t="shared" ca="1" si="24"/>
        <v>1.6</v>
      </c>
      <c r="T115" s="323">
        <f t="shared" ca="1" si="26"/>
        <v>4.9999999999999822E-2</v>
      </c>
      <c r="U115" s="260">
        <f t="shared" ca="1" si="22"/>
        <v>1</v>
      </c>
      <c r="V115" s="260">
        <f t="shared" ca="1" si="22"/>
        <v>1</v>
      </c>
      <c r="W115" s="260">
        <f t="shared" ca="1" si="22"/>
        <v>1</v>
      </c>
      <c r="X115" s="260">
        <f t="shared" ca="1" si="22"/>
        <v>1</v>
      </c>
      <c r="Y115" s="260">
        <f t="shared" ca="1" si="22"/>
        <v>1</v>
      </c>
      <c r="Z115" s="260">
        <f t="shared" ca="1" si="22"/>
        <v>1</v>
      </c>
      <c r="AA115" s="260"/>
      <c r="AB115" s="257"/>
      <c r="AC115" s="260"/>
      <c r="AD115" s="257"/>
      <c r="AE115" s="257"/>
      <c r="AF115" s="257"/>
      <c r="AG115" s="257"/>
      <c r="AH115" s="257"/>
      <c r="AI115" s="257"/>
      <c r="AJ115" s="257"/>
    </row>
    <row r="116" spans="2:36" s="259" customFormat="1" x14ac:dyDescent="0.25">
      <c r="B116" s="258"/>
      <c r="C116" s="258"/>
      <c r="D116" s="266"/>
      <c r="E116" s="265"/>
      <c r="F116" s="265" t="s">
        <v>877</v>
      </c>
      <c r="G116" s="362">
        <f t="shared" si="27"/>
        <v>4.6999999999999913</v>
      </c>
      <c r="H116" s="362">
        <f t="shared" si="28"/>
        <v>12</v>
      </c>
      <c r="I116" s="362">
        <f t="shared" si="28"/>
        <v>5.0999999999999996</v>
      </c>
      <c r="J116" s="362">
        <f t="shared" ref="J116:J123" si="29">$J$124/10+J115</f>
        <v>1</v>
      </c>
      <c r="K116" s="362">
        <f>MAX(K115,J116-0.5)</f>
        <v>0.5</v>
      </c>
      <c r="L116" s="362">
        <v>0</v>
      </c>
      <c r="M116" s="362">
        <v>0</v>
      </c>
      <c r="N116" s="362">
        <v>0</v>
      </c>
      <c r="O116" s="362">
        <v>0</v>
      </c>
      <c r="P116" s="362">
        <v>0</v>
      </c>
      <c r="Q116" s="362" t="s">
        <v>534</v>
      </c>
      <c r="R116" s="362">
        <f t="shared" ca="1" si="23"/>
        <v>0</v>
      </c>
      <c r="S116" s="362">
        <f t="shared" ca="1" si="24"/>
        <v>1.6</v>
      </c>
      <c r="T116" s="323">
        <f t="shared" ca="1" si="26"/>
        <v>9.9999999999999645E-2</v>
      </c>
      <c r="U116" s="260">
        <f t="shared" ca="1" si="22"/>
        <v>1</v>
      </c>
      <c r="V116" s="260">
        <f t="shared" ca="1" si="22"/>
        <v>1</v>
      </c>
      <c r="W116" s="260">
        <f t="shared" ca="1" si="22"/>
        <v>1</v>
      </c>
      <c r="X116" s="260">
        <f t="shared" ca="1" si="22"/>
        <v>1</v>
      </c>
      <c r="Y116" s="260">
        <f t="shared" ca="1" si="22"/>
        <v>1</v>
      </c>
      <c r="Z116" s="260">
        <f t="shared" ca="1" si="22"/>
        <v>1</v>
      </c>
      <c r="AA116" s="260"/>
      <c r="AB116" s="257"/>
      <c r="AC116" s="260"/>
      <c r="AD116" s="257"/>
      <c r="AE116" s="257"/>
      <c r="AF116" s="257"/>
      <c r="AG116" s="257"/>
      <c r="AH116" s="257"/>
      <c r="AI116" s="257"/>
      <c r="AJ116" s="257"/>
    </row>
    <row r="117" spans="2:36" s="259" customFormat="1" x14ac:dyDescent="0.25">
      <c r="B117" s="258"/>
      <c r="C117" s="258"/>
      <c r="D117" s="266"/>
      <c r="E117" s="265"/>
      <c r="F117" s="265" t="s">
        <v>877</v>
      </c>
      <c r="G117" s="362">
        <f t="shared" si="27"/>
        <v>4.7499999999999911</v>
      </c>
      <c r="H117" s="362">
        <f t="shared" si="28"/>
        <v>12</v>
      </c>
      <c r="I117" s="362">
        <f t="shared" si="28"/>
        <v>5.0999999999999996</v>
      </c>
      <c r="J117" s="362">
        <f t="shared" si="29"/>
        <v>1.5</v>
      </c>
      <c r="K117" s="362">
        <f t="shared" ref="K117:K124" si="30">MAX(K116,J117-0.5)</f>
        <v>1</v>
      </c>
      <c r="L117" s="362">
        <v>0</v>
      </c>
      <c r="M117" s="362">
        <v>0</v>
      </c>
      <c r="N117" s="362">
        <v>0</v>
      </c>
      <c r="O117" s="362">
        <v>0</v>
      </c>
      <c r="P117" s="362">
        <v>0</v>
      </c>
      <c r="Q117" s="362" t="s">
        <v>534</v>
      </c>
      <c r="R117" s="362">
        <f t="shared" ca="1" si="23"/>
        <v>0</v>
      </c>
      <c r="S117" s="362">
        <f t="shared" ca="1" si="24"/>
        <v>1.6</v>
      </c>
      <c r="T117" s="323">
        <f t="shared" ca="1" si="26"/>
        <v>0.14999999999999947</v>
      </c>
      <c r="U117" s="260">
        <f t="shared" ca="1" si="22"/>
        <v>1</v>
      </c>
      <c r="V117" s="260">
        <f t="shared" ca="1" si="22"/>
        <v>1</v>
      </c>
      <c r="W117" s="260">
        <f t="shared" ca="1" si="22"/>
        <v>1</v>
      </c>
      <c r="X117" s="260">
        <f t="shared" ca="1" si="22"/>
        <v>1</v>
      </c>
      <c r="Y117" s="260">
        <f t="shared" ca="1" si="22"/>
        <v>1</v>
      </c>
      <c r="Z117" s="260">
        <f t="shared" ca="1" si="22"/>
        <v>1</v>
      </c>
      <c r="AA117" s="260"/>
      <c r="AB117" s="257"/>
      <c r="AC117" s="260"/>
      <c r="AD117" s="257"/>
      <c r="AE117" s="257"/>
      <c r="AF117" s="257"/>
      <c r="AG117" s="257"/>
      <c r="AH117" s="257"/>
      <c r="AI117" s="257"/>
      <c r="AJ117" s="257"/>
    </row>
    <row r="118" spans="2:36" s="259" customFormat="1" x14ac:dyDescent="0.25">
      <c r="B118" s="258"/>
      <c r="C118" s="258"/>
      <c r="D118" s="266"/>
      <c r="E118" s="265"/>
      <c r="F118" s="265" t="s">
        <v>877</v>
      </c>
      <c r="G118" s="362">
        <f t="shared" si="27"/>
        <v>4.7999999999999909</v>
      </c>
      <c r="H118" s="362">
        <f t="shared" si="28"/>
        <v>12</v>
      </c>
      <c r="I118" s="362">
        <f t="shared" si="28"/>
        <v>5.0999999999999996</v>
      </c>
      <c r="J118" s="362">
        <f t="shared" si="29"/>
        <v>2</v>
      </c>
      <c r="K118" s="362">
        <f t="shared" si="30"/>
        <v>1.5</v>
      </c>
      <c r="L118" s="362">
        <v>0</v>
      </c>
      <c r="M118" s="362">
        <v>0</v>
      </c>
      <c r="N118" s="362">
        <v>0</v>
      </c>
      <c r="O118" s="362">
        <v>0</v>
      </c>
      <c r="P118" s="362">
        <v>0</v>
      </c>
      <c r="Q118" s="362" t="s">
        <v>534</v>
      </c>
      <c r="R118" s="362">
        <f t="shared" ca="1" si="23"/>
        <v>0</v>
      </c>
      <c r="S118" s="362">
        <f t="shared" ca="1" si="24"/>
        <v>1.6</v>
      </c>
      <c r="T118" s="323">
        <f t="shared" ca="1" si="26"/>
        <v>0.19999999999999929</v>
      </c>
      <c r="U118" s="260">
        <f t="shared" ca="1" si="22"/>
        <v>1</v>
      </c>
      <c r="V118" s="260">
        <f t="shared" ca="1" si="22"/>
        <v>1</v>
      </c>
      <c r="W118" s="260">
        <f t="shared" ca="1" si="22"/>
        <v>1</v>
      </c>
      <c r="X118" s="260">
        <f t="shared" ca="1" si="22"/>
        <v>1</v>
      </c>
      <c r="Y118" s="260">
        <f t="shared" ca="1" si="22"/>
        <v>1</v>
      </c>
      <c r="Z118" s="260">
        <f t="shared" ca="1" si="22"/>
        <v>1</v>
      </c>
      <c r="AA118" s="260"/>
      <c r="AB118" s="257"/>
      <c r="AC118" s="260"/>
      <c r="AD118" s="257"/>
      <c r="AE118" s="257"/>
      <c r="AF118" s="257"/>
      <c r="AG118" s="257"/>
      <c r="AH118" s="257"/>
      <c r="AI118" s="257"/>
      <c r="AJ118" s="257"/>
    </row>
    <row r="119" spans="2:36" s="259" customFormat="1" x14ac:dyDescent="0.25">
      <c r="B119" s="258"/>
      <c r="C119" s="258"/>
      <c r="D119" s="266"/>
      <c r="E119" s="265"/>
      <c r="F119" s="265" t="s">
        <v>877</v>
      </c>
      <c r="G119" s="362">
        <f t="shared" si="27"/>
        <v>4.8499999999999908</v>
      </c>
      <c r="H119" s="362">
        <f t="shared" si="28"/>
        <v>12</v>
      </c>
      <c r="I119" s="362">
        <f t="shared" si="28"/>
        <v>5.0999999999999996</v>
      </c>
      <c r="J119" s="362">
        <f t="shared" si="29"/>
        <v>2.5</v>
      </c>
      <c r="K119" s="362">
        <f t="shared" si="30"/>
        <v>2</v>
      </c>
      <c r="L119" s="362">
        <v>0</v>
      </c>
      <c r="M119" s="362">
        <v>0</v>
      </c>
      <c r="N119" s="362">
        <v>0</v>
      </c>
      <c r="O119" s="362">
        <v>0</v>
      </c>
      <c r="P119" s="362">
        <v>0</v>
      </c>
      <c r="Q119" s="362" t="s">
        <v>534</v>
      </c>
      <c r="R119" s="362">
        <f t="shared" ca="1" si="23"/>
        <v>4.8</v>
      </c>
      <c r="S119" s="362">
        <f t="shared" ca="1" si="24"/>
        <v>0</v>
      </c>
      <c r="T119" s="323">
        <f t="shared" ca="1" si="26"/>
        <v>0.24999999999999911</v>
      </c>
      <c r="U119" s="260">
        <f t="shared" ca="1" si="22"/>
        <v>1</v>
      </c>
      <c r="V119" s="260">
        <f t="shared" ca="1" si="22"/>
        <v>1</v>
      </c>
      <c r="W119" s="260">
        <f t="shared" ca="1" si="22"/>
        <v>1</v>
      </c>
      <c r="X119" s="260">
        <f t="shared" ca="1" si="22"/>
        <v>1</v>
      </c>
      <c r="Y119" s="260">
        <f t="shared" ca="1" si="22"/>
        <v>1</v>
      </c>
      <c r="Z119" s="260">
        <f t="shared" ca="1" si="22"/>
        <v>1</v>
      </c>
      <c r="AA119" s="260"/>
      <c r="AB119" s="257"/>
      <c r="AC119" s="260"/>
      <c r="AD119" s="257"/>
      <c r="AE119" s="257"/>
      <c r="AF119" s="257"/>
      <c r="AG119" s="257"/>
      <c r="AH119" s="257"/>
      <c r="AI119" s="257"/>
      <c r="AJ119" s="257"/>
    </row>
    <row r="120" spans="2:36" s="259" customFormat="1" x14ac:dyDescent="0.25">
      <c r="B120" s="258"/>
      <c r="C120" s="258"/>
      <c r="D120" s="266"/>
      <c r="E120" s="265"/>
      <c r="F120" s="265" t="s">
        <v>877</v>
      </c>
      <c r="G120" s="362">
        <f t="shared" si="27"/>
        <v>4.8999999999999906</v>
      </c>
      <c r="H120" s="362">
        <f t="shared" si="28"/>
        <v>12</v>
      </c>
      <c r="I120" s="362">
        <f t="shared" si="28"/>
        <v>5.0999999999999996</v>
      </c>
      <c r="J120" s="362">
        <f t="shared" si="29"/>
        <v>3</v>
      </c>
      <c r="K120" s="362">
        <f t="shared" si="30"/>
        <v>2.5</v>
      </c>
      <c r="L120" s="362">
        <v>0</v>
      </c>
      <c r="M120" s="362">
        <v>0</v>
      </c>
      <c r="N120" s="362">
        <v>0</v>
      </c>
      <c r="O120" s="362">
        <v>0</v>
      </c>
      <c r="P120" s="362">
        <v>0</v>
      </c>
      <c r="Q120" s="362" t="s">
        <v>534</v>
      </c>
      <c r="R120" s="362">
        <f t="shared" ca="1" si="23"/>
        <v>4.8</v>
      </c>
      <c r="S120" s="362">
        <f t="shared" ca="1" si="24"/>
        <v>0</v>
      </c>
      <c r="T120" s="323">
        <f t="shared" ca="1" si="26"/>
        <v>0.29999999999999893</v>
      </c>
      <c r="U120" s="260">
        <f t="shared" ca="1" si="22"/>
        <v>1</v>
      </c>
      <c r="V120" s="260">
        <f t="shared" ca="1" si="22"/>
        <v>1</v>
      </c>
      <c r="W120" s="260">
        <f t="shared" ca="1" si="22"/>
        <v>1</v>
      </c>
      <c r="X120" s="260">
        <f t="shared" ref="V120:Z171" ca="1" si="31">IF(OR(X$17="ABIST1_No",COUNTIF($V$2,X$18)),1,IF(AND(X$19&lt;&gt;0,OFFSET($I120,0,MATCH(X$18,$J$21:$P$21,0))=X$19),1,0))</f>
        <v>1</v>
      </c>
      <c r="Y120" s="260">
        <f t="shared" ca="1" si="31"/>
        <v>1</v>
      </c>
      <c r="Z120" s="260">
        <f t="shared" ca="1" si="31"/>
        <v>1</v>
      </c>
      <c r="AA120" s="260"/>
      <c r="AB120" s="257"/>
      <c r="AC120" s="260"/>
      <c r="AD120" s="257"/>
      <c r="AE120" s="257"/>
      <c r="AF120" s="257"/>
      <c r="AG120" s="257"/>
      <c r="AH120" s="257"/>
      <c r="AI120" s="257"/>
      <c r="AJ120" s="257"/>
    </row>
    <row r="121" spans="2:36" s="259" customFormat="1" x14ac:dyDescent="0.25">
      <c r="B121" s="258"/>
      <c r="C121" s="258"/>
      <c r="D121" s="266"/>
      <c r="E121" s="265"/>
      <c r="F121" s="265" t="s">
        <v>877</v>
      </c>
      <c r="G121" s="362">
        <f t="shared" si="27"/>
        <v>4.9499999999999904</v>
      </c>
      <c r="H121" s="362">
        <f t="shared" si="28"/>
        <v>12</v>
      </c>
      <c r="I121" s="362">
        <f t="shared" si="28"/>
        <v>5.0999999999999996</v>
      </c>
      <c r="J121" s="362">
        <f t="shared" si="29"/>
        <v>3.5</v>
      </c>
      <c r="K121" s="362">
        <f t="shared" si="30"/>
        <v>3</v>
      </c>
      <c r="L121" s="362">
        <v>0</v>
      </c>
      <c r="M121" s="362">
        <v>0</v>
      </c>
      <c r="N121" s="362">
        <v>0</v>
      </c>
      <c r="O121" s="362">
        <v>0</v>
      </c>
      <c r="P121" s="362">
        <v>0</v>
      </c>
      <c r="Q121" s="362" t="s">
        <v>534</v>
      </c>
      <c r="R121" s="362">
        <f t="shared" ca="1" si="23"/>
        <v>4.8</v>
      </c>
      <c r="S121" s="362">
        <f t="shared" ca="1" si="24"/>
        <v>0</v>
      </c>
      <c r="T121" s="323">
        <f t="shared" ca="1" si="26"/>
        <v>0.34999999999999876</v>
      </c>
      <c r="U121" s="260">
        <f t="shared" ref="U121:U184" ca="1" si="32">IF(OR(U$17="ABIST1_No",COUNTIF($V$2,U$18)),1,IF(AND(U$19&lt;&gt;0,OFFSET($I121,0,MATCH(U$18,$J$21:$P$21,0))=U$19),1,0))</f>
        <v>1</v>
      </c>
      <c r="V121" s="260">
        <f t="shared" ca="1" si="31"/>
        <v>1</v>
      </c>
      <c r="W121" s="260">
        <f t="shared" ca="1" si="31"/>
        <v>1</v>
      </c>
      <c r="X121" s="260">
        <f t="shared" ca="1" si="31"/>
        <v>1</v>
      </c>
      <c r="Y121" s="260">
        <f t="shared" ca="1" si="31"/>
        <v>1</v>
      </c>
      <c r="Z121" s="260">
        <f t="shared" ca="1" si="31"/>
        <v>1</v>
      </c>
      <c r="AA121" s="260"/>
      <c r="AB121" s="257"/>
      <c r="AC121" s="260"/>
      <c r="AD121" s="257"/>
      <c r="AE121" s="257"/>
      <c r="AF121" s="257"/>
      <c r="AG121" s="257"/>
      <c r="AH121" s="257"/>
      <c r="AI121" s="257"/>
      <c r="AJ121" s="257"/>
    </row>
    <row r="122" spans="2:36" s="259" customFormat="1" x14ac:dyDescent="0.25">
      <c r="B122" s="258"/>
      <c r="C122" s="258"/>
      <c r="D122" s="266"/>
      <c r="E122" s="265"/>
      <c r="F122" s="265" t="s">
        <v>877</v>
      </c>
      <c r="G122" s="362">
        <f t="shared" si="27"/>
        <v>4.9999999999999902</v>
      </c>
      <c r="H122" s="362">
        <f t="shared" si="28"/>
        <v>12</v>
      </c>
      <c r="I122" s="362">
        <f t="shared" si="28"/>
        <v>5.0999999999999996</v>
      </c>
      <c r="J122" s="362">
        <f t="shared" si="29"/>
        <v>4</v>
      </c>
      <c r="K122" s="362">
        <f t="shared" si="30"/>
        <v>3.5</v>
      </c>
      <c r="L122" s="362">
        <v>0</v>
      </c>
      <c r="M122" s="362">
        <v>0</v>
      </c>
      <c r="N122" s="362">
        <v>0</v>
      </c>
      <c r="O122" s="362">
        <v>0</v>
      </c>
      <c r="P122" s="362">
        <v>0</v>
      </c>
      <c r="Q122" s="362" t="s">
        <v>534</v>
      </c>
      <c r="R122" s="362">
        <f t="shared" ca="1" si="23"/>
        <v>4.8</v>
      </c>
      <c r="S122" s="362">
        <f t="shared" ca="1" si="24"/>
        <v>0</v>
      </c>
      <c r="T122" s="323">
        <f t="shared" ca="1" si="26"/>
        <v>0.39999999999999858</v>
      </c>
      <c r="U122" s="260">
        <f t="shared" ca="1" si="32"/>
        <v>1</v>
      </c>
      <c r="V122" s="260">
        <f t="shared" ca="1" si="31"/>
        <v>1</v>
      </c>
      <c r="W122" s="260">
        <f t="shared" ca="1" si="31"/>
        <v>1</v>
      </c>
      <c r="X122" s="260">
        <f t="shared" ca="1" si="31"/>
        <v>1</v>
      </c>
      <c r="Y122" s="260">
        <f t="shared" ca="1" si="31"/>
        <v>1</v>
      </c>
      <c r="Z122" s="260">
        <f t="shared" ca="1" si="31"/>
        <v>1</v>
      </c>
      <c r="AA122" s="260"/>
      <c r="AB122" s="257"/>
      <c r="AC122" s="260"/>
      <c r="AD122" s="257"/>
      <c r="AE122" s="257"/>
      <c r="AF122" s="257"/>
      <c r="AG122" s="257"/>
      <c r="AH122" s="257"/>
      <c r="AI122" s="257"/>
      <c r="AJ122" s="257"/>
    </row>
    <row r="123" spans="2:36" s="259" customFormat="1" x14ac:dyDescent="0.25">
      <c r="B123" s="258"/>
      <c r="C123" s="258"/>
      <c r="D123" s="266"/>
      <c r="E123" s="265"/>
      <c r="F123" s="265" t="s">
        <v>877</v>
      </c>
      <c r="G123" s="362">
        <f t="shared" si="27"/>
        <v>5.0499999999999901</v>
      </c>
      <c r="H123" s="362">
        <f t="shared" si="28"/>
        <v>12</v>
      </c>
      <c r="I123" s="362">
        <f t="shared" si="28"/>
        <v>5.0999999999999996</v>
      </c>
      <c r="J123" s="362">
        <f t="shared" si="29"/>
        <v>4.5</v>
      </c>
      <c r="K123" s="362">
        <f t="shared" si="30"/>
        <v>4</v>
      </c>
      <c r="L123" s="362">
        <v>0</v>
      </c>
      <c r="M123" s="362">
        <v>0</v>
      </c>
      <c r="N123" s="362">
        <v>0</v>
      </c>
      <c r="O123" s="362">
        <v>0</v>
      </c>
      <c r="P123" s="362">
        <v>0</v>
      </c>
      <c r="Q123" s="362" t="s">
        <v>534</v>
      </c>
      <c r="R123" s="362">
        <f t="shared" ca="1" si="23"/>
        <v>4.8</v>
      </c>
      <c r="S123" s="362">
        <f t="shared" ca="1" si="24"/>
        <v>0</v>
      </c>
      <c r="T123" s="323">
        <f t="shared" ca="1" si="26"/>
        <v>0.4499999999999984</v>
      </c>
      <c r="U123" s="260">
        <f t="shared" ca="1" si="32"/>
        <v>1</v>
      </c>
      <c r="V123" s="260">
        <f t="shared" ca="1" si="31"/>
        <v>1</v>
      </c>
      <c r="W123" s="260">
        <f t="shared" ca="1" si="31"/>
        <v>1</v>
      </c>
      <c r="X123" s="260">
        <f t="shared" ca="1" si="31"/>
        <v>1</v>
      </c>
      <c r="Y123" s="260">
        <f t="shared" ca="1" si="31"/>
        <v>1</v>
      </c>
      <c r="Z123" s="260">
        <f t="shared" ca="1" si="31"/>
        <v>1</v>
      </c>
      <c r="AA123" s="260"/>
      <c r="AB123" s="257"/>
      <c r="AC123" s="260"/>
      <c r="AD123" s="257"/>
      <c r="AE123" s="257"/>
      <c r="AF123" s="257"/>
      <c r="AG123" s="257"/>
      <c r="AH123" s="257"/>
      <c r="AI123" s="257"/>
      <c r="AJ123" s="257"/>
    </row>
    <row r="124" spans="2:36" s="259" customFormat="1" x14ac:dyDescent="0.25">
      <c r="B124" s="258"/>
      <c r="C124" s="258"/>
      <c r="D124" s="266"/>
      <c r="E124" s="363">
        <v>0</v>
      </c>
      <c r="F124" s="265" t="s">
        <v>877</v>
      </c>
      <c r="G124" s="362">
        <f t="shared" si="27"/>
        <v>5.0999999999999899</v>
      </c>
      <c r="H124" s="362">
        <f t="shared" si="28"/>
        <v>12</v>
      </c>
      <c r="I124" s="362">
        <f t="shared" si="28"/>
        <v>5.0999999999999996</v>
      </c>
      <c r="J124" s="362">
        <f>VALUE(LEFT(B13,4))</f>
        <v>5</v>
      </c>
      <c r="K124" s="362">
        <f t="shared" si="30"/>
        <v>4.5</v>
      </c>
      <c r="L124" s="362">
        <v>0</v>
      </c>
      <c r="M124" s="362">
        <v>0</v>
      </c>
      <c r="N124" s="362">
        <v>0</v>
      </c>
      <c r="O124" s="362">
        <v>0</v>
      </c>
      <c r="P124" s="362">
        <v>0</v>
      </c>
      <c r="Q124" s="362" t="s">
        <v>534</v>
      </c>
      <c r="R124" s="362">
        <f t="shared" ca="1" si="23"/>
        <v>4.8</v>
      </c>
      <c r="S124" s="362">
        <f t="shared" ca="1" si="24"/>
        <v>0</v>
      </c>
      <c r="T124" s="323">
        <f t="shared" ca="1" si="26"/>
        <v>0.49999999999999822</v>
      </c>
      <c r="U124" s="260">
        <f t="shared" ca="1" si="32"/>
        <v>1</v>
      </c>
      <c r="V124" s="260">
        <f t="shared" ca="1" si="31"/>
        <v>1</v>
      </c>
      <c r="W124" s="260">
        <f t="shared" ca="1" si="31"/>
        <v>1</v>
      </c>
      <c r="X124" s="260">
        <f t="shared" ca="1" si="31"/>
        <v>1</v>
      </c>
      <c r="Y124" s="260">
        <f t="shared" ca="1" si="31"/>
        <v>1</v>
      </c>
      <c r="Z124" s="260">
        <f t="shared" ca="1" si="31"/>
        <v>1</v>
      </c>
      <c r="AA124" s="260"/>
      <c r="AB124" s="257"/>
      <c r="AC124" s="260"/>
      <c r="AD124" s="257"/>
      <c r="AE124" s="257"/>
      <c r="AF124" s="257"/>
      <c r="AG124" s="257"/>
      <c r="AH124" s="257"/>
      <c r="AI124" s="257"/>
      <c r="AJ124" s="257"/>
    </row>
    <row r="125" spans="2:36" s="259" customFormat="1" x14ac:dyDescent="0.25">
      <c r="B125" s="258"/>
      <c r="C125" s="258"/>
      <c r="D125" s="266"/>
      <c r="E125" s="363">
        <f t="shared" ref="E125:E134" si="33">E124+VBOOST/10</f>
        <v>0.49000000000000005</v>
      </c>
      <c r="F125" s="265" t="s">
        <v>878</v>
      </c>
      <c r="G125" s="362">
        <f>G124+0.05</f>
        <v>5.1499999999999897</v>
      </c>
      <c r="H125" s="362">
        <f t="shared" si="28"/>
        <v>12</v>
      </c>
      <c r="I125" s="362">
        <f t="shared" si="28"/>
        <v>5.0999999999999996</v>
      </c>
      <c r="J125" s="362">
        <f>J124</f>
        <v>5</v>
      </c>
      <c r="K125" s="362">
        <f>IF(EXACT($B$23,"No"),J124-0.1,MAX(K124,E125))</f>
        <v>4.5</v>
      </c>
      <c r="L125" s="362">
        <v>0</v>
      </c>
      <c r="M125" s="362">
        <v>0</v>
      </c>
      <c r="N125" s="362">
        <v>0</v>
      </c>
      <c r="O125" s="362">
        <v>0</v>
      </c>
      <c r="P125" s="362">
        <v>0</v>
      </c>
      <c r="Q125" s="362" t="s">
        <v>534</v>
      </c>
      <c r="R125" s="362">
        <f t="shared" ca="1" si="23"/>
        <v>4.8</v>
      </c>
      <c r="S125" s="362">
        <f t="shared" ca="1" si="24"/>
        <v>0</v>
      </c>
      <c r="T125" s="323">
        <f t="shared" ca="1" si="26"/>
        <v>0.54999999999999805</v>
      </c>
      <c r="U125" s="260">
        <f t="shared" ca="1" si="32"/>
        <v>1</v>
      </c>
      <c r="V125" s="260">
        <f t="shared" ca="1" si="31"/>
        <v>1</v>
      </c>
      <c r="W125" s="260">
        <f t="shared" ca="1" si="31"/>
        <v>1</v>
      </c>
      <c r="X125" s="260">
        <f t="shared" ca="1" si="31"/>
        <v>1</v>
      </c>
      <c r="Y125" s="260">
        <f t="shared" ca="1" si="31"/>
        <v>1</v>
      </c>
      <c r="Z125" s="260">
        <f t="shared" ca="1" si="31"/>
        <v>1</v>
      </c>
      <c r="AA125" s="260"/>
      <c r="AB125" s="257"/>
      <c r="AC125" s="260"/>
      <c r="AF125" s="257"/>
      <c r="AG125" s="257"/>
      <c r="AH125" s="257"/>
      <c r="AI125" s="257"/>
      <c r="AJ125" s="257"/>
    </row>
    <row r="126" spans="2:36" s="259" customFormat="1" x14ac:dyDescent="0.25">
      <c r="B126" s="258"/>
      <c r="C126" s="258"/>
      <c r="D126" s="266"/>
      <c r="E126" s="363">
        <f t="shared" si="33"/>
        <v>0.98000000000000009</v>
      </c>
      <c r="F126" s="265" t="s">
        <v>878</v>
      </c>
      <c r="G126" s="362">
        <f t="shared" ref="G126:G134" si="34">G125+0.05*EXACT($B$23,"Yes")</f>
        <v>5.1999999999999895</v>
      </c>
      <c r="H126" s="362">
        <f t="shared" si="28"/>
        <v>12</v>
      </c>
      <c r="I126" s="362">
        <f t="shared" si="28"/>
        <v>5.0999999999999996</v>
      </c>
      <c r="J126" s="362">
        <f t="shared" si="28"/>
        <v>5</v>
      </c>
      <c r="K126" s="362">
        <f t="shared" ref="K126:K134" si="35">IF(EXACT($B$23,"No"),J125-0.1,MAX(K125,E126))</f>
        <v>4.5</v>
      </c>
      <c r="L126" s="362">
        <v>0</v>
      </c>
      <c r="M126" s="362">
        <v>0</v>
      </c>
      <c r="N126" s="362">
        <v>0</v>
      </c>
      <c r="O126" s="362">
        <v>0</v>
      </c>
      <c r="P126" s="362">
        <v>0</v>
      </c>
      <c r="Q126" s="362" t="s">
        <v>534</v>
      </c>
      <c r="R126" s="362">
        <f t="shared" ca="1" si="23"/>
        <v>4.8</v>
      </c>
      <c r="S126" s="362">
        <f t="shared" ca="1" si="24"/>
        <v>0</v>
      </c>
      <c r="T126" s="323">
        <f t="shared" ca="1" si="26"/>
        <v>0.59999999999999787</v>
      </c>
      <c r="U126" s="260">
        <f t="shared" ca="1" si="32"/>
        <v>1</v>
      </c>
      <c r="V126" s="260">
        <f t="shared" ca="1" si="31"/>
        <v>1</v>
      </c>
      <c r="W126" s="260">
        <f t="shared" ca="1" si="31"/>
        <v>1</v>
      </c>
      <c r="X126" s="260">
        <f t="shared" ca="1" si="31"/>
        <v>1</v>
      </c>
      <c r="Y126" s="260">
        <f t="shared" ca="1" si="31"/>
        <v>1</v>
      </c>
      <c r="Z126" s="260">
        <f t="shared" ca="1" si="31"/>
        <v>1</v>
      </c>
      <c r="AA126" s="260"/>
      <c r="AB126" s="257"/>
      <c r="AC126" s="260"/>
      <c r="AD126" s="257"/>
      <c r="AE126" s="257"/>
      <c r="AF126" s="257"/>
      <c r="AG126" s="257"/>
      <c r="AH126" s="257"/>
      <c r="AI126" s="257"/>
      <c r="AJ126" s="257"/>
    </row>
    <row r="127" spans="2:36" s="259" customFormat="1" x14ac:dyDescent="0.25">
      <c r="B127" s="258"/>
      <c r="C127" s="258"/>
      <c r="D127" s="266"/>
      <c r="E127" s="363">
        <f t="shared" si="33"/>
        <v>1.4700000000000002</v>
      </c>
      <c r="F127" s="265" t="s">
        <v>878</v>
      </c>
      <c r="G127" s="362">
        <f t="shared" si="34"/>
        <v>5.2499999999999893</v>
      </c>
      <c r="H127" s="362">
        <f t="shared" si="28"/>
        <v>12</v>
      </c>
      <c r="I127" s="362">
        <f t="shared" si="28"/>
        <v>5.0999999999999996</v>
      </c>
      <c r="J127" s="362">
        <f t="shared" si="28"/>
        <v>5</v>
      </c>
      <c r="K127" s="362">
        <f t="shared" si="35"/>
        <v>4.5</v>
      </c>
      <c r="L127" s="362">
        <v>0</v>
      </c>
      <c r="M127" s="362">
        <v>0</v>
      </c>
      <c r="N127" s="362">
        <v>0</v>
      </c>
      <c r="O127" s="362">
        <v>0</v>
      </c>
      <c r="P127" s="362">
        <v>0</v>
      </c>
      <c r="Q127" s="362" t="s">
        <v>534</v>
      </c>
      <c r="R127" s="362">
        <f t="shared" ca="1" si="23"/>
        <v>4.8</v>
      </c>
      <c r="S127" s="362">
        <f t="shared" ca="1" si="24"/>
        <v>0</v>
      </c>
      <c r="T127" s="323">
        <f t="shared" ca="1" si="26"/>
        <v>0.64999999999999769</v>
      </c>
      <c r="U127" s="260">
        <f t="shared" ca="1" si="32"/>
        <v>1</v>
      </c>
      <c r="V127" s="260">
        <f t="shared" ca="1" si="31"/>
        <v>1</v>
      </c>
      <c r="W127" s="260">
        <f t="shared" ca="1" si="31"/>
        <v>1</v>
      </c>
      <c r="X127" s="260">
        <f t="shared" ca="1" si="31"/>
        <v>1</v>
      </c>
      <c r="Y127" s="260">
        <f t="shared" ca="1" si="31"/>
        <v>1</v>
      </c>
      <c r="Z127" s="260">
        <f t="shared" ca="1" si="31"/>
        <v>1</v>
      </c>
      <c r="AA127" s="260"/>
      <c r="AB127" s="257"/>
      <c r="AC127" s="260"/>
      <c r="AD127" s="257"/>
      <c r="AE127" s="257"/>
      <c r="AF127" s="257"/>
      <c r="AG127" s="257"/>
      <c r="AH127" s="257"/>
      <c r="AI127" s="257"/>
      <c r="AJ127" s="257"/>
    </row>
    <row r="128" spans="2:36" s="259" customFormat="1" x14ac:dyDescent="0.25">
      <c r="B128" s="258"/>
      <c r="C128" s="258"/>
      <c r="D128" s="266"/>
      <c r="E128" s="363">
        <f t="shared" si="33"/>
        <v>1.9600000000000002</v>
      </c>
      <c r="F128" s="265" t="s">
        <v>878</v>
      </c>
      <c r="G128" s="362">
        <f t="shared" si="34"/>
        <v>5.2999999999999892</v>
      </c>
      <c r="H128" s="362">
        <f t="shared" si="28"/>
        <v>12</v>
      </c>
      <c r="I128" s="362">
        <f t="shared" si="28"/>
        <v>5.0999999999999996</v>
      </c>
      <c r="J128" s="362">
        <f t="shared" si="28"/>
        <v>5</v>
      </c>
      <c r="K128" s="362">
        <f t="shared" si="35"/>
        <v>4.5</v>
      </c>
      <c r="L128" s="362">
        <v>0</v>
      </c>
      <c r="M128" s="362">
        <v>0</v>
      </c>
      <c r="N128" s="362">
        <v>0</v>
      </c>
      <c r="O128" s="362">
        <v>0</v>
      </c>
      <c r="P128" s="362">
        <v>0</v>
      </c>
      <c r="Q128" s="362" t="s">
        <v>534</v>
      </c>
      <c r="R128" s="362">
        <f t="shared" ca="1" si="23"/>
        <v>4.8</v>
      </c>
      <c r="S128" s="362">
        <f t="shared" ca="1" si="24"/>
        <v>0</v>
      </c>
      <c r="T128" s="323">
        <f t="shared" ca="1" si="26"/>
        <v>0.69999999999999751</v>
      </c>
      <c r="U128" s="260">
        <f t="shared" ca="1" si="32"/>
        <v>1</v>
      </c>
      <c r="V128" s="260">
        <f t="shared" ca="1" si="31"/>
        <v>1</v>
      </c>
      <c r="W128" s="260">
        <f t="shared" ca="1" si="31"/>
        <v>1</v>
      </c>
      <c r="X128" s="260">
        <f t="shared" ca="1" si="31"/>
        <v>1</v>
      </c>
      <c r="Y128" s="260">
        <f t="shared" ca="1" si="31"/>
        <v>1</v>
      </c>
      <c r="Z128" s="260">
        <f t="shared" ca="1" si="31"/>
        <v>1</v>
      </c>
      <c r="AA128" s="260"/>
      <c r="AB128" s="257"/>
      <c r="AC128" s="260"/>
      <c r="AD128" s="257"/>
      <c r="AE128" s="257"/>
      <c r="AF128" s="257"/>
      <c r="AG128" s="257"/>
      <c r="AH128" s="257"/>
      <c r="AI128" s="257"/>
      <c r="AJ128" s="257"/>
    </row>
    <row r="129" spans="2:36" s="259" customFormat="1" x14ac:dyDescent="0.25">
      <c r="B129" s="258"/>
      <c r="C129" s="258"/>
      <c r="D129" s="266"/>
      <c r="E129" s="363">
        <f t="shared" si="33"/>
        <v>2.4500000000000002</v>
      </c>
      <c r="F129" s="265" t="s">
        <v>878</v>
      </c>
      <c r="G129" s="362">
        <f t="shared" si="34"/>
        <v>5.349999999999989</v>
      </c>
      <c r="H129" s="362">
        <f t="shared" si="28"/>
        <v>12</v>
      </c>
      <c r="I129" s="362">
        <f t="shared" si="28"/>
        <v>5.0999999999999996</v>
      </c>
      <c r="J129" s="362">
        <f t="shared" si="28"/>
        <v>5</v>
      </c>
      <c r="K129" s="362">
        <f t="shared" si="35"/>
        <v>4.5</v>
      </c>
      <c r="L129" s="362">
        <v>0</v>
      </c>
      <c r="M129" s="362">
        <v>0</v>
      </c>
      <c r="N129" s="362">
        <v>0</v>
      </c>
      <c r="O129" s="362">
        <v>0</v>
      </c>
      <c r="P129" s="362">
        <v>0</v>
      </c>
      <c r="Q129" s="362" t="s">
        <v>534</v>
      </c>
      <c r="R129" s="362">
        <f t="shared" ca="1" si="23"/>
        <v>4.8</v>
      </c>
      <c r="S129" s="362">
        <f t="shared" ca="1" si="24"/>
        <v>0</v>
      </c>
      <c r="T129" s="323">
        <f t="shared" ca="1" si="26"/>
        <v>0.74999999999999734</v>
      </c>
      <c r="U129" s="260">
        <f t="shared" ca="1" si="32"/>
        <v>1</v>
      </c>
      <c r="V129" s="260">
        <f t="shared" ca="1" si="31"/>
        <v>1</v>
      </c>
      <c r="W129" s="260">
        <f t="shared" ca="1" si="31"/>
        <v>1</v>
      </c>
      <c r="X129" s="260">
        <f t="shared" ca="1" si="31"/>
        <v>1</v>
      </c>
      <c r="Y129" s="260">
        <f t="shared" ca="1" si="31"/>
        <v>1</v>
      </c>
      <c r="Z129" s="260">
        <f t="shared" ca="1" si="31"/>
        <v>1</v>
      </c>
      <c r="AA129" s="260"/>
      <c r="AB129" s="257"/>
      <c r="AC129" s="260"/>
      <c r="AD129" s="257"/>
      <c r="AE129" s="257"/>
      <c r="AF129" s="257"/>
      <c r="AG129" s="257"/>
      <c r="AH129" s="257"/>
      <c r="AI129" s="257"/>
      <c r="AJ129" s="257"/>
    </row>
    <row r="130" spans="2:36" s="259" customFormat="1" x14ac:dyDescent="0.25">
      <c r="B130" s="258"/>
      <c r="C130" s="258"/>
      <c r="D130" s="294"/>
      <c r="E130" s="363">
        <f t="shared" si="33"/>
        <v>2.9400000000000004</v>
      </c>
      <c r="F130" s="265" t="s">
        <v>878</v>
      </c>
      <c r="G130" s="362">
        <f t="shared" si="34"/>
        <v>5.3999999999999888</v>
      </c>
      <c r="H130" s="362">
        <f t="shared" si="28"/>
        <v>12</v>
      </c>
      <c r="I130" s="362">
        <f t="shared" si="28"/>
        <v>5.0999999999999996</v>
      </c>
      <c r="J130" s="362">
        <f t="shared" si="28"/>
        <v>5</v>
      </c>
      <c r="K130" s="362">
        <f t="shared" si="35"/>
        <v>4.5</v>
      </c>
      <c r="L130" s="362">
        <v>0</v>
      </c>
      <c r="M130" s="362">
        <v>0</v>
      </c>
      <c r="N130" s="362">
        <v>0</v>
      </c>
      <c r="O130" s="362">
        <v>0</v>
      </c>
      <c r="P130" s="362">
        <v>0</v>
      </c>
      <c r="Q130" s="362" t="s">
        <v>534</v>
      </c>
      <c r="R130" s="362">
        <f t="shared" ca="1" si="23"/>
        <v>4.8</v>
      </c>
      <c r="S130" s="362">
        <f t="shared" ca="1" si="24"/>
        <v>0</v>
      </c>
      <c r="T130" s="323">
        <f t="shared" ca="1" si="26"/>
        <v>0.79999999999999716</v>
      </c>
      <c r="U130" s="260">
        <f t="shared" ca="1" si="32"/>
        <v>1</v>
      </c>
      <c r="V130" s="260">
        <f t="shared" ca="1" si="31"/>
        <v>1</v>
      </c>
      <c r="W130" s="260">
        <f t="shared" ca="1" si="31"/>
        <v>1</v>
      </c>
      <c r="X130" s="260">
        <f t="shared" ca="1" si="31"/>
        <v>1</v>
      </c>
      <c r="Y130" s="260">
        <f t="shared" ca="1" si="31"/>
        <v>1</v>
      </c>
      <c r="Z130" s="260">
        <f t="shared" ca="1" si="31"/>
        <v>1</v>
      </c>
      <c r="AA130" s="260"/>
      <c r="AB130" s="257"/>
      <c r="AC130" s="260"/>
      <c r="AD130" s="257"/>
      <c r="AE130" s="257"/>
      <c r="AF130" s="257"/>
      <c r="AG130" s="257"/>
      <c r="AH130" s="257"/>
      <c r="AI130" s="257"/>
      <c r="AJ130" s="257"/>
    </row>
    <row r="131" spans="2:36" s="259" customFormat="1" x14ac:dyDescent="0.25">
      <c r="B131" s="258"/>
      <c r="C131" s="258"/>
      <c r="D131" s="294"/>
      <c r="E131" s="363">
        <f t="shared" si="33"/>
        <v>3.4300000000000006</v>
      </c>
      <c r="F131" s="265" t="s">
        <v>878</v>
      </c>
      <c r="G131" s="362">
        <f t="shared" si="34"/>
        <v>5.4499999999999886</v>
      </c>
      <c r="H131" s="362">
        <f t="shared" si="28"/>
        <v>12</v>
      </c>
      <c r="I131" s="362">
        <f t="shared" si="28"/>
        <v>5.0999999999999996</v>
      </c>
      <c r="J131" s="362">
        <f t="shared" si="28"/>
        <v>5</v>
      </c>
      <c r="K131" s="362">
        <f t="shared" si="35"/>
        <v>4.5</v>
      </c>
      <c r="L131" s="362">
        <v>0</v>
      </c>
      <c r="M131" s="362">
        <v>0</v>
      </c>
      <c r="N131" s="362">
        <v>0</v>
      </c>
      <c r="O131" s="362">
        <v>0</v>
      </c>
      <c r="P131" s="362">
        <v>0</v>
      </c>
      <c r="Q131" s="362" t="s">
        <v>534</v>
      </c>
      <c r="R131" s="362">
        <f t="shared" ca="1" si="23"/>
        <v>4.8</v>
      </c>
      <c r="S131" s="362">
        <f t="shared" ca="1" si="24"/>
        <v>0</v>
      </c>
      <c r="T131" s="323">
        <f t="shared" ca="1" si="26"/>
        <v>0.84999999999999698</v>
      </c>
      <c r="U131" s="260">
        <f t="shared" ca="1" si="32"/>
        <v>1</v>
      </c>
      <c r="V131" s="260">
        <f t="shared" ca="1" si="31"/>
        <v>1</v>
      </c>
      <c r="W131" s="260">
        <f t="shared" ca="1" si="31"/>
        <v>1</v>
      </c>
      <c r="X131" s="260">
        <f t="shared" ca="1" si="31"/>
        <v>1</v>
      </c>
      <c r="Y131" s="260">
        <f t="shared" ca="1" si="31"/>
        <v>1</v>
      </c>
      <c r="Z131" s="260">
        <f t="shared" ca="1" si="31"/>
        <v>1</v>
      </c>
      <c r="AA131" s="260"/>
      <c r="AB131" s="257"/>
      <c r="AC131" s="260"/>
      <c r="AD131" s="257"/>
      <c r="AE131" s="257"/>
      <c r="AF131" s="257"/>
      <c r="AG131" s="257"/>
      <c r="AH131" s="257"/>
      <c r="AI131" s="257"/>
      <c r="AJ131" s="257"/>
    </row>
    <row r="132" spans="2:36" s="259" customFormat="1" x14ac:dyDescent="0.25">
      <c r="B132" s="258"/>
      <c r="C132" s="258"/>
      <c r="D132" s="294"/>
      <c r="E132" s="363">
        <f t="shared" si="33"/>
        <v>3.9200000000000008</v>
      </c>
      <c r="F132" s="265" t="s">
        <v>878</v>
      </c>
      <c r="G132" s="362">
        <f t="shared" si="34"/>
        <v>5.4999999999999885</v>
      </c>
      <c r="H132" s="362">
        <f t="shared" si="28"/>
        <v>12</v>
      </c>
      <c r="I132" s="362">
        <f t="shared" si="28"/>
        <v>5.0999999999999996</v>
      </c>
      <c r="J132" s="362">
        <f t="shared" si="28"/>
        <v>5</v>
      </c>
      <c r="K132" s="362">
        <f t="shared" si="35"/>
        <v>4.5</v>
      </c>
      <c r="L132" s="362">
        <v>0</v>
      </c>
      <c r="M132" s="362">
        <v>0</v>
      </c>
      <c r="N132" s="362">
        <v>0</v>
      </c>
      <c r="O132" s="362">
        <v>0</v>
      </c>
      <c r="P132" s="362">
        <v>0</v>
      </c>
      <c r="Q132" s="362" t="s">
        <v>534</v>
      </c>
      <c r="R132" s="362">
        <f t="shared" ca="1" si="23"/>
        <v>4.8</v>
      </c>
      <c r="S132" s="362">
        <f t="shared" ca="1" si="24"/>
        <v>0</v>
      </c>
      <c r="T132" s="323">
        <f t="shared" ca="1" si="26"/>
        <v>0.8999999999999968</v>
      </c>
      <c r="U132" s="260">
        <f t="shared" ca="1" si="32"/>
        <v>1</v>
      </c>
      <c r="V132" s="260">
        <f t="shared" ca="1" si="31"/>
        <v>1</v>
      </c>
      <c r="W132" s="260">
        <f t="shared" ca="1" si="31"/>
        <v>1</v>
      </c>
      <c r="X132" s="260">
        <f t="shared" ca="1" si="31"/>
        <v>1</v>
      </c>
      <c r="Y132" s="260">
        <f t="shared" ca="1" si="31"/>
        <v>1</v>
      </c>
      <c r="Z132" s="260">
        <f t="shared" ca="1" si="31"/>
        <v>1</v>
      </c>
      <c r="AA132" s="260"/>
      <c r="AB132" s="257"/>
      <c r="AC132" s="260"/>
      <c r="AD132" s="257"/>
      <c r="AE132" s="257"/>
      <c r="AF132" s="257"/>
      <c r="AG132" s="257"/>
      <c r="AH132" s="257"/>
      <c r="AI132" s="257"/>
      <c r="AJ132" s="257"/>
    </row>
    <row r="133" spans="2:36" s="259" customFormat="1" x14ac:dyDescent="0.25">
      <c r="B133" s="258"/>
      <c r="C133" s="258"/>
      <c r="D133" s="294"/>
      <c r="E133" s="363">
        <f t="shared" si="33"/>
        <v>4.410000000000001</v>
      </c>
      <c r="F133" s="265" t="s">
        <v>878</v>
      </c>
      <c r="G133" s="362">
        <f t="shared" si="34"/>
        <v>5.5499999999999883</v>
      </c>
      <c r="H133" s="362">
        <f t="shared" si="28"/>
        <v>12</v>
      </c>
      <c r="I133" s="362">
        <f t="shared" si="28"/>
        <v>5.0999999999999996</v>
      </c>
      <c r="J133" s="362">
        <f t="shared" si="28"/>
        <v>5</v>
      </c>
      <c r="K133" s="362">
        <f>IF(EXACT($B$23,"No"),J132-0.1,MAX(K132,E133))</f>
        <v>4.5</v>
      </c>
      <c r="L133" s="362">
        <v>0</v>
      </c>
      <c r="M133" s="362">
        <v>0</v>
      </c>
      <c r="N133" s="362">
        <v>0</v>
      </c>
      <c r="O133" s="362">
        <v>0</v>
      </c>
      <c r="P133" s="362">
        <v>0</v>
      </c>
      <c r="Q133" s="362" t="s">
        <v>534</v>
      </c>
      <c r="R133" s="362">
        <f t="shared" ca="1" si="23"/>
        <v>4.8</v>
      </c>
      <c r="S133" s="362">
        <f t="shared" ca="1" si="24"/>
        <v>0</v>
      </c>
      <c r="T133" s="323">
        <f t="shared" ca="1" si="26"/>
        <v>0.94999999999999662</v>
      </c>
      <c r="U133" s="260">
        <f t="shared" ca="1" si="32"/>
        <v>1</v>
      </c>
      <c r="V133" s="260">
        <f t="shared" ca="1" si="31"/>
        <v>1</v>
      </c>
      <c r="W133" s="260">
        <f t="shared" ca="1" si="31"/>
        <v>1</v>
      </c>
      <c r="X133" s="260">
        <f t="shared" ca="1" si="31"/>
        <v>1</v>
      </c>
      <c r="Y133" s="260">
        <f t="shared" ca="1" si="31"/>
        <v>1</v>
      </c>
      <c r="Z133" s="260">
        <f t="shared" ca="1" si="31"/>
        <v>1</v>
      </c>
      <c r="AA133" s="260"/>
      <c r="AB133" s="257"/>
      <c r="AC133" s="260"/>
      <c r="AD133" s="257"/>
      <c r="AE133" s="257"/>
      <c r="AF133" s="257"/>
      <c r="AG133" s="257"/>
      <c r="AH133" s="257"/>
      <c r="AI133" s="257"/>
      <c r="AJ133" s="257"/>
    </row>
    <row r="134" spans="2:36" s="259" customFormat="1" x14ac:dyDescent="0.25">
      <c r="B134" s="258"/>
      <c r="C134" s="258"/>
      <c r="D134" s="294"/>
      <c r="E134" s="363">
        <f t="shared" si="33"/>
        <v>4.9000000000000012</v>
      </c>
      <c r="F134" s="265" t="s">
        <v>878</v>
      </c>
      <c r="G134" s="362">
        <f t="shared" si="34"/>
        <v>5.5999999999999881</v>
      </c>
      <c r="H134" s="362">
        <f t="shared" si="28"/>
        <v>12</v>
      </c>
      <c r="I134" s="362">
        <f t="shared" si="28"/>
        <v>5.0999999999999996</v>
      </c>
      <c r="J134" s="362">
        <f t="shared" si="28"/>
        <v>5</v>
      </c>
      <c r="K134" s="362">
        <f t="shared" si="35"/>
        <v>4.9000000000000012</v>
      </c>
      <c r="L134" s="362">
        <v>0</v>
      </c>
      <c r="M134" s="362">
        <v>0</v>
      </c>
      <c r="N134" s="362">
        <v>0</v>
      </c>
      <c r="O134" s="362">
        <v>0</v>
      </c>
      <c r="P134" s="362">
        <v>0</v>
      </c>
      <c r="Q134" s="362" t="s">
        <v>534</v>
      </c>
      <c r="R134" s="362">
        <f t="shared" ca="1" si="23"/>
        <v>4.8</v>
      </c>
      <c r="S134" s="362">
        <f t="shared" ca="1" si="24"/>
        <v>0</v>
      </c>
      <c r="T134" s="323">
        <f t="shared" ca="1" si="26"/>
        <v>0.99999999999999645</v>
      </c>
      <c r="U134" s="260">
        <f t="shared" ca="1" si="32"/>
        <v>1</v>
      </c>
      <c r="V134" s="260">
        <f t="shared" ca="1" si="31"/>
        <v>1</v>
      </c>
      <c r="W134" s="260">
        <f t="shared" ca="1" si="31"/>
        <v>1</v>
      </c>
      <c r="X134" s="260">
        <f t="shared" ca="1" si="31"/>
        <v>1</v>
      </c>
      <c r="Y134" s="260">
        <f t="shared" ca="1" si="31"/>
        <v>1</v>
      </c>
      <c r="Z134" s="260">
        <f t="shared" ca="1" si="31"/>
        <v>1</v>
      </c>
      <c r="AA134" s="260"/>
      <c r="AB134" s="257"/>
      <c r="AC134" s="260"/>
      <c r="AD134" s="257"/>
      <c r="AE134" s="257"/>
      <c r="AF134" s="257"/>
      <c r="AG134" s="257"/>
      <c r="AH134" s="257"/>
      <c r="AI134" s="257"/>
      <c r="AJ134" s="257"/>
    </row>
    <row r="135" spans="2:36" s="259" customFormat="1" x14ac:dyDescent="0.25">
      <c r="B135" s="258"/>
      <c r="C135" s="258"/>
      <c r="D135" s="294"/>
      <c r="E135" s="265"/>
      <c r="F135" s="265">
        <v>0</v>
      </c>
      <c r="G135" s="362">
        <f>G134+$H$1</f>
        <v>5.6249999999999885</v>
      </c>
      <c r="H135" s="362">
        <f t="shared" ref="H135:K136" si="36">H134</f>
        <v>12</v>
      </c>
      <c r="I135" s="362">
        <f t="shared" si="36"/>
        <v>5.0999999999999996</v>
      </c>
      <c r="J135" s="362">
        <f t="shared" si="36"/>
        <v>5</v>
      </c>
      <c r="K135" s="362">
        <f t="shared" si="36"/>
        <v>4.9000000000000012</v>
      </c>
      <c r="L135" s="362">
        <f t="shared" ref="L135:L166" si="37">IF(L$7&lt;=$F135,MIN(L$8,L134+L$8/MAX(1,ROUND(L$8/$H$1/L$9,0))),L134)</f>
        <v>0</v>
      </c>
      <c r="M135" s="362">
        <f t="shared" ref="M135:P135" si="38">IF(M$7&lt;=$F135,MIN(M$8,M134+M$8/MAX(1,ROUND(M$8/$H$1/M$9,0))),M134)</f>
        <v>0</v>
      </c>
      <c r="N135" s="362">
        <f t="shared" si="38"/>
        <v>0</v>
      </c>
      <c r="O135" s="362">
        <f t="shared" si="38"/>
        <v>0</v>
      </c>
      <c r="P135" s="362">
        <f t="shared" si="38"/>
        <v>0</v>
      </c>
      <c r="Q135" s="362" t="s">
        <v>534</v>
      </c>
      <c r="R135" s="362">
        <f t="shared" ca="1" si="23"/>
        <v>4.8</v>
      </c>
      <c r="S135" s="362">
        <f t="shared" ca="1" si="24"/>
        <v>0</v>
      </c>
      <c r="T135" s="323">
        <f t="shared" ca="1" si="26"/>
        <v>1.0249999999999968</v>
      </c>
      <c r="U135" s="260">
        <f t="shared" ca="1" si="32"/>
        <v>1</v>
      </c>
      <c r="V135" s="260">
        <f t="shared" ca="1" si="31"/>
        <v>1</v>
      </c>
      <c r="W135" s="260">
        <f t="shared" ca="1" si="31"/>
        <v>1</v>
      </c>
      <c r="X135" s="260">
        <f t="shared" ca="1" si="31"/>
        <v>1</v>
      </c>
      <c r="Y135" s="260">
        <f t="shared" ca="1" si="31"/>
        <v>1</v>
      </c>
      <c r="Z135" s="260">
        <f t="shared" ca="1" si="31"/>
        <v>1</v>
      </c>
      <c r="AA135" s="260"/>
      <c r="AB135" s="257"/>
      <c r="AC135" s="260"/>
      <c r="AD135" s="257"/>
      <c r="AE135" s="257"/>
      <c r="AF135" s="257"/>
      <c r="AG135" s="257"/>
      <c r="AH135" s="257"/>
      <c r="AI135" s="257"/>
      <c r="AJ135" s="257"/>
    </row>
    <row r="136" spans="2:36" s="259" customFormat="1" x14ac:dyDescent="0.25">
      <c r="B136" s="258"/>
      <c r="C136" s="258"/>
      <c r="D136" s="294"/>
      <c r="E136" s="265"/>
      <c r="F136" s="265">
        <v>0</v>
      </c>
      <c r="G136" s="362">
        <f t="shared" ref="G136:G199" si="39">G135+$H$1</f>
        <v>5.6499999999999888</v>
      </c>
      <c r="H136" s="362">
        <f t="shared" si="36"/>
        <v>12</v>
      </c>
      <c r="I136" s="362">
        <f t="shared" si="36"/>
        <v>5.0999999999999996</v>
      </c>
      <c r="J136" s="362">
        <f t="shared" si="36"/>
        <v>5</v>
      </c>
      <c r="K136" s="362">
        <f t="shared" si="36"/>
        <v>4.9000000000000012</v>
      </c>
      <c r="L136" s="362">
        <f t="shared" si="37"/>
        <v>0</v>
      </c>
      <c r="M136" s="362">
        <f t="shared" ref="M136:M167" si="40">IF(M$7&lt;=$F136,MIN(M$8,M135+M$8/MAX(1,ROUND(M$8/$H$1/M$9,0))),M135)</f>
        <v>0</v>
      </c>
      <c r="N136" s="362">
        <f t="shared" ref="N136:N167" si="41">IF(N$7&lt;=$F136,MIN(N$8,N135+N$8/MAX(1,ROUND(N$8/$H$1/N$9,0))),N135)</f>
        <v>0</v>
      </c>
      <c r="O136" s="362">
        <f t="shared" ref="O136:O167" si="42">IF(O$7&lt;=$F136,MIN(O$8,O135+O$8/MAX(1,ROUND(O$8/$H$1/O$9,0))),O135)</f>
        <v>0</v>
      </c>
      <c r="P136" s="362">
        <f t="shared" ref="P136:P167" si="43">IF(P$7&lt;=$F136,MIN(P$8,P135+P$8/MAX(1,ROUND(P$8/$H$1/P$9,0))),P135)</f>
        <v>0</v>
      </c>
      <c r="Q136" s="362" t="s">
        <v>534</v>
      </c>
      <c r="R136" s="362">
        <f t="shared" ca="1" si="23"/>
        <v>4.8</v>
      </c>
      <c r="S136" s="362">
        <f t="shared" ca="1" si="24"/>
        <v>0</v>
      </c>
      <c r="T136" s="323">
        <f t="shared" ca="1" si="26"/>
        <v>1.0499999999999972</v>
      </c>
      <c r="U136" s="260">
        <f t="shared" ca="1" si="32"/>
        <v>1</v>
      </c>
      <c r="V136" s="260">
        <f t="shared" ca="1" si="31"/>
        <v>1</v>
      </c>
      <c r="W136" s="260">
        <f t="shared" ca="1" si="31"/>
        <v>1</v>
      </c>
      <c r="X136" s="260">
        <f t="shared" ca="1" si="31"/>
        <v>1</v>
      </c>
      <c r="Y136" s="260">
        <f t="shared" ca="1" si="31"/>
        <v>1</v>
      </c>
      <c r="Z136" s="260">
        <f t="shared" ca="1" si="31"/>
        <v>1</v>
      </c>
      <c r="AA136" s="260"/>
      <c r="AB136" s="257"/>
      <c r="AC136" s="260"/>
      <c r="AD136" s="257"/>
      <c r="AE136" s="257"/>
      <c r="AF136" s="257"/>
      <c r="AG136" s="257"/>
      <c r="AH136" s="257"/>
      <c r="AI136" s="257"/>
      <c r="AJ136" s="257"/>
    </row>
    <row r="137" spans="2:36" s="259" customFormat="1" x14ac:dyDescent="0.25">
      <c r="B137" s="258"/>
      <c r="C137" s="258"/>
      <c r="D137" s="294"/>
      <c r="E137" s="265"/>
      <c r="F137" s="265">
        <v>0</v>
      </c>
      <c r="G137" s="362">
        <f t="shared" si="39"/>
        <v>5.6749999999999892</v>
      </c>
      <c r="H137" s="362">
        <f t="shared" ref="H137:K137" si="44">H136</f>
        <v>12</v>
      </c>
      <c r="I137" s="362">
        <f t="shared" si="44"/>
        <v>5.0999999999999996</v>
      </c>
      <c r="J137" s="362">
        <f t="shared" si="44"/>
        <v>5</v>
      </c>
      <c r="K137" s="362">
        <f t="shared" si="44"/>
        <v>4.9000000000000012</v>
      </c>
      <c r="L137" s="362">
        <f t="shared" si="37"/>
        <v>0</v>
      </c>
      <c r="M137" s="362">
        <f t="shared" si="40"/>
        <v>0</v>
      </c>
      <c r="N137" s="362">
        <f t="shared" si="41"/>
        <v>0</v>
      </c>
      <c r="O137" s="362">
        <f t="shared" si="42"/>
        <v>0</v>
      </c>
      <c r="P137" s="362">
        <f t="shared" si="43"/>
        <v>0</v>
      </c>
      <c r="Q137" s="362" t="s">
        <v>534</v>
      </c>
      <c r="R137" s="362">
        <f t="shared" ca="1" si="23"/>
        <v>4.8</v>
      </c>
      <c r="S137" s="362">
        <f t="shared" ca="1" si="24"/>
        <v>0</v>
      </c>
      <c r="T137" s="323">
        <f t="shared" ca="1" si="26"/>
        <v>1.0749999999999975</v>
      </c>
      <c r="U137" s="260">
        <f t="shared" ca="1" si="32"/>
        <v>1</v>
      </c>
      <c r="V137" s="260">
        <f t="shared" ca="1" si="31"/>
        <v>1</v>
      </c>
      <c r="W137" s="260">
        <f t="shared" ca="1" si="31"/>
        <v>1</v>
      </c>
      <c r="X137" s="260">
        <f t="shared" ca="1" si="31"/>
        <v>1</v>
      </c>
      <c r="Y137" s="260">
        <f t="shared" ca="1" si="31"/>
        <v>1</v>
      </c>
      <c r="Z137" s="260">
        <f t="shared" ca="1" si="31"/>
        <v>1</v>
      </c>
      <c r="AA137" s="260"/>
      <c r="AB137" s="257"/>
      <c r="AC137" s="260"/>
      <c r="AD137" s="257"/>
      <c r="AE137" s="257"/>
      <c r="AF137" s="257"/>
      <c r="AG137" s="257"/>
      <c r="AH137" s="257"/>
      <c r="AI137" s="257"/>
      <c r="AJ137" s="257"/>
    </row>
    <row r="138" spans="2:36" s="259" customFormat="1" x14ac:dyDescent="0.25">
      <c r="B138" s="258"/>
      <c r="C138" s="258"/>
      <c r="D138" s="294"/>
      <c r="E138" s="265"/>
      <c r="F138" s="265">
        <v>0</v>
      </c>
      <c r="G138" s="362">
        <f t="shared" si="39"/>
        <v>5.6999999999999895</v>
      </c>
      <c r="H138" s="362">
        <f t="shared" ref="H138:K139" si="45">H137</f>
        <v>12</v>
      </c>
      <c r="I138" s="362">
        <f t="shared" si="45"/>
        <v>5.0999999999999996</v>
      </c>
      <c r="J138" s="362">
        <f t="shared" si="45"/>
        <v>5</v>
      </c>
      <c r="K138" s="362">
        <f t="shared" si="45"/>
        <v>4.9000000000000012</v>
      </c>
      <c r="L138" s="362">
        <f t="shared" si="37"/>
        <v>0</v>
      </c>
      <c r="M138" s="362">
        <f t="shared" si="40"/>
        <v>0</v>
      </c>
      <c r="N138" s="362">
        <f t="shared" si="41"/>
        <v>0</v>
      </c>
      <c r="O138" s="362">
        <f t="shared" si="42"/>
        <v>0</v>
      </c>
      <c r="P138" s="362">
        <f t="shared" si="43"/>
        <v>0</v>
      </c>
      <c r="Q138" s="362" t="s">
        <v>534</v>
      </c>
      <c r="R138" s="362">
        <f t="shared" ca="1" si="23"/>
        <v>4.8</v>
      </c>
      <c r="S138" s="362">
        <f t="shared" ca="1" si="24"/>
        <v>0</v>
      </c>
      <c r="T138" s="323">
        <f t="shared" ca="1" si="26"/>
        <v>1.0999999999999979</v>
      </c>
      <c r="U138" s="260">
        <f t="shared" ca="1" si="32"/>
        <v>1</v>
      </c>
      <c r="V138" s="260">
        <f t="shared" ca="1" si="31"/>
        <v>1</v>
      </c>
      <c r="W138" s="260">
        <f t="shared" ca="1" si="31"/>
        <v>1</v>
      </c>
      <c r="X138" s="260">
        <f t="shared" ca="1" si="31"/>
        <v>1</v>
      </c>
      <c r="Y138" s="260">
        <f t="shared" ca="1" si="31"/>
        <v>1</v>
      </c>
      <c r="Z138" s="260">
        <f t="shared" ca="1" si="31"/>
        <v>1</v>
      </c>
      <c r="AA138" s="260"/>
      <c r="AB138" s="257"/>
      <c r="AC138" s="260"/>
      <c r="AD138" s="257"/>
      <c r="AE138" s="257"/>
      <c r="AF138" s="257"/>
      <c r="AG138" s="257"/>
      <c r="AH138" s="257"/>
      <c r="AI138" s="257"/>
      <c r="AJ138" s="257"/>
    </row>
    <row r="139" spans="2:36" s="259" customFormat="1" x14ac:dyDescent="0.25">
      <c r="B139" s="258"/>
      <c r="C139" s="258"/>
      <c r="D139" s="294"/>
      <c r="E139" s="265"/>
      <c r="F139" s="265">
        <v>0</v>
      </c>
      <c r="G139" s="362">
        <f t="shared" si="39"/>
        <v>5.7249999999999899</v>
      </c>
      <c r="H139" s="362">
        <f t="shared" ref="H139:J139" si="46">H138</f>
        <v>12</v>
      </c>
      <c r="I139" s="362">
        <f t="shared" si="46"/>
        <v>5.0999999999999996</v>
      </c>
      <c r="J139" s="362">
        <f t="shared" si="46"/>
        <v>5</v>
      </c>
      <c r="K139" s="362">
        <f t="shared" si="45"/>
        <v>4.9000000000000012</v>
      </c>
      <c r="L139" s="362">
        <f t="shared" si="37"/>
        <v>0</v>
      </c>
      <c r="M139" s="362">
        <f t="shared" si="40"/>
        <v>0</v>
      </c>
      <c r="N139" s="362">
        <f t="shared" si="41"/>
        <v>0</v>
      </c>
      <c r="O139" s="362">
        <f t="shared" si="42"/>
        <v>0</v>
      </c>
      <c r="P139" s="362">
        <f t="shared" si="43"/>
        <v>0</v>
      </c>
      <c r="Q139" s="362" t="s">
        <v>534</v>
      </c>
      <c r="R139" s="362">
        <f t="shared" ca="1" si="23"/>
        <v>4.8</v>
      </c>
      <c r="S139" s="362">
        <f t="shared" ca="1" si="24"/>
        <v>0</v>
      </c>
      <c r="T139" s="323">
        <f t="shared" ca="1" si="26"/>
        <v>1.1249999999999982</v>
      </c>
      <c r="U139" s="260">
        <f t="shared" ca="1" si="32"/>
        <v>1</v>
      </c>
      <c r="V139" s="260">
        <f t="shared" ca="1" si="31"/>
        <v>1</v>
      </c>
      <c r="W139" s="260">
        <f t="shared" ca="1" si="31"/>
        <v>1</v>
      </c>
      <c r="X139" s="260">
        <f t="shared" ca="1" si="31"/>
        <v>1</v>
      </c>
      <c r="Y139" s="260">
        <f t="shared" ca="1" si="31"/>
        <v>1</v>
      </c>
      <c r="Z139" s="260">
        <f t="shared" ca="1" si="31"/>
        <v>1</v>
      </c>
      <c r="AA139" s="260"/>
      <c r="AB139" s="257"/>
      <c r="AC139" s="260"/>
      <c r="AD139" s="257"/>
      <c r="AE139" s="257"/>
      <c r="AF139" s="257"/>
      <c r="AG139" s="257"/>
      <c r="AH139" s="257"/>
      <c r="AI139" s="257"/>
      <c r="AJ139" s="257"/>
    </row>
    <row r="140" spans="2:36" s="259" customFormat="1" x14ac:dyDescent="0.25">
      <c r="B140" s="258"/>
      <c r="C140" s="258"/>
      <c r="D140" s="294"/>
      <c r="E140" s="265"/>
      <c r="F140" s="265">
        <v>0</v>
      </c>
      <c r="G140" s="362">
        <f t="shared" si="39"/>
        <v>5.7499999999999902</v>
      </c>
      <c r="H140" s="362">
        <f t="shared" ref="H140:K140" si="47">H139</f>
        <v>12</v>
      </c>
      <c r="I140" s="362">
        <f t="shared" si="47"/>
        <v>5.0999999999999996</v>
      </c>
      <c r="J140" s="362">
        <f t="shared" si="47"/>
        <v>5</v>
      </c>
      <c r="K140" s="362">
        <f t="shared" si="47"/>
        <v>4.9000000000000012</v>
      </c>
      <c r="L140" s="362">
        <f t="shared" si="37"/>
        <v>0</v>
      </c>
      <c r="M140" s="362">
        <f t="shared" si="40"/>
        <v>0</v>
      </c>
      <c r="N140" s="362">
        <f t="shared" si="41"/>
        <v>0</v>
      </c>
      <c r="O140" s="362">
        <f t="shared" si="42"/>
        <v>0</v>
      </c>
      <c r="P140" s="362">
        <f t="shared" si="43"/>
        <v>0</v>
      </c>
      <c r="Q140" s="362" t="s">
        <v>534</v>
      </c>
      <c r="R140" s="362">
        <f t="shared" ca="1" si="23"/>
        <v>4.8</v>
      </c>
      <c r="S140" s="362">
        <f t="shared" ca="1" si="24"/>
        <v>0</v>
      </c>
      <c r="T140" s="323">
        <f t="shared" ca="1" si="26"/>
        <v>1.1499999999999986</v>
      </c>
      <c r="U140" s="260">
        <f t="shared" ca="1" si="32"/>
        <v>1</v>
      </c>
      <c r="V140" s="260">
        <f t="shared" ca="1" si="31"/>
        <v>1</v>
      </c>
      <c r="W140" s="260">
        <f t="shared" ca="1" si="31"/>
        <v>1</v>
      </c>
      <c r="X140" s="260">
        <f t="shared" ca="1" si="31"/>
        <v>1</v>
      </c>
      <c r="Y140" s="260">
        <f t="shared" ca="1" si="31"/>
        <v>1</v>
      </c>
      <c r="Z140" s="260">
        <f t="shared" ca="1" si="31"/>
        <v>1</v>
      </c>
      <c r="AA140" s="260"/>
      <c r="AB140" s="257"/>
      <c r="AC140" s="260"/>
      <c r="AD140" s="257"/>
      <c r="AE140" s="257"/>
      <c r="AF140" s="257"/>
      <c r="AG140" s="257"/>
      <c r="AH140" s="257"/>
      <c r="AI140" s="257"/>
      <c r="AJ140" s="257"/>
    </row>
    <row r="141" spans="2:36" s="259" customFormat="1" x14ac:dyDescent="0.25">
      <c r="B141" s="258"/>
      <c r="C141" s="258"/>
      <c r="D141" s="294"/>
      <c r="E141" s="265"/>
      <c r="F141" s="265">
        <v>0</v>
      </c>
      <c r="G141" s="362">
        <f t="shared" si="39"/>
        <v>5.7749999999999906</v>
      </c>
      <c r="H141" s="362">
        <f t="shared" ref="H141:K141" si="48">H140</f>
        <v>12</v>
      </c>
      <c r="I141" s="362">
        <f t="shared" si="48"/>
        <v>5.0999999999999996</v>
      </c>
      <c r="J141" s="362">
        <f t="shared" si="48"/>
        <v>5</v>
      </c>
      <c r="K141" s="362">
        <f t="shared" si="48"/>
        <v>4.9000000000000012</v>
      </c>
      <c r="L141" s="362">
        <f t="shared" si="37"/>
        <v>0</v>
      </c>
      <c r="M141" s="362">
        <f t="shared" si="40"/>
        <v>0</v>
      </c>
      <c r="N141" s="362">
        <f t="shared" si="41"/>
        <v>0</v>
      </c>
      <c r="O141" s="362">
        <f t="shared" si="42"/>
        <v>0</v>
      </c>
      <c r="P141" s="362">
        <f t="shared" si="43"/>
        <v>0</v>
      </c>
      <c r="Q141" s="362" t="s">
        <v>534</v>
      </c>
      <c r="R141" s="362">
        <f t="shared" ca="1" si="23"/>
        <v>4.8</v>
      </c>
      <c r="S141" s="362">
        <f t="shared" ca="1" si="24"/>
        <v>0</v>
      </c>
      <c r="T141" s="323">
        <f t="shared" ca="1" si="26"/>
        <v>1.1749999999999989</v>
      </c>
      <c r="U141" s="260">
        <f t="shared" ca="1" si="32"/>
        <v>1</v>
      </c>
      <c r="V141" s="260">
        <f t="shared" ca="1" si="31"/>
        <v>1</v>
      </c>
      <c r="W141" s="260">
        <f t="shared" ca="1" si="31"/>
        <v>1</v>
      </c>
      <c r="X141" s="260">
        <f t="shared" ca="1" si="31"/>
        <v>1</v>
      </c>
      <c r="Y141" s="260">
        <f t="shared" ca="1" si="31"/>
        <v>1</v>
      </c>
      <c r="Z141" s="260">
        <f t="shared" ca="1" si="31"/>
        <v>1</v>
      </c>
      <c r="AA141" s="260"/>
      <c r="AB141" s="257"/>
      <c r="AC141" s="260"/>
      <c r="AD141" s="257"/>
      <c r="AE141" s="257"/>
      <c r="AF141" s="257"/>
      <c r="AG141" s="257"/>
      <c r="AH141" s="257"/>
      <c r="AI141" s="257"/>
      <c r="AJ141" s="257"/>
    </row>
    <row r="142" spans="2:36" s="259" customFormat="1" x14ac:dyDescent="0.25">
      <c r="B142" s="258"/>
      <c r="C142" s="258"/>
      <c r="D142" s="294"/>
      <c r="E142" s="265"/>
      <c r="F142" s="265">
        <v>0</v>
      </c>
      <c r="G142" s="362">
        <f t="shared" si="39"/>
        <v>5.7999999999999909</v>
      </c>
      <c r="H142" s="362">
        <f t="shared" ref="H142:K142" si="49">H141</f>
        <v>12</v>
      </c>
      <c r="I142" s="362">
        <f t="shared" si="49"/>
        <v>5.0999999999999996</v>
      </c>
      <c r="J142" s="362">
        <f t="shared" si="49"/>
        <v>5</v>
      </c>
      <c r="K142" s="362">
        <f t="shared" si="49"/>
        <v>4.9000000000000012</v>
      </c>
      <c r="L142" s="362">
        <f t="shared" si="37"/>
        <v>0</v>
      </c>
      <c r="M142" s="362">
        <f t="shared" si="40"/>
        <v>0</v>
      </c>
      <c r="N142" s="362">
        <f t="shared" si="41"/>
        <v>0</v>
      </c>
      <c r="O142" s="362">
        <f t="shared" si="42"/>
        <v>0</v>
      </c>
      <c r="P142" s="362">
        <f t="shared" si="43"/>
        <v>0</v>
      </c>
      <c r="Q142" s="362" t="s">
        <v>534</v>
      </c>
      <c r="R142" s="362">
        <f t="shared" ca="1" si="23"/>
        <v>4.8</v>
      </c>
      <c r="S142" s="362">
        <f t="shared" ca="1" si="24"/>
        <v>0</v>
      </c>
      <c r="T142" s="323">
        <f t="shared" ca="1" si="26"/>
        <v>1.1999999999999993</v>
      </c>
      <c r="U142" s="260">
        <f t="shared" ca="1" si="32"/>
        <v>1</v>
      </c>
      <c r="V142" s="260">
        <f t="shared" ca="1" si="31"/>
        <v>1</v>
      </c>
      <c r="W142" s="260">
        <f t="shared" ca="1" si="31"/>
        <v>1</v>
      </c>
      <c r="X142" s="260">
        <f t="shared" ca="1" si="31"/>
        <v>1</v>
      </c>
      <c r="Y142" s="260">
        <f t="shared" ca="1" si="31"/>
        <v>1</v>
      </c>
      <c r="Z142" s="260">
        <f t="shared" ca="1" si="31"/>
        <v>1</v>
      </c>
      <c r="AA142" s="260"/>
      <c r="AB142" s="257"/>
      <c r="AC142" s="260"/>
      <c r="AD142" s="257"/>
      <c r="AE142" s="257"/>
      <c r="AF142" s="257"/>
      <c r="AG142" s="257"/>
      <c r="AH142" s="257"/>
      <c r="AI142" s="257"/>
      <c r="AJ142" s="257"/>
    </row>
    <row r="143" spans="2:36" s="259" customFormat="1" x14ac:dyDescent="0.25">
      <c r="B143" s="258"/>
      <c r="C143" s="258"/>
      <c r="D143" s="294"/>
      <c r="E143" s="265"/>
      <c r="F143" s="265">
        <v>0</v>
      </c>
      <c r="G143" s="362">
        <f t="shared" si="39"/>
        <v>5.8249999999999913</v>
      </c>
      <c r="H143" s="362">
        <f t="shared" ref="H143:K143" si="50">H142</f>
        <v>12</v>
      </c>
      <c r="I143" s="362">
        <f t="shared" si="50"/>
        <v>5.0999999999999996</v>
      </c>
      <c r="J143" s="362">
        <f t="shared" si="50"/>
        <v>5</v>
      </c>
      <c r="K143" s="362">
        <f t="shared" si="50"/>
        <v>4.9000000000000012</v>
      </c>
      <c r="L143" s="362">
        <f t="shared" si="37"/>
        <v>0</v>
      </c>
      <c r="M143" s="362">
        <f t="shared" si="40"/>
        <v>0</v>
      </c>
      <c r="N143" s="362">
        <f t="shared" si="41"/>
        <v>0</v>
      </c>
      <c r="O143" s="362">
        <f t="shared" si="42"/>
        <v>0</v>
      </c>
      <c r="P143" s="362">
        <f t="shared" si="43"/>
        <v>0</v>
      </c>
      <c r="Q143" s="362" t="s">
        <v>534</v>
      </c>
      <c r="R143" s="362">
        <f t="shared" ca="1" si="23"/>
        <v>4.8</v>
      </c>
      <c r="S143" s="362">
        <f t="shared" ca="1" si="24"/>
        <v>0</v>
      </c>
      <c r="T143" s="323">
        <f t="shared" ca="1" si="26"/>
        <v>1.2249999999999996</v>
      </c>
      <c r="U143" s="260">
        <f t="shared" ca="1" si="32"/>
        <v>1</v>
      </c>
      <c r="V143" s="260">
        <f t="shared" ca="1" si="31"/>
        <v>1</v>
      </c>
      <c r="W143" s="260">
        <f t="shared" ca="1" si="31"/>
        <v>1</v>
      </c>
      <c r="X143" s="260">
        <f t="shared" ca="1" si="31"/>
        <v>1</v>
      </c>
      <c r="Y143" s="260">
        <f t="shared" ca="1" si="31"/>
        <v>1</v>
      </c>
      <c r="Z143" s="260">
        <f t="shared" ca="1" si="31"/>
        <v>1</v>
      </c>
      <c r="AA143" s="260"/>
      <c r="AB143" s="257"/>
      <c r="AC143" s="260"/>
      <c r="AD143" s="257"/>
      <c r="AE143" s="257"/>
      <c r="AF143" s="257"/>
      <c r="AG143" s="257"/>
      <c r="AH143" s="257"/>
      <c r="AI143" s="257"/>
      <c r="AJ143" s="257"/>
    </row>
    <row r="144" spans="2:36" s="259" customFormat="1" x14ac:dyDescent="0.25">
      <c r="B144" s="258"/>
      <c r="C144" s="258"/>
      <c r="D144" s="294"/>
      <c r="E144" s="265"/>
      <c r="F144" s="265">
        <v>0</v>
      </c>
      <c r="G144" s="362">
        <f t="shared" si="39"/>
        <v>5.8499999999999917</v>
      </c>
      <c r="H144" s="362">
        <f t="shared" ref="H144:K144" si="51">H143</f>
        <v>12</v>
      </c>
      <c r="I144" s="362">
        <f t="shared" si="51"/>
        <v>5.0999999999999996</v>
      </c>
      <c r="J144" s="362">
        <f t="shared" si="51"/>
        <v>5</v>
      </c>
      <c r="K144" s="362">
        <f t="shared" si="51"/>
        <v>4.9000000000000012</v>
      </c>
      <c r="L144" s="362">
        <f t="shared" si="37"/>
        <v>0</v>
      </c>
      <c r="M144" s="362">
        <f t="shared" si="40"/>
        <v>0</v>
      </c>
      <c r="N144" s="362">
        <f t="shared" si="41"/>
        <v>0</v>
      </c>
      <c r="O144" s="362">
        <f t="shared" si="42"/>
        <v>0</v>
      </c>
      <c r="P144" s="362">
        <f t="shared" si="43"/>
        <v>0</v>
      </c>
      <c r="Q144" s="362" t="s">
        <v>534</v>
      </c>
      <c r="R144" s="362">
        <f t="shared" ca="1" si="23"/>
        <v>4.8</v>
      </c>
      <c r="S144" s="362">
        <f t="shared" ca="1" si="24"/>
        <v>0</v>
      </c>
      <c r="T144" s="323">
        <f t="shared" ca="1" si="26"/>
        <v>1.25</v>
      </c>
      <c r="U144" s="260">
        <f t="shared" ca="1" si="32"/>
        <v>1</v>
      </c>
      <c r="V144" s="260">
        <f t="shared" ca="1" si="31"/>
        <v>1</v>
      </c>
      <c r="W144" s="260">
        <f t="shared" ca="1" si="31"/>
        <v>1</v>
      </c>
      <c r="X144" s="260">
        <f t="shared" ca="1" si="31"/>
        <v>1</v>
      </c>
      <c r="Y144" s="260">
        <f t="shared" ca="1" si="31"/>
        <v>1</v>
      </c>
      <c r="Z144" s="260">
        <f t="shared" ca="1" si="31"/>
        <v>1</v>
      </c>
      <c r="AA144" s="260"/>
      <c r="AB144" s="257"/>
      <c r="AC144" s="260"/>
      <c r="AD144" s="257"/>
      <c r="AE144" s="257"/>
      <c r="AF144" s="257"/>
      <c r="AG144" s="257"/>
      <c r="AH144" s="257"/>
      <c r="AI144" s="257"/>
      <c r="AJ144" s="257"/>
    </row>
    <row r="145" spans="2:36" s="259" customFormat="1" x14ac:dyDescent="0.25">
      <c r="B145" s="258"/>
      <c r="C145" s="258"/>
      <c r="D145" s="294"/>
      <c r="E145" s="265"/>
      <c r="F145" s="265">
        <v>1</v>
      </c>
      <c r="G145" s="362">
        <f t="shared" si="39"/>
        <v>5.874999999999992</v>
      </c>
      <c r="H145" s="362">
        <f t="shared" ref="H145:K145" si="52">H144</f>
        <v>12</v>
      </c>
      <c r="I145" s="362">
        <f t="shared" si="52"/>
        <v>5.0999999999999996</v>
      </c>
      <c r="J145" s="362">
        <f t="shared" si="52"/>
        <v>5</v>
      </c>
      <c r="K145" s="362">
        <f t="shared" si="52"/>
        <v>4.9000000000000012</v>
      </c>
      <c r="L145" s="362">
        <f t="shared" si="37"/>
        <v>0</v>
      </c>
      <c r="M145" s="362">
        <f t="shared" si="40"/>
        <v>0</v>
      </c>
      <c r="N145" s="362">
        <f t="shared" si="41"/>
        <v>0</v>
      </c>
      <c r="O145" s="362">
        <f t="shared" si="42"/>
        <v>0</v>
      </c>
      <c r="P145" s="362">
        <f t="shared" si="43"/>
        <v>0</v>
      </c>
      <c r="Q145" s="362" t="s">
        <v>534</v>
      </c>
      <c r="R145" s="362">
        <f t="shared" ca="1" si="23"/>
        <v>4.8</v>
      </c>
      <c r="S145" s="362">
        <f t="shared" ca="1" si="24"/>
        <v>0</v>
      </c>
      <c r="T145" s="323">
        <f t="shared" ca="1" si="26"/>
        <v>1.2750000000000004</v>
      </c>
      <c r="U145" s="260">
        <f t="shared" ca="1" si="32"/>
        <v>1</v>
      </c>
      <c r="V145" s="260">
        <f t="shared" ca="1" si="31"/>
        <v>1</v>
      </c>
      <c r="W145" s="260">
        <f t="shared" ca="1" si="31"/>
        <v>1</v>
      </c>
      <c r="X145" s="260">
        <f t="shared" ca="1" si="31"/>
        <v>1</v>
      </c>
      <c r="Y145" s="260">
        <f t="shared" ca="1" si="31"/>
        <v>1</v>
      </c>
      <c r="Z145" s="260">
        <f t="shared" ca="1" si="31"/>
        <v>1</v>
      </c>
      <c r="AA145" s="260"/>
      <c r="AB145" s="257"/>
      <c r="AC145" s="260"/>
      <c r="AD145" s="257"/>
      <c r="AE145" s="257"/>
      <c r="AF145" s="257"/>
      <c r="AG145" s="257"/>
      <c r="AH145" s="257"/>
      <c r="AI145" s="257"/>
      <c r="AJ145" s="257"/>
    </row>
    <row r="146" spans="2:36" s="259" customFormat="1" x14ac:dyDescent="0.25">
      <c r="B146" s="258"/>
      <c r="C146" s="258"/>
      <c r="D146" s="294"/>
      <c r="E146" s="265"/>
      <c r="F146" s="265">
        <v>1</v>
      </c>
      <c r="G146" s="362">
        <f t="shared" si="39"/>
        <v>5.8999999999999924</v>
      </c>
      <c r="H146" s="362">
        <f t="shared" ref="H146:K146" si="53">H145</f>
        <v>12</v>
      </c>
      <c r="I146" s="362">
        <f t="shared" si="53"/>
        <v>5.0999999999999996</v>
      </c>
      <c r="J146" s="362">
        <f t="shared" si="53"/>
        <v>5</v>
      </c>
      <c r="K146" s="362">
        <f t="shared" si="53"/>
        <v>4.9000000000000012</v>
      </c>
      <c r="L146" s="362">
        <f t="shared" si="37"/>
        <v>0</v>
      </c>
      <c r="M146" s="362">
        <f t="shared" si="40"/>
        <v>0</v>
      </c>
      <c r="N146" s="362">
        <f t="shared" si="41"/>
        <v>0</v>
      </c>
      <c r="O146" s="362">
        <f t="shared" si="42"/>
        <v>0</v>
      </c>
      <c r="P146" s="362">
        <f t="shared" si="43"/>
        <v>0</v>
      </c>
      <c r="Q146" s="362" t="s">
        <v>534</v>
      </c>
      <c r="R146" s="362">
        <f t="shared" ca="1" si="23"/>
        <v>4.8</v>
      </c>
      <c r="S146" s="362">
        <f t="shared" ca="1" si="24"/>
        <v>0</v>
      </c>
      <c r="T146" s="323">
        <f t="shared" ca="1" si="26"/>
        <v>1.3000000000000007</v>
      </c>
      <c r="U146" s="260">
        <f t="shared" ca="1" si="32"/>
        <v>1</v>
      </c>
      <c r="V146" s="260">
        <f t="shared" ca="1" si="31"/>
        <v>1</v>
      </c>
      <c r="W146" s="260">
        <f t="shared" ca="1" si="31"/>
        <v>1</v>
      </c>
      <c r="X146" s="260">
        <f t="shared" ca="1" si="31"/>
        <v>1</v>
      </c>
      <c r="Y146" s="260">
        <f t="shared" ca="1" si="31"/>
        <v>1</v>
      </c>
      <c r="Z146" s="260">
        <f t="shared" ca="1" si="31"/>
        <v>1</v>
      </c>
      <c r="AA146" s="260"/>
      <c r="AB146" s="257"/>
      <c r="AC146" s="260"/>
      <c r="AD146" s="257"/>
      <c r="AE146" s="257"/>
      <c r="AF146" s="257"/>
      <c r="AG146" s="257"/>
      <c r="AH146" s="257"/>
      <c r="AI146" s="257"/>
      <c r="AJ146" s="257"/>
    </row>
    <row r="147" spans="2:36" s="259" customFormat="1" x14ac:dyDescent="0.25">
      <c r="B147" s="258"/>
      <c r="C147" s="258"/>
      <c r="D147" s="294"/>
      <c r="E147" s="265"/>
      <c r="F147" s="265">
        <v>1</v>
      </c>
      <c r="G147" s="362">
        <f t="shared" si="39"/>
        <v>5.9249999999999927</v>
      </c>
      <c r="H147" s="362">
        <f t="shared" ref="H147:K147" si="54">H146</f>
        <v>12</v>
      </c>
      <c r="I147" s="362">
        <f t="shared" si="54"/>
        <v>5.0999999999999996</v>
      </c>
      <c r="J147" s="362">
        <f t="shared" si="54"/>
        <v>5</v>
      </c>
      <c r="K147" s="362">
        <f t="shared" si="54"/>
        <v>4.9000000000000012</v>
      </c>
      <c r="L147" s="362">
        <f t="shared" si="37"/>
        <v>0</v>
      </c>
      <c r="M147" s="362">
        <f t="shared" si="40"/>
        <v>0</v>
      </c>
      <c r="N147" s="362">
        <f t="shared" si="41"/>
        <v>0</v>
      </c>
      <c r="O147" s="362">
        <f t="shared" si="42"/>
        <v>0</v>
      </c>
      <c r="P147" s="362">
        <f t="shared" si="43"/>
        <v>0</v>
      </c>
      <c r="Q147" s="362" t="s">
        <v>534</v>
      </c>
      <c r="R147" s="362">
        <f t="shared" ca="1" si="23"/>
        <v>4.8</v>
      </c>
      <c r="S147" s="362">
        <f t="shared" ca="1" si="24"/>
        <v>0</v>
      </c>
      <c r="T147" s="323">
        <f t="shared" ca="1" si="26"/>
        <v>1.3250000000000011</v>
      </c>
      <c r="U147" s="260">
        <f t="shared" ca="1" si="32"/>
        <v>1</v>
      </c>
      <c r="V147" s="260">
        <f t="shared" ca="1" si="31"/>
        <v>1</v>
      </c>
      <c r="W147" s="260">
        <f t="shared" ca="1" si="31"/>
        <v>1</v>
      </c>
      <c r="X147" s="260">
        <f t="shared" ca="1" si="31"/>
        <v>1</v>
      </c>
      <c r="Y147" s="260">
        <f t="shared" ca="1" si="31"/>
        <v>1</v>
      </c>
      <c r="Z147" s="260">
        <f t="shared" ca="1" si="31"/>
        <v>1</v>
      </c>
      <c r="AA147" s="260"/>
      <c r="AB147" s="257"/>
      <c r="AC147" s="260"/>
      <c r="AD147" s="257"/>
      <c r="AE147" s="257"/>
      <c r="AF147" s="257"/>
      <c r="AG147" s="257"/>
      <c r="AH147" s="257"/>
      <c r="AI147" s="257"/>
      <c r="AJ147" s="257"/>
    </row>
    <row r="148" spans="2:36" s="259" customFormat="1" x14ac:dyDescent="0.25">
      <c r="B148" s="258"/>
      <c r="C148" s="258"/>
      <c r="D148" s="294"/>
      <c r="E148" s="265"/>
      <c r="F148" s="265">
        <v>1</v>
      </c>
      <c r="G148" s="362">
        <f t="shared" si="39"/>
        <v>5.9499999999999931</v>
      </c>
      <c r="H148" s="362">
        <f t="shared" ref="H148:K148" si="55">H147</f>
        <v>12</v>
      </c>
      <c r="I148" s="362">
        <f t="shared" si="55"/>
        <v>5.0999999999999996</v>
      </c>
      <c r="J148" s="362">
        <f t="shared" si="55"/>
        <v>5</v>
      </c>
      <c r="K148" s="362">
        <f t="shared" si="55"/>
        <v>4.9000000000000012</v>
      </c>
      <c r="L148" s="362">
        <f t="shared" si="37"/>
        <v>0</v>
      </c>
      <c r="M148" s="362">
        <f t="shared" si="40"/>
        <v>0</v>
      </c>
      <c r="N148" s="362">
        <f t="shared" si="41"/>
        <v>0</v>
      </c>
      <c r="O148" s="362">
        <f t="shared" si="42"/>
        <v>0</v>
      </c>
      <c r="P148" s="362">
        <f t="shared" si="43"/>
        <v>0</v>
      </c>
      <c r="Q148" s="362" t="s">
        <v>534</v>
      </c>
      <c r="R148" s="362">
        <f t="shared" ca="1" si="23"/>
        <v>4.8</v>
      </c>
      <c r="S148" s="362">
        <f t="shared" ca="1" si="24"/>
        <v>0</v>
      </c>
      <c r="T148" s="323">
        <f t="shared" ca="1" si="26"/>
        <v>1.3500000000000014</v>
      </c>
      <c r="U148" s="260">
        <f t="shared" ca="1" si="32"/>
        <v>1</v>
      </c>
      <c r="V148" s="260">
        <f t="shared" ca="1" si="31"/>
        <v>1</v>
      </c>
      <c r="W148" s="260">
        <f t="shared" ca="1" si="31"/>
        <v>1</v>
      </c>
      <c r="X148" s="260">
        <f t="shared" ca="1" si="31"/>
        <v>1</v>
      </c>
      <c r="Y148" s="260">
        <f t="shared" ca="1" si="31"/>
        <v>1</v>
      </c>
      <c r="Z148" s="260">
        <f t="shared" ca="1" si="31"/>
        <v>1</v>
      </c>
      <c r="AA148" s="260"/>
      <c r="AB148" s="257"/>
      <c r="AC148" s="260"/>
      <c r="AD148" s="257"/>
      <c r="AE148" s="257"/>
      <c r="AF148" s="257"/>
      <c r="AG148" s="257"/>
      <c r="AH148" s="257"/>
      <c r="AI148" s="257"/>
      <c r="AJ148" s="257"/>
    </row>
    <row r="149" spans="2:36" s="259" customFormat="1" x14ac:dyDescent="0.25">
      <c r="B149" s="258"/>
      <c r="C149" s="258"/>
      <c r="D149" s="294"/>
      <c r="E149" s="265"/>
      <c r="F149" s="265">
        <v>1</v>
      </c>
      <c r="G149" s="362">
        <f t="shared" si="39"/>
        <v>5.9749999999999934</v>
      </c>
      <c r="H149" s="362">
        <f t="shared" ref="H149:K149" si="56">H148</f>
        <v>12</v>
      </c>
      <c r="I149" s="362">
        <f t="shared" si="56"/>
        <v>5.0999999999999996</v>
      </c>
      <c r="J149" s="362">
        <f t="shared" si="56"/>
        <v>5</v>
      </c>
      <c r="K149" s="362">
        <f t="shared" si="56"/>
        <v>4.9000000000000012</v>
      </c>
      <c r="L149" s="362">
        <f t="shared" si="37"/>
        <v>0</v>
      </c>
      <c r="M149" s="362">
        <f t="shared" si="40"/>
        <v>0</v>
      </c>
      <c r="N149" s="362">
        <f t="shared" si="41"/>
        <v>0</v>
      </c>
      <c r="O149" s="362">
        <f t="shared" si="42"/>
        <v>0</v>
      </c>
      <c r="P149" s="362">
        <f t="shared" si="43"/>
        <v>0</v>
      </c>
      <c r="Q149" s="362" t="s">
        <v>534</v>
      </c>
      <c r="R149" s="362">
        <f t="shared" ca="1" si="23"/>
        <v>4.8</v>
      </c>
      <c r="S149" s="362">
        <f t="shared" ca="1" si="24"/>
        <v>0</v>
      </c>
      <c r="T149" s="323">
        <f t="shared" ca="1" si="26"/>
        <v>1.3750000000000018</v>
      </c>
      <c r="U149" s="260">
        <f t="shared" ca="1" si="32"/>
        <v>1</v>
      </c>
      <c r="V149" s="260">
        <f t="shared" ca="1" si="31"/>
        <v>1</v>
      </c>
      <c r="W149" s="260">
        <f t="shared" ca="1" si="31"/>
        <v>1</v>
      </c>
      <c r="X149" s="260">
        <f t="shared" ca="1" si="31"/>
        <v>1</v>
      </c>
      <c r="Y149" s="260">
        <f t="shared" ca="1" si="31"/>
        <v>1</v>
      </c>
      <c r="Z149" s="260">
        <f t="shared" ca="1" si="31"/>
        <v>1</v>
      </c>
      <c r="AA149" s="260"/>
      <c r="AB149" s="257"/>
      <c r="AC149" s="260"/>
      <c r="AD149" s="257"/>
      <c r="AE149" s="257"/>
      <c r="AF149" s="257"/>
      <c r="AG149" s="257"/>
      <c r="AH149" s="257"/>
      <c r="AI149" s="257"/>
      <c r="AJ149" s="257"/>
    </row>
    <row r="150" spans="2:36" s="259" customFormat="1" x14ac:dyDescent="0.25">
      <c r="B150" s="258"/>
      <c r="C150" s="258"/>
      <c r="D150" s="294"/>
      <c r="E150" s="265"/>
      <c r="F150" s="265">
        <v>1</v>
      </c>
      <c r="G150" s="362">
        <f t="shared" si="39"/>
        <v>5.9999999999999938</v>
      </c>
      <c r="H150" s="362">
        <f t="shared" ref="H150:K150" si="57">H149</f>
        <v>12</v>
      </c>
      <c r="I150" s="362">
        <f t="shared" si="57"/>
        <v>5.0999999999999996</v>
      </c>
      <c r="J150" s="362">
        <f t="shared" si="57"/>
        <v>5</v>
      </c>
      <c r="K150" s="362">
        <f t="shared" si="57"/>
        <v>4.9000000000000012</v>
      </c>
      <c r="L150" s="362">
        <f t="shared" si="37"/>
        <v>0</v>
      </c>
      <c r="M150" s="362">
        <f t="shared" si="40"/>
        <v>0</v>
      </c>
      <c r="N150" s="362">
        <f t="shared" si="41"/>
        <v>0</v>
      </c>
      <c r="O150" s="362">
        <f t="shared" si="42"/>
        <v>0</v>
      </c>
      <c r="P150" s="362">
        <f t="shared" si="43"/>
        <v>0</v>
      </c>
      <c r="Q150" s="362" t="s">
        <v>534</v>
      </c>
      <c r="R150" s="362">
        <f t="shared" ref="R150:R213" ca="1" si="58">IF(T150&gt;0.2+$AF$12/6+$H$1,vRST,0)</f>
        <v>4.8</v>
      </c>
      <c r="S150" s="362">
        <f t="shared" ref="S150:S213" ca="1" si="59">IF(AND(T150&gt;0,T150&lt;0.2+$AF$12/6),vABIST,0)</f>
        <v>0</v>
      </c>
      <c r="T150" s="323">
        <f t="shared" ca="1" si="26"/>
        <v>1.4000000000000021</v>
      </c>
      <c r="U150" s="260">
        <f t="shared" ca="1" si="32"/>
        <v>1</v>
      </c>
      <c r="V150" s="260">
        <f t="shared" ca="1" si="31"/>
        <v>1</v>
      </c>
      <c r="W150" s="260">
        <f t="shared" ca="1" si="31"/>
        <v>1</v>
      </c>
      <c r="X150" s="260">
        <f t="shared" ca="1" si="31"/>
        <v>1</v>
      </c>
      <c r="Y150" s="260">
        <f t="shared" ca="1" si="31"/>
        <v>1</v>
      </c>
      <c r="Z150" s="260">
        <f t="shared" ca="1" si="31"/>
        <v>1</v>
      </c>
      <c r="AA150" s="260"/>
      <c r="AB150" s="257"/>
      <c r="AC150" s="260"/>
      <c r="AD150" s="257"/>
      <c r="AE150" s="257"/>
      <c r="AF150" s="257"/>
      <c r="AG150" s="257"/>
      <c r="AH150" s="257"/>
      <c r="AI150" s="257"/>
      <c r="AJ150" s="257"/>
    </row>
    <row r="151" spans="2:36" s="259" customFormat="1" x14ac:dyDescent="0.25">
      <c r="B151" s="258"/>
      <c r="C151" s="258"/>
      <c r="D151" s="294"/>
      <c r="E151" s="265"/>
      <c r="F151" s="265">
        <v>1</v>
      </c>
      <c r="G151" s="362">
        <f t="shared" si="39"/>
        <v>6.0249999999999941</v>
      </c>
      <c r="H151" s="362">
        <f t="shared" ref="H151:K151" si="60">H150</f>
        <v>12</v>
      </c>
      <c r="I151" s="362">
        <f t="shared" si="60"/>
        <v>5.0999999999999996</v>
      </c>
      <c r="J151" s="362">
        <f t="shared" si="60"/>
        <v>5</v>
      </c>
      <c r="K151" s="362">
        <f t="shared" si="60"/>
        <v>4.9000000000000012</v>
      </c>
      <c r="L151" s="362">
        <f t="shared" si="37"/>
        <v>0</v>
      </c>
      <c r="M151" s="362">
        <f t="shared" si="40"/>
        <v>0</v>
      </c>
      <c r="N151" s="362">
        <f t="shared" si="41"/>
        <v>0</v>
      </c>
      <c r="O151" s="362">
        <f t="shared" si="42"/>
        <v>0</v>
      </c>
      <c r="P151" s="362">
        <f t="shared" si="43"/>
        <v>0</v>
      </c>
      <c r="Q151" s="362" t="s">
        <v>534</v>
      </c>
      <c r="R151" s="362">
        <f t="shared" ca="1" si="58"/>
        <v>4.8</v>
      </c>
      <c r="S151" s="362">
        <f t="shared" ca="1" si="59"/>
        <v>0</v>
      </c>
      <c r="T151" s="323">
        <f t="shared" ca="1" si="26"/>
        <v>1.4250000000000025</v>
      </c>
      <c r="U151" s="260">
        <f t="shared" ca="1" si="32"/>
        <v>1</v>
      </c>
      <c r="V151" s="260">
        <f t="shared" ca="1" si="31"/>
        <v>1</v>
      </c>
      <c r="W151" s="260">
        <f t="shared" ca="1" si="31"/>
        <v>1</v>
      </c>
      <c r="X151" s="260">
        <f t="shared" ca="1" si="31"/>
        <v>1</v>
      </c>
      <c r="Y151" s="260">
        <f t="shared" ca="1" si="31"/>
        <v>1</v>
      </c>
      <c r="Z151" s="260">
        <f t="shared" ca="1" si="31"/>
        <v>1</v>
      </c>
      <c r="AA151" s="260"/>
      <c r="AB151" s="257"/>
      <c r="AC151" s="260"/>
      <c r="AD151" s="257"/>
      <c r="AE151" s="257"/>
      <c r="AF151" s="257"/>
      <c r="AG151" s="257"/>
      <c r="AH151" s="257"/>
      <c r="AI151" s="257"/>
      <c r="AJ151" s="257"/>
    </row>
    <row r="152" spans="2:36" s="259" customFormat="1" x14ac:dyDescent="0.25">
      <c r="B152" s="258"/>
      <c r="C152" s="258"/>
      <c r="D152" s="294"/>
      <c r="E152" s="265"/>
      <c r="F152" s="265">
        <v>1</v>
      </c>
      <c r="G152" s="362">
        <f t="shared" si="39"/>
        <v>6.0499999999999945</v>
      </c>
      <c r="H152" s="362">
        <f t="shared" ref="H152:K152" si="61">H151</f>
        <v>12</v>
      </c>
      <c r="I152" s="362">
        <f t="shared" si="61"/>
        <v>5.0999999999999996</v>
      </c>
      <c r="J152" s="362">
        <f t="shared" si="61"/>
        <v>5</v>
      </c>
      <c r="K152" s="362">
        <f t="shared" si="61"/>
        <v>4.9000000000000012</v>
      </c>
      <c r="L152" s="362">
        <f t="shared" si="37"/>
        <v>0</v>
      </c>
      <c r="M152" s="362">
        <f t="shared" si="40"/>
        <v>0</v>
      </c>
      <c r="N152" s="362">
        <f t="shared" si="41"/>
        <v>0</v>
      </c>
      <c r="O152" s="362">
        <f t="shared" si="42"/>
        <v>0</v>
      </c>
      <c r="P152" s="362">
        <f t="shared" si="43"/>
        <v>0</v>
      </c>
      <c r="Q152" s="362" t="s">
        <v>534</v>
      </c>
      <c r="R152" s="362">
        <f t="shared" ca="1" si="58"/>
        <v>4.8</v>
      </c>
      <c r="S152" s="362">
        <f t="shared" ca="1" si="59"/>
        <v>0</v>
      </c>
      <c r="T152" s="323">
        <f t="shared" ref="T152:T215" ca="1" si="62">T151+IF(INT(AND(U152:Z152,Q151="DONE"))=0,0,G152-G151)</f>
        <v>1.4500000000000028</v>
      </c>
      <c r="U152" s="260">
        <f t="shared" ca="1" si="32"/>
        <v>1</v>
      </c>
      <c r="V152" s="260">
        <f t="shared" ca="1" si="31"/>
        <v>1</v>
      </c>
      <c r="W152" s="260">
        <f t="shared" ca="1" si="31"/>
        <v>1</v>
      </c>
      <c r="X152" s="260">
        <f t="shared" ca="1" si="31"/>
        <v>1</v>
      </c>
      <c r="Y152" s="260">
        <f t="shared" ca="1" si="31"/>
        <v>1</v>
      </c>
      <c r="Z152" s="260">
        <f t="shared" ca="1" si="31"/>
        <v>1</v>
      </c>
      <c r="AA152" s="260"/>
      <c r="AB152" s="257"/>
      <c r="AC152" s="260"/>
      <c r="AD152" s="257"/>
      <c r="AE152" s="257"/>
      <c r="AF152" s="257"/>
      <c r="AG152" s="257"/>
      <c r="AH152" s="257"/>
      <c r="AI152" s="257"/>
      <c r="AJ152" s="257"/>
    </row>
    <row r="153" spans="2:36" s="259" customFormat="1" x14ac:dyDescent="0.25">
      <c r="B153" s="258"/>
      <c r="C153" s="258"/>
      <c r="D153" s="294"/>
      <c r="E153" s="265"/>
      <c r="F153" s="265">
        <v>1</v>
      </c>
      <c r="G153" s="362">
        <f t="shared" si="39"/>
        <v>6.0749999999999948</v>
      </c>
      <c r="H153" s="362">
        <f t="shared" ref="H153:K153" si="63">H152</f>
        <v>12</v>
      </c>
      <c r="I153" s="362">
        <f t="shared" si="63"/>
        <v>5.0999999999999996</v>
      </c>
      <c r="J153" s="362">
        <f t="shared" si="63"/>
        <v>5</v>
      </c>
      <c r="K153" s="362">
        <f t="shared" si="63"/>
        <v>4.9000000000000012</v>
      </c>
      <c r="L153" s="362">
        <f t="shared" si="37"/>
        <v>0</v>
      </c>
      <c r="M153" s="362">
        <f t="shared" si="40"/>
        <v>0</v>
      </c>
      <c r="N153" s="362">
        <f t="shared" si="41"/>
        <v>0</v>
      </c>
      <c r="O153" s="362">
        <f t="shared" si="42"/>
        <v>0</v>
      </c>
      <c r="P153" s="362">
        <f t="shared" si="43"/>
        <v>0</v>
      </c>
      <c r="Q153" s="362" t="s">
        <v>534</v>
      </c>
      <c r="R153" s="362">
        <f t="shared" ca="1" si="58"/>
        <v>4.8</v>
      </c>
      <c r="S153" s="362">
        <f t="shared" ca="1" si="59"/>
        <v>0</v>
      </c>
      <c r="T153" s="323">
        <f t="shared" ca="1" si="62"/>
        <v>1.4750000000000032</v>
      </c>
      <c r="U153" s="260">
        <f t="shared" ca="1" si="32"/>
        <v>1</v>
      </c>
      <c r="V153" s="260">
        <f t="shared" ca="1" si="31"/>
        <v>1</v>
      </c>
      <c r="W153" s="260">
        <f t="shared" ca="1" si="31"/>
        <v>1</v>
      </c>
      <c r="X153" s="260">
        <f t="shared" ca="1" si="31"/>
        <v>1</v>
      </c>
      <c r="Y153" s="260">
        <f t="shared" ca="1" si="31"/>
        <v>1</v>
      </c>
      <c r="Z153" s="260">
        <f t="shared" ca="1" si="31"/>
        <v>1</v>
      </c>
      <c r="AA153" s="260"/>
      <c r="AB153" s="257"/>
      <c r="AC153" s="260"/>
      <c r="AD153" s="257"/>
      <c r="AE153" s="257"/>
      <c r="AF153" s="257"/>
      <c r="AG153" s="257"/>
      <c r="AH153" s="257"/>
      <c r="AI153" s="257"/>
      <c r="AJ153" s="257"/>
    </row>
    <row r="154" spans="2:36" s="259" customFormat="1" x14ac:dyDescent="0.25">
      <c r="B154" s="258"/>
      <c r="C154" s="258"/>
      <c r="D154" s="294"/>
      <c r="E154" s="265"/>
      <c r="F154" s="265">
        <v>1</v>
      </c>
      <c r="G154" s="362">
        <f t="shared" si="39"/>
        <v>6.0999999999999952</v>
      </c>
      <c r="H154" s="362">
        <f t="shared" ref="H154:K154" si="64">H153</f>
        <v>12</v>
      </c>
      <c r="I154" s="362">
        <f t="shared" si="64"/>
        <v>5.0999999999999996</v>
      </c>
      <c r="J154" s="362">
        <f t="shared" si="64"/>
        <v>5</v>
      </c>
      <c r="K154" s="362">
        <f t="shared" si="64"/>
        <v>4.9000000000000012</v>
      </c>
      <c r="L154" s="362">
        <f t="shared" si="37"/>
        <v>0</v>
      </c>
      <c r="M154" s="362">
        <f t="shared" si="40"/>
        <v>0</v>
      </c>
      <c r="N154" s="362">
        <f t="shared" si="41"/>
        <v>0</v>
      </c>
      <c r="O154" s="362">
        <f t="shared" si="42"/>
        <v>0</v>
      </c>
      <c r="P154" s="362">
        <f t="shared" si="43"/>
        <v>0</v>
      </c>
      <c r="Q154" s="362" t="s">
        <v>534</v>
      </c>
      <c r="R154" s="362">
        <f t="shared" ca="1" si="58"/>
        <v>4.8</v>
      </c>
      <c r="S154" s="362">
        <f t="shared" ca="1" si="59"/>
        <v>0</v>
      </c>
      <c r="T154" s="323">
        <f t="shared" ca="1" si="62"/>
        <v>1.5000000000000036</v>
      </c>
      <c r="U154" s="260">
        <f t="shared" ca="1" si="32"/>
        <v>1</v>
      </c>
      <c r="V154" s="260">
        <f t="shared" ca="1" si="31"/>
        <v>1</v>
      </c>
      <c r="W154" s="260">
        <f t="shared" ca="1" si="31"/>
        <v>1</v>
      </c>
      <c r="X154" s="260">
        <f t="shared" ca="1" si="31"/>
        <v>1</v>
      </c>
      <c r="Y154" s="260">
        <f t="shared" ca="1" si="31"/>
        <v>1</v>
      </c>
      <c r="Z154" s="260">
        <f t="shared" ca="1" si="31"/>
        <v>1</v>
      </c>
      <c r="AA154" s="260"/>
      <c r="AB154" s="257"/>
      <c r="AC154" s="260"/>
      <c r="AD154" s="257"/>
      <c r="AE154" s="257"/>
      <c r="AF154" s="257"/>
      <c r="AG154" s="257"/>
      <c r="AH154" s="257"/>
      <c r="AI154" s="257"/>
      <c r="AJ154" s="257"/>
    </row>
    <row r="155" spans="2:36" s="259" customFormat="1" x14ac:dyDescent="0.25">
      <c r="B155" s="258"/>
      <c r="C155" s="258"/>
      <c r="D155" s="294"/>
      <c r="E155" s="265"/>
      <c r="F155" s="265">
        <v>2</v>
      </c>
      <c r="G155" s="362">
        <f t="shared" si="39"/>
        <v>6.1249999999999956</v>
      </c>
      <c r="H155" s="362">
        <f t="shared" ref="H155:K155" si="65">H154</f>
        <v>12</v>
      </c>
      <c r="I155" s="362">
        <f t="shared" si="65"/>
        <v>5.0999999999999996</v>
      </c>
      <c r="J155" s="362">
        <f t="shared" si="65"/>
        <v>5</v>
      </c>
      <c r="K155" s="362">
        <f t="shared" si="65"/>
        <v>4.9000000000000012</v>
      </c>
      <c r="L155" s="362">
        <f t="shared" si="37"/>
        <v>0.19999999999999998</v>
      </c>
      <c r="M155" s="362">
        <f t="shared" si="40"/>
        <v>0</v>
      </c>
      <c r="N155" s="362">
        <f t="shared" si="41"/>
        <v>0.25384615384615383</v>
      </c>
      <c r="O155" s="362">
        <f t="shared" si="42"/>
        <v>0</v>
      </c>
      <c r="P155" s="362">
        <f t="shared" si="43"/>
        <v>0</v>
      </c>
      <c r="Q155" s="362" t="s">
        <v>534</v>
      </c>
      <c r="R155" s="362">
        <f t="shared" ca="1" si="58"/>
        <v>4.8</v>
      </c>
      <c r="S155" s="362">
        <f t="shared" ca="1" si="59"/>
        <v>0</v>
      </c>
      <c r="T155" s="323">
        <f t="shared" ca="1" si="62"/>
        <v>1.5250000000000039</v>
      </c>
      <c r="U155" s="260">
        <f t="shared" ca="1" si="32"/>
        <v>1</v>
      </c>
      <c r="V155" s="260">
        <f t="shared" ca="1" si="31"/>
        <v>1</v>
      </c>
      <c r="W155" s="260">
        <f t="shared" ca="1" si="31"/>
        <v>1</v>
      </c>
      <c r="X155" s="260">
        <f t="shared" ca="1" si="31"/>
        <v>1</v>
      </c>
      <c r="Y155" s="260">
        <f t="shared" ca="1" si="31"/>
        <v>1</v>
      </c>
      <c r="Z155" s="260">
        <f t="shared" ca="1" si="31"/>
        <v>1</v>
      </c>
      <c r="AA155" s="260"/>
      <c r="AB155" s="257"/>
      <c r="AC155" s="260"/>
      <c r="AD155" s="257"/>
      <c r="AE155" s="257"/>
      <c r="AF155" s="257"/>
      <c r="AG155" s="257"/>
      <c r="AH155" s="257"/>
      <c r="AI155" s="257"/>
      <c r="AJ155" s="257"/>
    </row>
    <row r="156" spans="2:36" s="259" customFormat="1" x14ac:dyDescent="0.25">
      <c r="B156" s="258"/>
      <c r="C156" s="258"/>
      <c r="D156" s="294"/>
      <c r="E156" s="265"/>
      <c r="F156" s="265">
        <v>2</v>
      </c>
      <c r="G156" s="362">
        <f t="shared" si="39"/>
        <v>6.1499999999999959</v>
      </c>
      <c r="H156" s="362">
        <f t="shared" ref="H156:K156" si="66">H155</f>
        <v>12</v>
      </c>
      <c r="I156" s="362">
        <f t="shared" si="66"/>
        <v>5.0999999999999996</v>
      </c>
      <c r="J156" s="362">
        <f t="shared" si="66"/>
        <v>5</v>
      </c>
      <c r="K156" s="362">
        <f t="shared" si="66"/>
        <v>4.9000000000000012</v>
      </c>
      <c r="L156" s="362">
        <f t="shared" si="37"/>
        <v>0.39999999999999997</v>
      </c>
      <c r="M156" s="362">
        <f t="shared" si="40"/>
        <v>0</v>
      </c>
      <c r="N156" s="362">
        <f t="shared" si="41"/>
        <v>0.50769230769230766</v>
      </c>
      <c r="O156" s="362">
        <f t="shared" si="42"/>
        <v>0</v>
      </c>
      <c r="P156" s="362">
        <f t="shared" si="43"/>
        <v>0</v>
      </c>
      <c r="Q156" s="362" t="s">
        <v>534</v>
      </c>
      <c r="R156" s="362">
        <f t="shared" ca="1" si="58"/>
        <v>4.8</v>
      </c>
      <c r="S156" s="362">
        <f t="shared" ca="1" si="59"/>
        <v>0</v>
      </c>
      <c r="T156" s="323">
        <f t="shared" ca="1" si="62"/>
        <v>1.5500000000000043</v>
      </c>
      <c r="U156" s="260">
        <f t="shared" ca="1" si="32"/>
        <v>1</v>
      </c>
      <c r="V156" s="260">
        <f t="shared" ca="1" si="31"/>
        <v>1</v>
      </c>
      <c r="W156" s="260">
        <f t="shared" ca="1" si="31"/>
        <v>1</v>
      </c>
      <c r="X156" s="260">
        <f t="shared" ca="1" si="31"/>
        <v>1</v>
      </c>
      <c r="Y156" s="260">
        <f t="shared" ca="1" si="31"/>
        <v>1</v>
      </c>
      <c r="Z156" s="260">
        <f t="shared" ca="1" si="31"/>
        <v>1</v>
      </c>
      <c r="AA156" s="260"/>
      <c r="AB156" s="257"/>
      <c r="AC156" s="260"/>
      <c r="AD156" s="257"/>
      <c r="AE156" s="257"/>
      <c r="AF156" s="257"/>
      <c r="AG156" s="257"/>
      <c r="AH156" s="257"/>
      <c r="AI156" s="257"/>
      <c r="AJ156" s="257"/>
    </row>
    <row r="157" spans="2:36" s="259" customFormat="1" x14ac:dyDescent="0.25">
      <c r="B157" s="258"/>
      <c r="C157" s="258"/>
      <c r="D157" s="294"/>
      <c r="E157" s="265"/>
      <c r="F157" s="265">
        <v>2</v>
      </c>
      <c r="G157" s="362">
        <f t="shared" si="39"/>
        <v>6.1749999999999963</v>
      </c>
      <c r="H157" s="362">
        <f t="shared" ref="H157:K157" si="67">H156</f>
        <v>12</v>
      </c>
      <c r="I157" s="362">
        <f t="shared" si="67"/>
        <v>5.0999999999999996</v>
      </c>
      <c r="J157" s="362">
        <f t="shared" si="67"/>
        <v>5</v>
      </c>
      <c r="K157" s="362">
        <f t="shared" si="67"/>
        <v>4.9000000000000012</v>
      </c>
      <c r="L157" s="362">
        <f t="shared" si="37"/>
        <v>0.6</v>
      </c>
      <c r="M157" s="362">
        <f t="shared" si="40"/>
        <v>0</v>
      </c>
      <c r="N157" s="362">
        <f t="shared" si="41"/>
        <v>0.7615384615384615</v>
      </c>
      <c r="O157" s="362">
        <f t="shared" si="42"/>
        <v>0</v>
      </c>
      <c r="P157" s="362">
        <f t="shared" si="43"/>
        <v>0</v>
      </c>
      <c r="Q157" s="362" t="s">
        <v>534</v>
      </c>
      <c r="R157" s="362">
        <f t="shared" ca="1" si="58"/>
        <v>4.8</v>
      </c>
      <c r="S157" s="362">
        <f t="shared" ca="1" si="59"/>
        <v>0</v>
      </c>
      <c r="T157" s="323">
        <f t="shared" ca="1" si="62"/>
        <v>1.5750000000000046</v>
      </c>
      <c r="U157" s="260">
        <f t="shared" ca="1" si="32"/>
        <v>1</v>
      </c>
      <c r="V157" s="260">
        <f t="shared" ca="1" si="31"/>
        <v>1</v>
      </c>
      <c r="W157" s="260">
        <f t="shared" ca="1" si="31"/>
        <v>1</v>
      </c>
      <c r="X157" s="260">
        <f t="shared" ca="1" si="31"/>
        <v>1</v>
      </c>
      <c r="Y157" s="260">
        <f t="shared" ca="1" si="31"/>
        <v>1</v>
      </c>
      <c r="Z157" s="260">
        <f t="shared" ca="1" si="31"/>
        <v>1</v>
      </c>
      <c r="AA157" s="260"/>
      <c r="AB157" s="257"/>
      <c r="AC157" s="260"/>
      <c r="AD157" s="257"/>
      <c r="AE157" s="257"/>
      <c r="AF157" s="257"/>
      <c r="AG157" s="257"/>
      <c r="AH157" s="257"/>
      <c r="AI157" s="257"/>
      <c r="AJ157" s="257"/>
    </row>
    <row r="158" spans="2:36" s="259" customFormat="1" x14ac:dyDescent="0.25">
      <c r="B158" s="258"/>
      <c r="C158" s="258"/>
      <c r="D158" s="294"/>
      <c r="E158" s="265"/>
      <c r="F158" s="265">
        <v>2</v>
      </c>
      <c r="G158" s="362">
        <f t="shared" si="39"/>
        <v>6.1999999999999966</v>
      </c>
      <c r="H158" s="362">
        <f t="shared" ref="H158:K158" si="68">H157</f>
        <v>12</v>
      </c>
      <c r="I158" s="362">
        <f t="shared" si="68"/>
        <v>5.0999999999999996</v>
      </c>
      <c r="J158" s="362">
        <f t="shared" si="68"/>
        <v>5</v>
      </c>
      <c r="K158" s="362">
        <f t="shared" si="68"/>
        <v>4.9000000000000012</v>
      </c>
      <c r="L158" s="362">
        <f t="shared" si="37"/>
        <v>0.79999999999999993</v>
      </c>
      <c r="M158" s="362">
        <f t="shared" si="40"/>
        <v>0</v>
      </c>
      <c r="N158" s="362">
        <f t="shared" si="41"/>
        <v>1.0153846153846153</v>
      </c>
      <c r="O158" s="362">
        <f t="shared" si="42"/>
        <v>0</v>
      </c>
      <c r="P158" s="362">
        <f t="shared" si="43"/>
        <v>0</v>
      </c>
      <c r="Q158" s="362" t="s">
        <v>534</v>
      </c>
      <c r="R158" s="362">
        <f t="shared" ca="1" si="58"/>
        <v>4.8</v>
      </c>
      <c r="S158" s="362">
        <f t="shared" ca="1" si="59"/>
        <v>0</v>
      </c>
      <c r="T158" s="323">
        <f t="shared" ca="1" si="62"/>
        <v>1.600000000000005</v>
      </c>
      <c r="U158" s="260">
        <f t="shared" ca="1" si="32"/>
        <v>1</v>
      </c>
      <c r="V158" s="260">
        <f t="shared" ca="1" si="31"/>
        <v>1</v>
      </c>
      <c r="W158" s="260">
        <f t="shared" ca="1" si="31"/>
        <v>1</v>
      </c>
      <c r="X158" s="260">
        <f t="shared" ca="1" si="31"/>
        <v>1</v>
      </c>
      <c r="Y158" s="260">
        <f t="shared" ca="1" si="31"/>
        <v>1</v>
      </c>
      <c r="Z158" s="260">
        <f t="shared" ca="1" si="31"/>
        <v>1</v>
      </c>
      <c r="AA158" s="260"/>
      <c r="AB158" s="257"/>
      <c r="AC158" s="260"/>
      <c r="AD158" s="257"/>
      <c r="AE158" s="257"/>
      <c r="AF158" s="257"/>
      <c r="AG158" s="257"/>
      <c r="AH158" s="257"/>
      <c r="AI158" s="257"/>
      <c r="AJ158" s="257"/>
    </row>
    <row r="159" spans="2:36" s="259" customFormat="1" x14ac:dyDescent="0.25">
      <c r="B159" s="258"/>
      <c r="C159" s="258"/>
      <c r="D159" s="294"/>
      <c r="E159" s="265"/>
      <c r="F159" s="265">
        <v>2</v>
      </c>
      <c r="G159" s="362">
        <f t="shared" si="39"/>
        <v>6.224999999999997</v>
      </c>
      <c r="H159" s="362">
        <f t="shared" ref="H159:K159" si="69">H158</f>
        <v>12</v>
      </c>
      <c r="I159" s="362">
        <f t="shared" si="69"/>
        <v>5.0999999999999996</v>
      </c>
      <c r="J159" s="362">
        <f t="shared" si="69"/>
        <v>5</v>
      </c>
      <c r="K159" s="362">
        <f t="shared" si="69"/>
        <v>4.9000000000000012</v>
      </c>
      <c r="L159" s="362">
        <f t="shared" si="37"/>
        <v>0.99999999999999989</v>
      </c>
      <c r="M159" s="362">
        <f t="shared" si="40"/>
        <v>0</v>
      </c>
      <c r="N159" s="362">
        <f t="shared" si="41"/>
        <v>1.2692307692307692</v>
      </c>
      <c r="O159" s="362">
        <f t="shared" si="42"/>
        <v>0</v>
      </c>
      <c r="P159" s="362">
        <f t="shared" si="43"/>
        <v>0</v>
      </c>
      <c r="Q159" s="362" t="s">
        <v>534</v>
      </c>
      <c r="R159" s="362">
        <f t="shared" ca="1" si="58"/>
        <v>4.8</v>
      </c>
      <c r="S159" s="362">
        <f t="shared" ca="1" si="59"/>
        <v>0</v>
      </c>
      <c r="T159" s="323">
        <f t="shared" ca="1" si="62"/>
        <v>1.6250000000000053</v>
      </c>
      <c r="U159" s="260">
        <f t="shared" ca="1" si="32"/>
        <v>1</v>
      </c>
      <c r="V159" s="260">
        <f t="shared" ca="1" si="31"/>
        <v>1</v>
      </c>
      <c r="W159" s="260">
        <f t="shared" ca="1" si="31"/>
        <v>1</v>
      </c>
      <c r="X159" s="260">
        <f t="shared" ca="1" si="31"/>
        <v>1</v>
      </c>
      <c r="Y159" s="260">
        <f t="shared" ca="1" si="31"/>
        <v>1</v>
      </c>
      <c r="Z159" s="260">
        <f t="shared" ca="1" si="31"/>
        <v>1</v>
      </c>
      <c r="AA159" s="260"/>
      <c r="AB159" s="257"/>
      <c r="AC159" s="260"/>
      <c r="AD159" s="257"/>
      <c r="AE159" s="257"/>
      <c r="AF159" s="257"/>
      <c r="AG159" s="257"/>
      <c r="AH159" s="257"/>
      <c r="AI159" s="257"/>
      <c r="AJ159" s="257"/>
    </row>
    <row r="160" spans="2:36" s="259" customFormat="1" x14ac:dyDescent="0.25">
      <c r="B160" s="258"/>
      <c r="C160" s="258"/>
      <c r="D160" s="294"/>
      <c r="E160" s="265"/>
      <c r="F160" s="265">
        <v>2</v>
      </c>
      <c r="G160" s="362">
        <f t="shared" si="39"/>
        <v>6.2499999999999973</v>
      </c>
      <c r="H160" s="362">
        <f t="shared" ref="H160:K160" si="70">H159</f>
        <v>12</v>
      </c>
      <c r="I160" s="362">
        <f t="shared" si="70"/>
        <v>5.0999999999999996</v>
      </c>
      <c r="J160" s="362">
        <f t="shared" si="70"/>
        <v>5</v>
      </c>
      <c r="K160" s="362">
        <f t="shared" si="70"/>
        <v>4.9000000000000012</v>
      </c>
      <c r="L160" s="362">
        <f t="shared" si="37"/>
        <v>1.2</v>
      </c>
      <c r="M160" s="362">
        <f t="shared" si="40"/>
        <v>0</v>
      </c>
      <c r="N160" s="362">
        <f t="shared" si="41"/>
        <v>1.523076923076923</v>
      </c>
      <c r="O160" s="362">
        <f t="shared" si="42"/>
        <v>0</v>
      </c>
      <c r="P160" s="362">
        <f t="shared" si="43"/>
        <v>0</v>
      </c>
      <c r="Q160" s="362" t="s">
        <v>534</v>
      </c>
      <c r="R160" s="362">
        <f t="shared" ca="1" si="58"/>
        <v>4.8</v>
      </c>
      <c r="S160" s="362">
        <f t="shared" ca="1" si="59"/>
        <v>0</v>
      </c>
      <c r="T160" s="323">
        <f t="shared" ca="1" si="62"/>
        <v>1.6500000000000057</v>
      </c>
      <c r="U160" s="260">
        <f t="shared" ca="1" si="32"/>
        <v>1</v>
      </c>
      <c r="V160" s="260">
        <f t="shared" ca="1" si="31"/>
        <v>1</v>
      </c>
      <c r="W160" s="260">
        <f t="shared" ca="1" si="31"/>
        <v>1</v>
      </c>
      <c r="X160" s="260">
        <f t="shared" ca="1" si="31"/>
        <v>1</v>
      </c>
      <c r="Y160" s="260">
        <f t="shared" ca="1" si="31"/>
        <v>1</v>
      </c>
      <c r="Z160" s="260">
        <f t="shared" ca="1" si="31"/>
        <v>1</v>
      </c>
      <c r="AA160" s="260"/>
      <c r="AB160" s="257"/>
      <c r="AC160" s="260"/>
      <c r="AD160" s="257"/>
      <c r="AE160" s="257"/>
      <c r="AF160" s="257"/>
      <c r="AG160" s="257"/>
      <c r="AH160" s="257"/>
      <c r="AI160" s="257"/>
      <c r="AJ160" s="257"/>
    </row>
    <row r="161" spans="2:36" s="259" customFormat="1" x14ac:dyDescent="0.25">
      <c r="B161" s="258"/>
      <c r="C161" s="258"/>
      <c r="D161" s="294"/>
      <c r="E161" s="265"/>
      <c r="F161" s="265">
        <v>2</v>
      </c>
      <c r="G161" s="362">
        <f t="shared" si="39"/>
        <v>6.2749999999999977</v>
      </c>
      <c r="H161" s="362">
        <f t="shared" ref="H161:K161" si="71">H160</f>
        <v>12</v>
      </c>
      <c r="I161" s="362">
        <f t="shared" si="71"/>
        <v>5.0999999999999996</v>
      </c>
      <c r="J161" s="362">
        <f t="shared" si="71"/>
        <v>5</v>
      </c>
      <c r="K161" s="362">
        <f t="shared" si="71"/>
        <v>4.9000000000000012</v>
      </c>
      <c r="L161" s="362">
        <f t="shared" si="37"/>
        <v>1.2</v>
      </c>
      <c r="M161" s="362">
        <f t="shared" si="40"/>
        <v>0</v>
      </c>
      <c r="N161" s="362">
        <f t="shared" si="41"/>
        <v>1.7769230769230768</v>
      </c>
      <c r="O161" s="362">
        <f t="shared" si="42"/>
        <v>0</v>
      </c>
      <c r="P161" s="362">
        <f t="shared" si="43"/>
        <v>0</v>
      </c>
      <c r="Q161" s="362" t="s">
        <v>534</v>
      </c>
      <c r="R161" s="362">
        <f t="shared" ca="1" si="58"/>
        <v>4.8</v>
      </c>
      <c r="S161" s="362">
        <f t="shared" ca="1" si="59"/>
        <v>0</v>
      </c>
      <c r="T161" s="323">
        <f t="shared" ca="1" si="62"/>
        <v>1.675000000000006</v>
      </c>
      <c r="U161" s="260">
        <f t="shared" ca="1" si="32"/>
        <v>1</v>
      </c>
      <c r="V161" s="260">
        <f t="shared" ca="1" si="31"/>
        <v>1</v>
      </c>
      <c r="W161" s="260">
        <f t="shared" ca="1" si="31"/>
        <v>1</v>
      </c>
      <c r="X161" s="260">
        <f t="shared" ca="1" si="31"/>
        <v>1</v>
      </c>
      <c r="Y161" s="260">
        <f t="shared" ca="1" si="31"/>
        <v>1</v>
      </c>
      <c r="Z161" s="260">
        <f t="shared" ca="1" si="31"/>
        <v>1</v>
      </c>
      <c r="AA161" s="260"/>
      <c r="AB161" s="257"/>
      <c r="AC161" s="260"/>
      <c r="AD161" s="257"/>
      <c r="AE161" s="257"/>
      <c r="AF161" s="257"/>
      <c r="AG161" s="257"/>
      <c r="AH161" s="257"/>
      <c r="AI161" s="257"/>
      <c r="AJ161" s="257"/>
    </row>
    <row r="162" spans="2:36" s="259" customFormat="1" x14ac:dyDescent="0.25">
      <c r="B162" s="258"/>
      <c r="C162" s="258"/>
      <c r="D162" s="294"/>
      <c r="E162" s="265"/>
      <c r="F162" s="265">
        <v>2</v>
      </c>
      <c r="G162" s="362">
        <f t="shared" si="39"/>
        <v>6.299999999999998</v>
      </c>
      <c r="H162" s="362">
        <f t="shared" ref="H162:K162" si="72">H161</f>
        <v>12</v>
      </c>
      <c r="I162" s="362">
        <f t="shared" si="72"/>
        <v>5.0999999999999996</v>
      </c>
      <c r="J162" s="362">
        <f t="shared" si="72"/>
        <v>5</v>
      </c>
      <c r="K162" s="362">
        <f t="shared" si="72"/>
        <v>4.9000000000000012</v>
      </c>
      <c r="L162" s="362">
        <f t="shared" si="37"/>
        <v>1.2</v>
      </c>
      <c r="M162" s="362">
        <f t="shared" si="40"/>
        <v>0</v>
      </c>
      <c r="N162" s="362">
        <f t="shared" si="41"/>
        <v>2.0307692307692307</v>
      </c>
      <c r="O162" s="362">
        <f t="shared" si="42"/>
        <v>0</v>
      </c>
      <c r="P162" s="362">
        <f t="shared" si="43"/>
        <v>0</v>
      </c>
      <c r="Q162" s="362" t="s">
        <v>534</v>
      </c>
      <c r="R162" s="362">
        <f t="shared" ca="1" si="58"/>
        <v>4.8</v>
      </c>
      <c r="S162" s="362">
        <f t="shared" ca="1" si="59"/>
        <v>0</v>
      </c>
      <c r="T162" s="323">
        <f t="shared" ca="1" si="62"/>
        <v>1.7000000000000064</v>
      </c>
      <c r="U162" s="260">
        <f t="shared" ca="1" si="32"/>
        <v>1</v>
      </c>
      <c r="V162" s="260">
        <f t="shared" ca="1" si="31"/>
        <v>1</v>
      </c>
      <c r="W162" s="260">
        <f t="shared" ca="1" si="31"/>
        <v>1</v>
      </c>
      <c r="X162" s="260">
        <f t="shared" ca="1" si="31"/>
        <v>1</v>
      </c>
      <c r="Y162" s="260">
        <f t="shared" ca="1" si="31"/>
        <v>1</v>
      </c>
      <c r="Z162" s="260">
        <f t="shared" ca="1" si="31"/>
        <v>1</v>
      </c>
      <c r="AA162" s="260"/>
      <c r="AB162" s="257"/>
      <c r="AC162" s="260"/>
      <c r="AD162" s="257"/>
      <c r="AE162" s="257"/>
      <c r="AF162" s="257"/>
      <c r="AG162" s="257"/>
      <c r="AH162" s="257"/>
      <c r="AI162" s="257"/>
      <c r="AJ162" s="257"/>
    </row>
    <row r="163" spans="2:36" s="259" customFormat="1" x14ac:dyDescent="0.25">
      <c r="B163" s="258"/>
      <c r="C163" s="258"/>
      <c r="D163" s="294"/>
      <c r="E163" s="265"/>
      <c r="F163" s="265">
        <v>2</v>
      </c>
      <c r="G163" s="362">
        <f t="shared" si="39"/>
        <v>6.3249999999999984</v>
      </c>
      <c r="H163" s="362">
        <f t="shared" ref="H163:K163" si="73">H162</f>
        <v>12</v>
      </c>
      <c r="I163" s="362">
        <f t="shared" si="73"/>
        <v>5.0999999999999996</v>
      </c>
      <c r="J163" s="362">
        <f t="shared" si="73"/>
        <v>5</v>
      </c>
      <c r="K163" s="362">
        <f t="shared" si="73"/>
        <v>4.9000000000000012</v>
      </c>
      <c r="L163" s="362">
        <f t="shared" si="37"/>
        <v>1.2</v>
      </c>
      <c r="M163" s="362">
        <f t="shared" si="40"/>
        <v>0</v>
      </c>
      <c r="N163" s="362">
        <f t="shared" si="41"/>
        <v>2.2846153846153845</v>
      </c>
      <c r="O163" s="362">
        <f t="shared" si="42"/>
        <v>0</v>
      </c>
      <c r="P163" s="362">
        <f t="shared" si="43"/>
        <v>0</v>
      </c>
      <c r="Q163" s="362" t="s">
        <v>534</v>
      </c>
      <c r="R163" s="362">
        <f t="shared" ca="1" si="58"/>
        <v>4.8</v>
      </c>
      <c r="S163" s="362">
        <f t="shared" ca="1" si="59"/>
        <v>0</v>
      </c>
      <c r="T163" s="323">
        <f t="shared" ca="1" si="62"/>
        <v>1.7250000000000068</v>
      </c>
      <c r="U163" s="260">
        <f t="shared" ca="1" si="32"/>
        <v>1</v>
      </c>
      <c r="V163" s="260">
        <f t="shared" ca="1" si="31"/>
        <v>1</v>
      </c>
      <c r="W163" s="260">
        <f t="shared" ca="1" si="31"/>
        <v>1</v>
      </c>
      <c r="X163" s="260">
        <f t="shared" ca="1" si="31"/>
        <v>1</v>
      </c>
      <c r="Y163" s="260">
        <f t="shared" ca="1" si="31"/>
        <v>1</v>
      </c>
      <c r="Z163" s="260">
        <f t="shared" ca="1" si="31"/>
        <v>1</v>
      </c>
      <c r="AA163" s="260"/>
      <c r="AB163" s="257"/>
      <c r="AC163" s="260"/>
      <c r="AD163" s="257"/>
      <c r="AE163" s="257"/>
      <c r="AF163" s="257"/>
      <c r="AG163" s="257"/>
      <c r="AH163" s="257"/>
      <c r="AI163" s="257"/>
      <c r="AJ163" s="257"/>
    </row>
    <row r="164" spans="2:36" s="259" customFormat="1" x14ac:dyDescent="0.25">
      <c r="B164" s="258"/>
      <c r="C164" s="258"/>
      <c r="D164" s="294"/>
      <c r="E164" s="265"/>
      <c r="F164" s="265">
        <v>2</v>
      </c>
      <c r="G164" s="362">
        <f t="shared" si="39"/>
        <v>6.3499999999999988</v>
      </c>
      <c r="H164" s="362">
        <f t="shared" ref="H164:K164" si="74">H163</f>
        <v>12</v>
      </c>
      <c r="I164" s="362">
        <f t="shared" si="74"/>
        <v>5.0999999999999996</v>
      </c>
      <c r="J164" s="362">
        <f t="shared" si="74"/>
        <v>5</v>
      </c>
      <c r="K164" s="362">
        <f t="shared" si="74"/>
        <v>4.9000000000000012</v>
      </c>
      <c r="L164" s="362">
        <f t="shared" si="37"/>
        <v>1.2</v>
      </c>
      <c r="M164" s="362">
        <f t="shared" si="40"/>
        <v>0</v>
      </c>
      <c r="N164" s="362">
        <f t="shared" si="41"/>
        <v>2.5384615384615383</v>
      </c>
      <c r="O164" s="362">
        <f t="shared" si="42"/>
        <v>0</v>
      </c>
      <c r="P164" s="362">
        <f t="shared" si="43"/>
        <v>0</v>
      </c>
      <c r="Q164" s="362" t="s">
        <v>534</v>
      </c>
      <c r="R164" s="362">
        <f t="shared" ca="1" si="58"/>
        <v>4.8</v>
      </c>
      <c r="S164" s="362">
        <f t="shared" ca="1" si="59"/>
        <v>0</v>
      </c>
      <c r="T164" s="323">
        <f t="shared" ca="1" si="62"/>
        <v>1.7500000000000071</v>
      </c>
      <c r="U164" s="260">
        <f t="shared" ca="1" si="32"/>
        <v>1</v>
      </c>
      <c r="V164" s="260">
        <f t="shared" ca="1" si="31"/>
        <v>1</v>
      </c>
      <c r="W164" s="260">
        <f t="shared" ca="1" si="31"/>
        <v>1</v>
      </c>
      <c r="X164" s="260">
        <f t="shared" ca="1" si="31"/>
        <v>1</v>
      </c>
      <c r="Y164" s="260">
        <f t="shared" ca="1" si="31"/>
        <v>1</v>
      </c>
      <c r="Z164" s="260">
        <f t="shared" ca="1" si="31"/>
        <v>1</v>
      </c>
      <c r="AA164" s="260"/>
      <c r="AB164" s="257"/>
      <c r="AC164" s="260"/>
      <c r="AD164" s="257"/>
      <c r="AE164" s="257"/>
      <c r="AF164" s="257"/>
      <c r="AG164" s="257"/>
      <c r="AH164" s="257"/>
      <c r="AI164" s="257"/>
      <c r="AJ164" s="257"/>
    </row>
    <row r="165" spans="2:36" s="259" customFormat="1" x14ac:dyDescent="0.25">
      <c r="B165" s="258"/>
      <c r="C165" s="258"/>
      <c r="D165" s="294"/>
      <c r="E165" s="265"/>
      <c r="F165" s="265">
        <v>3</v>
      </c>
      <c r="G165" s="362">
        <f t="shared" si="39"/>
        <v>6.3749999999999991</v>
      </c>
      <c r="H165" s="362">
        <f t="shared" ref="H165:K165" si="75">H164</f>
        <v>12</v>
      </c>
      <c r="I165" s="362">
        <f t="shared" si="75"/>
        <v>5.0999999999999996</v>
      </c>
      <c r="J165" s="362">
        <f t="shared" si="75"/>
        <v>5</v>
      </c>
      <c r="K165" s="362">
        <f t="shared" si="75"/>
        <v>4.9000000000000012</v>
      </c>
      <c r="L165" s="362">
        <f t="shared" si="37"/>
        <v>1.2</v>
      </c>
      <c r="M165" s="362">
        <f t="shared" si="40"/>
        <v>0</v>
      </c>
      <c r="N165" s="362">
        <f t="shared" si="41"/>
        <v>2.7923076923076922</v>
      </c>
      <c r="O165" s="362">
        <f t="shared" si="42"/>
        <v>0</v>
      </c>
      <c r="P165" s="362">
        <f t="shared" si="43"/>
        <v>0</v>
      </c>
      <c r="Q165" s="362" t="s">
        <v>534</v>
      </c>
      <c r="R165" s="362">
        <f t="shared" ca="1" si="58"/>
        <v>4.8</v>
      </c>
      <c r="S165" s="362">
        <f t="shared" ca="1" si="59"/>
        <v>0</v>
      </c>
      <c r="T165" s="323">
        <f t="shared" ca="1" si="62"/>
        <v>1.7750000000000075</v>
      </c>
      <c r="U165" s="260">
        <f t="shared" ca="1" si="32"/>
        <v>1</v>
      </c>
      <c r="V165" s="260">
        <f t="shared" ca="1" si="31"/>
        <v>1</v>
      </c>
      <c r="W165" s="260">
        <f t="shared" ca="1" si="31"/>
        <v>1</v>
      </c>
      <c r="X165" s="260">
        <f t="shared" ca="1" si="31"/>
        <v>1</v>
      </c>
      <c r="Y165" s="260">
        <f t="shared" ca="1" si="31"/>
        <v>1</v>
      </c>
      <c r="Z165" s="260">
        <f t="shared" ca="1" si="31"/>
        <v>1</v>
      </c>
      <c r="AA165" s="260"/>
      <c r="AB165" s="257"/>
      <c r="AC165" s="260"/>
      <c r="AD165" s="257"/>
      <c r="AE165" s="257"/>
      <c r="AF165" s="257"/>
      <c r="AG165" s="257"/>
      <c r="AH165" s="257"/>
      <c r="AI165" s="257"/>
      <c r="AJ165" s="257"/>
    </row>
    <row r="166" spans="2:36" s="259" customFormat="1" x14ac:dyDescent="0.25">
      <c r="B166" s="258"/>
      <c r="C166" s="258"/>
      <c r="D166" s="294"/>
      <c r="E166" s="265"/>
      <c r="F166" s="265">
        <v>3</v>
      </c>
      <c r="G166" s="362">
        <f t="shared" si="39"/>
        <v>6.3999999999999995</v>
      </c>
      <c r="H166" s="362">
        <f t="shared" ref="H166:K166" si="76">H165</f>
        <v>12</v>
      </c>
      <c r="I166" s="362">
        <f t="shared" si="76"/>
        <v>5.0999999999999996</v>
      </c>
      <c r="J166" s="362">
        <f t="shared" si="76"/>
        <v>5</v>
      </c>
      <c r="K166" s="362">
        <f t="shared" si="76"/>
        <v>4.9000000000000012</v>
      </c>
      <c r="L166" s="362">
        <f t="shared" si="37"/>
        <v>1.2</v>
      </c>
      <c r="M166" s="362">
        <f t="shared" si="40"/>
        <v>0</v>
      </c>
      <c r="N166" s="362">
        <f t="shared" si="41"/>
        <v>3.046153846153846</v>
      </c>
      <c r="O166" s="362">
        <f t="shared" si="42"/>
        <v>0</v>
      </c>
      <c r="P166" s="362">
        <f t="shared" si="43"/>
        <v>0</v>
      </c>
      <c r="Q166" s="362" t="s">
        <v>534</v>
      </c>
      <c r="R166" s="362">
        <f t="shared" ca="1" si="58"/>
        <v>4.8</v>
      </c>
      <c r="S166" s="362">
        <f t="shared" ca="1" si="59"/>
        <v>0</v>
      </c>
      <c r="T166" s="323">
        <f t="shared" ca="1" si="62"/>
        <v>1.8000000000000078</v>
      </c>
      <c r="U166" s="260">
        <f t="shared" ca="1" si="32"/>
        <v>1</v>
      </c>
      <c r="V166" s="260">
        <f t="shared" ca="1" si="31"/>
        <v>1</v>
      </c>
      <c r="W166" s="260">
        <f t="shared" ca="1" si="31"/>
        <v>1</v>
      </c>
      <c r="X166" s="260">
        <f t="shared" ca="1" si="31"/>
        <v>1</v>
      </c>
      <c r="Y166" s="260">
        <f t="shared" ca="1" si="31"/>
        <v>1</v>
      </c>
      <c r="Z166" s="260">
        <f t="shared" ca="1" si="31"/>
        <v>1</v>
      </c>
      <c r="AA166" s="260"/>
      <c r="AB166" s="257"/>
      <c r="AC166" s="260"/>
      <c r="AD166" s="257"/>
      <c r="AE166" s="257"/>
      <c r="AF166" s="257"/>
      <c r="AG166" s="257"/>
      <c r="AH166" s="257"/>
      <c r="AI166" s="257"/>
      <c r="AJ166" s="257"/>
    </row>
    <row r="167" spans="2:36" s="259" customFormat="1" x14ac:dyDescent="0.25">
      <c r="B167" s="258"/>
      <c r="C167" s="258"/>
      <c r="D167" s="294"/>
      <c r="E167" s="265"/>
      <c r="F167" s="265">
        <v>3</v>
      </c>
      <c r="G167" s="362">
        <f t="shared" si="39"/>
        <v>6.4249999999999998</v>
      </c>
      <c r="H167" s="362">
        <f t="shared" ref="H167:K167" si="77">H166</f>
        <v>12</v>
      </c>
      <c r="I167" s="362">
        <f t="shared" si="77"/>
        <v>5.0999999999999996</v>
      </c>
      <c r="J167" s="362">
        <f t="shared" si="77"/>
        <v>5</v>
      </c>
      <c r="K167" s="362">
        <f t="shared" si="77"/>
        <v>4.9000000000000012</v>
      </c>
      <c r="L167" s="362">
        <f t="shared" ref="L167:L198" si="78">IF(L$7&lt;=$F167,MIN(L$8,L166+L$8/MAX(1,ROUND(L$8/$H$1/L$9,0))),L166)</f>
        <v>1.2</v>
      </c>
      <c r="M167" s="362">
        <f t="shared" si="40"/>
        <v>0</v>
      </c>
      <c r="N167" s="362">
        <f t="shared" si="41"/>
        <v>3.3</v>
      </c>
      <c r="O167" s="362">
        <f t="shared" si="42"/>
        <v>0</v>
      </c>
      <c r="P167" s="362">
        <f t="shared" si="43"/>
        <v>0</v>
      </c>
      <c r="Q167" s="362" t="s">
        <v>534</v>
      </c>
      <c r="R167" s="362">
        <f t="shared" ca="1" si="58"/>
        <v>4.8</v>
      </c>
      <c r="S167" s="362">
        <f t="shared" ca="1" si="59"/>
        <v>0</v>
      </c>
      <c r="T167" s="323">
        <f t="shared" ca="1" si="62"/>
        <v>1.8250000000000082</v>
      </c>
      <c r="U167" s="260">
        <f t="shared" ca="1" si="32"/>
        <v>1</v>
      </c>
      <c r="V167" s="260">
        <f t="shared" ca="1" si="31"/>
        <v>1</v>
      </c>
      <c r="W167" s="260">
        <f t="shared" ca="1" si="31"/>
        <v>1</v>
      </c>
      <c r="X167" s="260">
        <f t="shared" ca="1" si="31"/>
        <v>1</v>
      </c>
      <c r="Y167" s="260">
        <f t="shared" ca="1" si="31"/>
        <v>1</v>
      </c>
      <c r="Z167" s="260">
        <f t="shared" ca="1" si="31"/>
        <v>1</v>
      </c>
      <c r="AA167" s="260"/>
      <c r="AB167" s="257"/>
      <c r="AC167" s="260"/>
      <c r="AD167" s="257"/>
      <c r="AE167" s="257"/>
      <c r="AF167" s="257"/>
      <c r="AG167" s="257"/>
      <c r="AH167" s="257"/>
      <c r="AI167" s="257"/>
      <c r="AJ167" s="257"/>
    </row>
    <row r="168" spans="2:36" s="259" customFormat="1" x14ac:dyDescent="0.25">
      <c r="B168" s="258"/>
      <c r="C168" s="258"/>
      <c r="D168" s="294"/>
      <c r="E168" s="265"/>
      <c r="F168" s="265">
        <v>3</v>
      </c>
      <c r="G168" s="362">
        <f t="shared" si="39"/>
        <v>6.45</v>
      </c>
      <c r="H168" s="362">
        <f t="shared" ref="H168:K168" si="79">H167</f>
        <v>12</v>
      </c>
      <c r="I168" s="362">
        <f t="shared" si="79"/>
        <v>5.0999999999999996</v>
      </c>
      <c r="J168" s="362">
        <f t="shared" si="79"/>
        <v>5</v>
      </c>
      <c r="K168" s="362">
        <f t="shared" si="79"/>
        <v>4.9000000000000012</v>
      </c>
      <c r="L168" s="362">
        <f t="shared" si="78"/>
        <v>1.2</v>
      </c>
      <c r="M168" s="362">
        <f t="shared" ref="M168:M231" si="80">IF(M$7&lt;=$F168,MIN(M$8,M167+M$8/MAX(1,ROUND(M$8/$H$1/M$9,0))),M167)</f>
        <v>0</v>
      </c>
      <c r="N168" s="362">
        <f t="shared" ref="N168:N231" si="81">IF(N$7&lt;=$F168,MIN(N$8,N167+N$8/MAX(1,ROUND(N$8/$H$1/N$9,0))),N167)</f>
        <v>3.3</v>
      </c>
      <c r="O168" s="362">
        <f t="shared" ref="O168:O231" si="82">IF(O$7&lt;=$F168,MIN(O$8,O167+O$8/MAX(1,ROUND(O$8/$H$1/O$9,0))),O167)</f>
        <v>0</v>
      </c>
      <c r="P168" s="362">
        <f t="shared" ref="P168:P231" si="83">IF(P$7&lt;=$F168,MIN(P$8,P167+P$8/MAX(1,ROUND(P$8/$H$1/P$9,0))),P167)</f>
        <v>0</v>
      </c>
      <c r="Q168" s="362" t="s">
        <v>534</v>
      </c>
      <c r="R168" s="362">
        <f t="shared" ca="1" si="58"/>
        <v>4.8</v>
      </c>
      <c r="S168" s="362">
        <f t="shared" ca="1" si="59"/>
        <v>0</v>
      </c>
      <c r="T168" s="323">
        <f t="shared" ca="1" si="62"/>
        <v>1.8500000000000085</v>
      </c>
      <c r="U168" s="260">
        <f t="shared" ca="1" si="32"/>
        <v>1</v>
      </c>
      <c r="V168" s="260">
        <f t="shared" ca="1" si="31"/>
        <v>1</v>
      </c>
      <c r="W168" s="260">
        <f t="shared" ca="1" si="31"/>
        <v>1</v>
      </c>
      <c r="X168" s="260">
        <f t="shared" ca="1" si="31"/>
        <v>1</v>
      </c>
      <c r="Y168" s="260">
        <f t="shared" ca="1" si="31"/>
        <v>1</v>
      </c>
      <c r="Z168" s="260">
        <f t="shared" ca="1" si="31"/>
        <v>1</v>
      </c>
      <c r="AA168" s="260"/>
      <c r="AB168" s="257"/>
      <c r="AC168" s="260"/>
      <c r="AD168" s="257"/>
      <c r="AE168" s="257"/>
      <c r="AF168" s="257"/>
      <c r="AG168" s="257"/>
      <c r="AH168" s="257"/>
      <c r="AI168" s="257"/>
      <c r="AJ168" s="257"/>
    </row>
    <row r="169" spans="2:36" s="259" customFormat="1" x14ac:dyDescent="0.25">
      <c r="B169" s="299"/>
      <c r="C169" s="258"/>
      <c r="D169" s="266"/>
      <c r="E169" s="265"/>
      <c r="F169" s="265">
        <v>3</v>
      </c>
      <c r="G169" s="362">
        <f t="shared" si="39"/>
        <v>6.4750000000000005</v>
      </c>
      <c r="H169" s="362">
        <f t="shared" ref="H169:K169" si="84">H168</f>
        <v>12</v>
      </c>
      <c r="I169" s="362">
        <f t="shared" si="84"/>
        <v>5.0999999999999996</v>
      </c>
      <c r="J169" s="362">
        <f t="shared" si="84"/>
        <v>5</v>
      </c>
      <c r="K169" s="362">
        <f t="shared" si="84"/>
        <v>4.9000000000000012</v>
      </c>
      <c r="L169" s="362">
        <f t="shared" si="78"/>
        <v>1.2</v>
      </c>
      <c r="M169" s="362">
        <f t="shared" si="80"/>
        <v>0</v>
      </c>
      <c r="N169" s="362">
        <f t="shared" si="81"/>
        <v>3.3</v>
      </c>
      <c r="O169" s="362">
        <f t="shared" si="82"/>
        <v>0</v>
      </c>
      <c r="P169" s="362">
        <f t="shared" si="83"/>
        <v>0</v>
      </c>
      <c r="Q169" s="362" t="s">
        <v>534</v>
      </c>
      <c r="R169" s="362">
        <f t="shared" ca="1" si="58"/>
        <v>4.8</v>
      </c>
      <c r="S169" s="362">
        <f t="shared" ca="1" si="59"/>
        <v>0</v>
      </c>
      <c r="T169" s="323">
        <f t="shared" ca="1" si="62"/>
        <v>1.8750000000000089</v>
      </c>
      <c r="U169" s="260">
        <f t="shared" ca="1" si="32"/>
        <v>1</v>
      </c>
      <c r="V169" s="260">
        <f t="shared" ca="1" si="31"/>
        <v>1</v>
      </c>
      <c r="W169" s="260">
        <f t="shared" ca="1" si="31"/>
        <v>1</v>
      </c>
      <c r="X169" s="260">
        <f t="shared" ca="1" si="31"/>
        <v>1</v>
      </c>
      <c r="Y169" s="260">
        <f t="shared" ca="1" si="31"/>
        <v>1</v>
      </c>
      <c r="Z169" s="260">
        <f t="shared" ca="1" si="31"/>
        <v>1</v>
      </c>
      <c r="AA169" s="260"/>
      <c r="AB169" s="257"/>
      <c r="AC169" s="260"/>
      <c r="AD169" s="257"/>
      <c r="AE169" s="257"/>
      <c r="AF169" s="257"/>
      <c r="AG169" s="257"/>
      <c r="AH169" s="257"/>
      <c r="AI169" s="257"/>
      <c r="AJ169" s="257"/>
    </row>
    <row r="170" spans="2:36" s="259" customFormat="1" x14ac:dyDescent="0.25">
      <c r="B170" s="258"/>
      <c r="C170" s="258"/>
      <c r="D170" s="266"/>
      <c r="E170" s="265"/>
      <c r="F170" s="265">
        <v>3</v>
      </c>
      <c r="G170" s="362">
        <f t="shared" si="39"/>
        <v>6.5000000000000009</v>
      </c>
      <c r="H170" s="362">
        <f t="shared" ref="H170:K170" si="85">H169</f>
        <v>12</v>
      </c>
      <c r="I170" s="362">
        <f t="shared" si="85"/>
        <v>5.0999999999999996</v>
      </c>
      <c r="J170" s="362">
        <f t="shared" si="85"/>
        <v>5</v>
      </c>
      <c r="K170" s="362">
        <f t="shared" si="85"/>
        <v>4.9000000000000012</v>
      </c>
      <c r="L170" s="362">
        <f t="shared" si="78"/>
        <v>1.2</v>
      </c>
      <c r="M170" s="362">
        <f t="shared" si="80"/>
        <v>0</v>
      </c>
      <c r="N170" s="362">
        <f t="shared" si="81"/>
        <v>3.3</v>
      </c>
      <c r="O170" s="362">
        <f t="shared" si="82"/>
        <v>0</v>
      </c>
      <c r="P170" s="362">
        <f t="shared" si="83"/>
        <v>0</v>
      </c>
      <c r="Q170" s="362" t="s">
        <v>534</v>
      </c>
      <c r="R170" s="362">
        <f t="shared" ca="1" si="58"/>
        <v>4.8</v>
      </c>
      <c r="S170" s="362">
        <f t="shared" ca="1" si="59"/>
        <v>0</v>
      </c>
      <c r="T170" s="323">
        <f t="shared" ca="1" si="62"/>
        <v>1.9000000000000092</v>
      </c>
      <c r="U170" s="260">
        <f t="shared" ca="1" si="32"/>
        <v>1</v>
      </c>
      <c r="V170" s="260">
        <f t="shared" ca="1" si="31"/>
        <v>1</v>
      </c>
      <c r="W170" s="260">
        <f t="shared" ca="1" si="31"/>
        <v>1</v>
      </c>
      <c r="X170" s="260">
        <f t="shared" ca="1" si="31"/>
        <v>1</v>
      </c>
      <c r="Y170" s="260">
        <f t="shared" ca="1" si="31"/>
        <v>1</v>
      </c>
      <c r="Z170" s="260">
        <f t="shared" ca="1" si="31"/>
        <v>1</v>
      </c>
      <c r="AA170" s="260"/>
      <c r="AB170" s="257"/>
      <c r="AC170" s="260"/>
      <c r="AD170" s="257"/>
      <c r="AE170" s="257"/>
      <c r="AF170" s="257"/>
      <c r="AG170" s="257"/>
      <c r="AH170" s="257"/>
      <c r="AI170" s="257"/>
      <c r="AJ170" s="257"/>
    </row>
    <row r="171" spans="2:36" s="259" customFormat="1" x14ac:dyDescent="0.25">
      <c r="B171" s="258"/>
      <c r="C171" s="258"/>
      <c r="D171" s="266"/>
      <c r="E171" s="265"/>
      <c r="F171" s="265">
        <v>3</v>
      </c>
      <c r="G171" s="362">
        <f t="shared" si="39"/>
        <v>6.5250000000000012</v>
      </c>
      <c r="H171" s="362">
        <f t="shared" ref="H171:K171" si="86">H170</f>
        <v>12</v>
      </c>
      <c r="I171" s="362">
        <f t="shared" si="86"/>
        <v>5.0999999999999996</v>
      </c>
      <c r="J171" s="362">
        <f t="shared" si="86"/>
        <v>5</v>
      </c>
      <c r="K171" s="362">
        <f t="shared" si="86"/>
        <v>4.9000000000000012</v>
      </c>
      <c r="L171" s="362">
        <f t="shared" si="78"/>
        <v>1.2</v>
      </c>
      <c r="M171" s="362">
        <f t="shared" si="80"/>
        <v>0</v>
      </c>
      <c r="N171" s="362">
        <f t="shared" si="81"/>
        <v>3.3</v>
      </c>
      <c r="O171" s="362">
        <f t="shared" si="82"/>
        <v>0</v>
      </c>
      <c r="P171" s="362">
        <f t="shared" si="83"/>
        <v>0</v>
      </c>
      <c r="Q171" s="362" t="s">
        <v>534</v>
      </c>
      <c r="R171" s="362">
        <f t="shared" ca="1" si="58"/>
        <v>4.8</v>
      </c>
      <c r="S171" s="362">
        <f t="shared" ca="1" si="59"/>
        <v>0</v>
      </c>
      <c r="T171" s="323">
        <f t="shared" ca="1" si="62"/>
        <v>1.9250000000000096</v>
      </c>
      <c r="U171" s="260">
        <f t="shared" ca="1" si="32"/>
        <v>1</v>
      </c>
      <c r="V171" s="260">
        <f t="shared" ca="1" si="31"/>
        <v>1</v>
      </c>
      <c r="W171" s="260">
        <f t="shared" ca="1" si="31"/>
        <v>1</v>
      </c>
      <c r="X171" s="260">
        <f t="shared" ref="V171:Z222" ca="1" si="87">IF(OR(X$17="ABIST1_No",COUNTIF($V$2,X$18)),1,IF(AND(X$19&lt;&gt;0,OFFSET($I171,0,MATCH(X$18,$J$21:$P$21,0))=X$19),1,0))</f>
        <v>1</v>
      </c>
      <c r="Y171" s="260">
        <f t="shared" ca="1" si="87"/>
        <v>1</v>
      </c>
      <c r="Z171" s="260">
        <f t="shared" ca="1" si="87"/>
        <v>1</v>
      </c>
      <c r="AA171" s="260"/>
      <c r="AB171" s="257"/>
      <c r="AC171" s="260"/>
      <c r="AD171" s="257"/>
      <c r="AE171" s="257"/>
      <c r="AF171" s="257"/>
      <c r="AG171" s="257"/>
      <c r="AH171" s="257"/>
      <c r="AI171" s="257"/>
      <c r="AJ171" s="257"/>
    </row>
    <row r="172" spans="2:36" s="259" customFormat="1" x14ac:dyDescent="0.25">
      <c r="B172" s="258"/>
      <c r="C172" s="258"/>
      <c r="D172" s="266"/>
      <c r="E172" s="265"/>
      <c r="F172" s="265">
        <v>3</v>
      </c>
      <c r="G172" s="362">
        <f t="shared" si="39"/>
        <v>6.5500000000000016</v>
      </c>
      <c r="H172" s="362">
        <f t="shared" ref="H172:K172" si="88">H171</f>
        <v>12</v>
      </c>
      <c r="I172" s="362">
        <f t="shared" si="88"/>
        <v>5.0999999999999996</v>
      </c>
      <c r="J172" s="362">
        <f t="shared" si="88"/>
        <v>5</v>
      </c>
      <c r="K172" s="362">
        <f t="shared" si="88"/>
        <v>4.9000000000000012</v>
      </c>
      <c r="L172" s="362">
        <f t="shared" si="78"/>
        <v>1.2</v>
      </c>
      <c r="M172" s="362">
        <f t="shared" si="80"/>
        <v>0</v>
      </c>
      <c r="N172" s="362">
        <f t="shared" si="81"/>
        <v>3.3</v>
      </c>
      <c r="O172" s="362">
        <f t="shared" si="82"/>
        <v>0</v>
      </c>
      <c r="P172" s="362">
        <f t="shared" si="83"/>
        <v>0</v>
      </c>
      <c r="Q172" s="362" t="s">
        <v>534</v>
      </c>
      <c r="R172" s="362">
        <f t="shared" ca="1" si="58"/>
        <v>4.8</v>
      </c>
      <c r="S172" s="362">
        <f t="shared" ca="1" si="59"/>
        <v>0</v>
      </c>
      <c r="T172" s="323">
        <f t="shared" ca="1" si="62"/>
        <v>1.9500000000000099</v>
      </c>
      <c r="U172" s="260">
        <f t="shared" ca="1" si="32"/>
        <v>1</v>
      </c>
      <c r="V172" s="260">
        <f t="shared" ca="1" si="87"/>
        <v>1</v>
      </c>
      <c r="W172" s="260">
        <f t="shared" ca="1" si="87"/>
        <v>1</v>
      </c>
      <c r="X172" s="260">
        <f t="shared" ca="1" si="87"/>
        <v>1</v>
      </c>
      <c r="Y172" s="260">
        <f t="shared" ca="1" si="87"/>
        <v>1</v>
      </c>
      <c r="Z172" s="260">
        <f t="shared" ca="1" si="87"/>
        <v>1</v>
      </c>
      <c r="AA172" s="260"/>
      <c r="AB172" s="257"/>
      <c r="AC172" s="260"/>
      <c r="AD172" s="257"/>
      <c r="AE172" s="257"/>
      <c r="AF172" s="257"/>
      <c r="AG172" s="257"/>
      <c r="AH172" s="257"/>
      <c r="AI172" s="257"/>
      <c r="AJ172" s="257"/>
    </row>
    <row r="173" spans="2:36" s="259" customFormat="1" x14ac:dyDescent="0.25">
      <c r="B173" s="258"/>
      <c r="C173" s="258"/>
      <c r="D173" s="266"/>
      <c r="E173" s="265"/>
      <c r="F173" s="265">
        <v>3</v>
      </c>
      <c r="G173" s="362">
        <f t="shared" si="39"/>
        <v>6.575000000000002</v>
      </c>
      <c r="H173" s="362">
        <f t="shared" ref="H173:K173" si="89">H172</f>
        <v>12</v>
      </c>
      <c r="I173" s="362">
        <f t="shared" si="89"/>
        <v>5.0999999999999996</v>
      </c>
      <c r="J173" s="362">
        <f t="shared" si="89"/>
        <v>5</v>
      </c>
      <c r="K173" s="362">
        <f t="shared" si="89"/>
        <v>4.9000000000000012</v>
      </c>
      <c r="L173" s="362">
        <f t="shared" si="78"/>
        <v>1.2</v>
      </c>
      <c r="M173" s="362">
        <f t="shared" si="80"/>
        <v>0</v>
      </c>
      <c r="N173" s="362">
        <f t="shared" si="81"/>
        <v>3.3</v>
      </c>
      <c r="O173" s="362">
        <f t="shared" si="82"/>
        <v>0</v>
      </c>
      <c r="P173" s="362">
        <f t="shared" si="83"/>
        <v>0</v>
      </c>
      <c r="Q173" s="362" t="s">
        <v>534</v>
      </c>
      <c r="R173" s="362">
        <f t="shared" ca="1" si="58"/>
        <v>4.8</v>
      </c>
      <c r="S173" s="362">
        <f t="shared" ca="1" si="59"/>
        <v>0</v>
      </c>
      <c r="T173" s="323">
        <f t="shared" ca="1" si="62"/>
        <v>1.9750000000000103</v>
      </c>
      <c r="U173" s="260">
        <f t="shared" ca="1" si="32"/>
        <v>1</v>
      </c>
      <c r="V173" s="260">
        <f t="shared" ca="1" si="87"/>
        <v>1</v>
      </c>
      <c r="W173" s="260">
        <f t="shared" ca="1" si="87"/>
        <v>1</v>
      </c>
      <c r="X173" s="260">
        <f t="shared" ca="1" si="87"/>
        <v>1</v>
      </c>
      <c r="Y173" s="260">
        <f t="shared" ca="1" si="87"/>
        <v>1</v>
      </c>
      <c r="Z173" s="260">
        <f t="shared" ca="1" si="87"/>
        <v>1</v>
      </c>
      <c r="AA173" s="260"/>
      <c r="AB173" s="257"/>
      <c r="AC173" s="260"/>
      <c r="AD173" s="257"/>
      <c r="AE173" s="257"/>
      <c r="AF173" s="257"/>
      <c r="AG173" s="257"/>
      <c r="AH173" s="257"/>
      <c r="AI173" s="257"/>
      <c r="AJ173" s="257"/>
    </row>
    <row r="174" spans="2:36" s="259" customFormat="1" x14ac:dyDescent="0.25">
      <c r="B174" s="258"/>
      <c r="C174" s="258"/>
      <c r="D174" s="266"/>
      <c r="E174" s="265"/>
      <c r="F174" s="265">
        <v>3</v>
      </c>
      <c r="G174" s="362">
        <f t="shared" si="39"/>
        <v>6.6000000000000023</v>
      </c>
      <c r="H174" s="362">
        <f t="shared" si="28"/>
        <v>12</v>
      </c>
      <c r="I174" s="362">
        <f t="shared" si="28"/>
        <v>5.0999999999999996</v>
      </c>
      <c r="J174" s="362">
        <f t="shared" ref="J174" si="90">J173</f>
        <v>5</v>
      </c>
      <c r="K174" s="362">
        <f t="shared" si="28"/>
        <v>4.9000000000000012</v>
      </c>
      <c r="L174" s="362">
        <f t="shared" si="78"/>
        <v>1.2</v>
      </c>
      <c r="M174" s="362">
        <f t="shared" si="80"/>
        <v>0</v>
      </c>
      <c r="N174" s="362">
        <f t="shared" si="81"/>
        <v>3.3</v>
      </c>
      <c r="O174" s="362">
        <f t="shared" si="82"/>
        <v>0</v>
      </c>
      <c r="P174" s="362">
        <f t="shared" si="83"/>
        <v>0</v>
      </c>
      <c r="Q174" s="362" t="s">
        <v>534</v>
      </c>
      <c r="R174" s="362">
        <f t="shared" ca="1" si="58"/>
        <v>4.8</v>
      </c>
      <c r="S174" s="362">
        <f t="shared" ca="1" si="59"/>
        <v>0</v>
      </c>
      <c r="T174" s="323">
        <f t="shared" ca="1" si="62"/>
        <v>2.0000000000000107</v>
      </c>
      <c r="U174" s="260">
        <f t="shared" ca="1" si="32"/>
        <v>1</v>
      </c>
      <c r="V174" s="260">
        <f t="shared" ca="1" si="87"/>
        <v>1</v>
      </c>
      <c r="W174" s="260">
        <f t="shared" ca="1" si="87"/>
        <v>1</v>
      </c>
      <c r="X174" s="260">
        <f t="shared" ca="1" si="87"/>
        <v>1</v>
      </c>
      <c r="Y174" s="260">
        <f t="shared" ca="1" si="87"/>
        <v>1</v>
      </c>
      <c r="Z174" s="260">
        <f t="shared" ca="1" si="87"/>
        <v>1</v>
      </c>
      <c r="AA174" s="260"/>
      <c r="AB174" s="257"/>
      <c r="AC174" s="260"/>
      <c r="AD174" s="257"/>
      <c r="AE174" s="257"/>
      <c r="AF174" s="257"/>
      <c r="AG174" s="257"/>
      <c r="AH174" s="257"/>
      <c r="AI174" s="257"/>
      <c r="AJ174" s="257"/>
    </row>
    <row r="175" spans="2:36" s="259" customFormat="1" x14ac:dyDescent="0.25">
      <c r="B175" s="258"/>
      <c r="C175" s="258"/>
      <c r="D175" s="266"/>
      <c r="E175" s="265"/>
      <c r="F175" s="265">
        <v>4</v>
      </c>
      <c r="G175" s="362">
        <f t="shared" si="39"/>
        <v>6.6250000000000027</v>
      </c>
      <c r="H175" s="362">
        <f t="shared" ref="H175:J175" si="91">H174</f>
        <v>12</v>
      </c>
      <c r="I175" s="362">
        <f t="shared" si="91"/>
        <v>5.0999999999999996</v>
      </c>
      <c r="J175" s="362">
        <f t="shared" si="91"/>
        <v>5</v>
      </c>
      <c r="K175" s="362">
        <f t="shared" si="28"/>
        <v>4.9000000000000012</v>
      </c>
      <c r="L175" s="362">
        <f t="shared" si="78"/>
        <v>1.2</v>
      </c>
      <c r="M175" s="362">
        <f t="shared" si="80"/>
        <v>0</v>
      </c>
      <c r="N175" s="362">
        <f t="shared" si="81"/>
        <v>3.3</v>
      </c>
      <c r="O175" s="362">
        <f t="shared" si="82"/>
        <v>0</v>
      </c>
      <c r="P175" s="362">
        <f t="shared" si="83"/>
        <v>0</v>
      </c>
      <c r="Q175" s="362" t="s">
        <v>534</v>
      </c>
      <c r="R175" s="362">
        <f t="shared" ca="1" si="58"/>
        <v>4.8</v>
      </c>
      <c r="S175" s="362">
        <f t="shared" ca="1" si="59"/>
        <v>0</v>
      </c>
      <c r="T175" s="323">
        <f t="shared" ca="1" si="62"/>
        <v>2.025000000000011</v>
      </c>
      <c r="U175" s="260">
        <f t="shared" ca="1" si="32"/>
        <v>1</v>
      </c>
      <c r="V175" s="260">
        <f t="shared" ca="1" si="87"/>
        <v>1</v>
      </c>
      <c r="W175" s="260">
        <f t="shared" ca="1" si="87"/>
        <v>1</v>
      </c>
      <c r="X175" s="260">
        <f t="shared" ca="1" si="87"/>
        <v>1</v>
      </c>
      <c r="Y175" s="260">
        <f t="shared" ca="1" si="87"/>
        <v>1</v>
      </c>
      <c r="Z175" s="260">
        <f t="shared" ca="1" si="87"/>
        <v>1</v>
      </c>
      <c r="AA175" s="260"/>
      <c r="AB175" s="257"/>
      <c r="AC175" s="260"/>
      <c r="AD175" s="257"/>
      <c r="AE175" s="257"/>
      <c r="AF175" s="257"/>
      <c r="AG175" s="257"/>
      <c r="AH175" s="257"/>
      <c r="AI175" s="257"/>
      <c r="AJ175" s="257"/>
    </row>
    <row r="176" spans="2:36" s="259" customFormat="1" x14ac:dyDescent="0.25">
      <c r="B176" s="258"/>
      <c r="C176" s="258"/>
      <c r="D176" s="266"/>
      <c r="E176" s="265"/>
      <c r="F176" s="265">
        <v>4</v>
      </c>
      <c r="G176" s="362">
        <f t="shared" si="39"/>
        <v>6.650000000000003</v>
      </c>
      <c r="H176" s="362">
        <f t="shared" ref="H176:J176" si="92">H175</f>
        <v>12</v>
      </c>
      <c r="I176" s="362">
        <f t="shared" si="92"/>
        <v>5.0999999999999996</v>
      </c>
      <c r="J176" s="362">
        <f t="shared" si="92"/>
        <v>5</v>
      </c>
      <c r="K176" s="362">
        <f t="shared" si="28"/>
        <v>4.9000000000000012</v>
      </c>
      <c r="L176" s="362">
        <f t="shared" si="78"/>
        <v>1.2</v>
      </c>
      <c r="M176" s="362">
        <f t="shared" si="80"/>
        <v>0</v>
      </c>
      <c r="N176" s="362">
        <f t="shared" si="81"/>
        <v>3.3</v>
      </c>
      <c r="O176" s="362">
        <f t="shared" si="82"/>
        <v>0</v>
      </c>
      <c r="P176" s="362">
        <f t="shared" si="83"/>
        <v>0</v>
      </c>
      <c r="Q176" s="362" t="s">
        <v>534</v>
      </c>
      <c r="R176" s="362">
        <f t="shared" ca="1" si="58"/>
        <v>4.8</v>
      </c>
      <c r="S176" s="362">
        <f t="shared" ca="1" si="59"/>
        <v>0</v>
      </c>
      <c r="T176" s="323">
        <f t="shared" ca="1" si="62"/>
        <v>2.0500000000000114</v>
      </c>
      <c r="U176" s="260">
        <f t="shared" ca="1" si="32"/>
        <v>1</v>
      </c>
      <c r="V176" s="260">
        <f t="shared" ca="1" si="87"/>
        <v>1</v>
      </c>
      <c r="W176" s="260">
        <f t="shared" ca="1" si="87"/>
        <v>1</v>
      </c>
      <c r="X176" s="260">
        <f t="shared" ca="1" si="87"/>
        <v>1</v>
      </c>
      <c r="Y176" s="260">
        <f t="shared" ca="1" si="87"/>
        <v>1</v>
      </c>
      <c r="Z176" s="260">
        <f t="shared" ca="1" si="87"/>
        <v>1</v>
      </c>
      <c r="AA176" s="260"/>
      <c r="AB176" s="257"/>
      <c r="AC176" s="260"/>
      <c r="AD176" s="257"/>
      <c r="AE176" s="257"/>
      <c r="AF176" s="257"/>
      <c r="AG176" s="257"/>
      <c r="AH176" s="257"/>
      <c r="AI176" s="257"/>
      <c r="AJ176" s="257"/>
    </row>
    <row r="177" spans="2:36" s="259" customFormat="1" x14ac:dyDescent="0.25">
      <c r="B177" s="258"/>
      <c r="C177" s="258"/>
      <c r="D177" s="266"/>
      <c r="E177" s="265"/>
      <c r="F177" s="265">
        <v>4</v>
      </c>
      <c r="G177" s="362">
        <f t="shared" si="39"/>
        <v>6.6750000000000034</v>
      </c>
      <c r="H177" s="362">
        <f t="shared" ref="H177:J177" si="93">H176</f>
        <v>12</v>
      </c>
      <c r="I177" s="362">
        <f t="shared" si="93"/>
        <v>5.0999999999999996</v>
      </c>
      <c r="J177" s="362">
        <f t="shared" si="93"/>
        <v>5</v>
      </c>
      <c r="K177" s="362">
        <f t="shared" si="28"/>
        <v>4.9000000000000012</v>
      </c>
      <c r="L177" s="362">
        <f t="shared" si="78"/>
        <v>1.2</v>
      </c>
      <c r="M177" s="362">
        <f t="shared" si="80"/>
        <v>0</v>
      </c>
      <c r="N177" s="362">
        <f t="shared" si="81"/>
        <v>3.3</v>
      </c>
      <c r="O177" s="362">
        <f t="shared" si="82"/>
        <v>0</v>
      </c>
      <c r="P177" s="362">
        <f t="shared" si="83"/>
        <v>0</v>
      </c>
      <c r="Q177" s="362" t="s">
        <v>534</v>
      </c>
      <c r="R177" s="362">
        <f t="shared" ca="1" si="58"/>
        <v>4.8</v>
      </c>
      <c r="S177" s="362">
        <f t="shared" ca="1" si="59"/>
        <v>0</v>
      </c>
      <c r="T177" s="323">
        <f t="shared" ca="1" si="62"/>
        <v>2.0750000000000117</v>
      </c>
      <c r="U177" s="260">
        <f t="shared" ca="1" si="32"/>
        <v>1</v>
      </c>
      <c r="V177" s="260">
        <f t="shared" ca="1" si="87"/>
        <v>1</v>
      </c>
      <c r="W177" s="260">
        <f t="shared" ca="1" si="87"/>
        <v>1</v>
      </c>
      <c r="X177" s="260">
        <f t="shared" ca="1" si="87"/>
        <v>1</v>
      </c>
      <c r="Y177" s="260">
        <f t="shared" ca="1" si="87"/>
        <v>1</v>
      </c>
      <c r="Z177" s="260">
        <f t="shared" ca="1" si="87"/>
        <v>1</v>
      </c>
      <c r="AA177" s="260"/>
      <c r="AB177" s="257"/>
      <c r="AC177" s="260"/>
      <c r="AD177" s="257"/>
      <c r="AE177" s="257"/>
      <c r="AF177" s="257"/>
      <c r="AG177" s="257"/>
      <c r="AH177" s="257"/>
      <c r="AI177" s="257"/>
      <c r="AJ177" s="257"/>
    </row>
    <row r="178" spans="2:36" s="259" customFormat="1" x14ac:dyDescent="0.25">
      <c r="B178" s="258"/>
      <c r="C178" s="258"/>
      <c r="D178" s="266"/>
      <c r="E178" s="265"/>
      <c r="F178" s="265">
        <v>4</v>
      </c>
      <c r="G178" s="362">
        <f t="shared" si="39"/>
        <v>6.7000000000000037</v>
      </c>
      <c r="H178" s="362">
        <f t="shared" si="28"/>
        <v>12</v>
      </c>
      <c r="I178" s="362">
        <f t="shared" si="28"/>
        <v>5.0999999999999996</v>
      </c>
      <c r="J178" s="362">
        <f t="shared" ref="J178" si="94">J177</f>
        <v>5</v>
      </c>
      <c r="K178" s="362">
        <f t="shared" si="28"/>
        <v>4.9000000000000012</v>
      </c>
      <c r="L178" s="362">
        <f t="shared" si="78"/>
        <v>1.2</v>
      </c>
      <c r="M178" s="362">
        <f t="shared" si="80"/>
        <v>0</v>
      </c>
      <c r="N178" s="362">
        <f t="shared" si="81"/>
        <v>3.3</v>
      </c>
      <c r="O178" s="362">
        <f t="shared" si="82"/>
        <v>0</v>
      </c>
      <c r="P178" s="362">
        <f t="shared" si="83"/>
        <v>0</v>
      </c>
      <c r="Q178" s="362" t="s">
        <v>534</v>
      </c>
      <c r="R178" s="362">
        <f t="shared" ca="1" si="58"/>
        <v>4.8</v>
      </c>
      <c r="S178" s="362">
        <f t="shared" ca="1" si="59"/>
        <v>0</v>
      </c>
      <c r="T178" s="323">
        <f t="shared" ca="1" si="62"/>
        <v>2.1000000000000121</v>
      </c>
      <c r="U178" s="260">
        <f t="shared" ca="1" si="32"/>
        <v>1</v>
      </c>
      <c r="V178" s="260">
        <f t="shared" ca="1" si="87"/>
        <v>1</v>
      </c>
      <c r="W178" s="260">
        <f t="shared" ca="1" si="87"/>
        <v>1</v>
      </c>
      <c r="X178" s="260">
        <f t="shared" ca="1" si="87"/>
        <v>1</v>
      </c>
      <c r="Y178" s="260">
        <f t="shared" ca="1" si="87"/>
        <v>1</v>
      </c>
      <c r="Z178" s="260">
        <f t="shared" ca="1" si="87"/>
        <v>1</v>
      </c>
      <c r="AA178" s="260"/>
      <c r="AB178" s="257"/>
      <c r="AC178" s="260"/>
      <c r="AD178" s="257"/>
      <c r="AE178" s="257"/>
      <c r="AF178" s="257"/>
      <c r="AG178" s="257"/>
      <c r="AH178" s="257"/>
      <c r="AI178" s="257"/>
      <c r="AJ178" s="257"/>
    </row>
    <row r="179" spans="2:36" s="259" customFormat="1" x14ac:dyDescent="0.25">
      <c r="B179" s="258"/>
      <c r="C179" s="258"/>
      <c r="D179" s="266"/>
      <c r="E179" s="265"/>
      <c r="F179" s="265">
        <v>4</v>
      </c>
      <c r="G179" s="362">
        <f t="shared" si="39"/>
        <v>6.7250000000000041</v>
      </c>
      <c r="H179" s="362">
        <f t="shared" si="28"/>
        <v>12</v>
      </c>
      <c r="I179" s="362">
        <f t="shared" si="28"/>
        <v>5.0999999999999996</v>
      </c>
      <c r="J179" s="362">
        <f t="shared" ref="J179" si="95">J178</f>
        <v>5</v>
      </c>
      <c r="K179" s="362">
        <f t="shared" si="28"/>
        <v>4.9000000000000012</v>
      </c>
      <c r="L179" s="362">
        <f t="shared" si="78"/>
        <v>1.2</v>
      </c>
      <c r="M179" s="362">
        <f t="shared" si="80"/>
        <v>0</v>
      </c>
      <c r="N179" s="362">
        <f t="shared" si="81"/>
        <v>3.3</v>
      </c>
      <c r="O179" s="362">
        <f t="shared" si="82"/>
        <v>0</v>
      </c>
      <c r="P179" s="362">
        <f t="shared" si="83"/>
        <v>0</v>
      </c>
      <c r="Q179" s="362" t="s">
        <v>534</v>
      </c>
      <c r="R179" s="362">
        <f t="shared" ca="1" si="58"/>
        <v>4.8</v>
      </c>
      <c r="S179" s="362">
        <f t="shared" ca="1" si="59"/>
        <v>0</v>
      </c>
      <c r="T179" s="323">
        <f t="shared" ca="1" si="62"/>
        <v>2.1250000000000124</v>
      </c>
      <c r="U179" s="260">
        <f t="shared" ca="1" si="32"/>
        <v>1</v>
      </c>
      <c r="V179" s="260">
        <f t="shared" ca="1" si="87"/>
        <v>1</v>
      </c>
      <c r="W179" s="260">
        <f t="shared" ca="1" si="87"/>
        <v>1</v>
      </c>
      <c r="X179" s="260">
        <f t="shared" ca="1" si="87"/>
        <v>1</v>
      </c>
      <c r="Y179" s="260">
        <f t="shared" ca="1" si="87"/>
        <v>1</v>
      </c>
      <c r="Z179" s="260">
        <f t="shared" ca="1" si="87"/>
        <v>1</v>
      </c>
      <c r="AA179" s="260"/>
      <c r="AB179" s="257"/>
      <c r="AC179" s="260"/>
      <c r="AD179" s="257"/>
      <c r="AE179" s="257"/>
      <c r="AF179" s="257"/>
      <c r="AG179" s="257"/>
      <c r="AH179" s="257"/>
      <c r="AI179" s="257"/>
      <c r="AJ179" s="257"/>
    </row>
    <row r="180" spans="2:36" s="259" customFormat="1" x14ac:dyDescent="0.25">
      <c r="B180" s="258"/>
      <c r="C180" s="258"/>
      <c r="D180" s="266"/>
      <c r="E180" s="265"/>
      <c r="F180" s="265">
        <v>4</v>
      </c>
      <c r="G180" s="362">
        <f t="shared" si="39"/>
        <v>6.7500000000000044</v>
      </c>
      <c r="H180" s="362">
        <f t="shared" si="28"/>
        <v>12</v>
      </c>
      <c r="I180" s="362">
        <f t="shared" si="28"/>
        <v>5.0999999999999996</v>
      </c>
      <c r="J180" s="362">
        <f t="shared" ref="J180" si="96">J179</f>
        <v>5</v>
      </c>
      <c r="K180" s="362">
        <f t="shared" si="28"/>
        <v>4.9000000000000012</v>
      </c>
      <c r="L180" s="362">
        <f t="shared" si="78"/>
        <v>1.2</v>
      </c>
      <c r="M180" s="362">
        <f t="shared" si="80"/>
        <v>0</v>
      </c>
      <c r="N180" s="362">
        <f t="shared" si="81"/>
        <v>3.3</v>
      </c>
      <c r="O180" s="362">
        <f t="shared" si="82"/>
        <v>0</v>
      </c>
      <c r="P180" s="362">
        <f t="shared" si="83"/>
        <v>0</v>
      </c>
      <c r="Q180" s="362" t="s">
        <v>534</v>
      </c>
      <c r="R180" s="362">
        <f t="shared" ca="1" si="58"/>
        <v>4.8</v>
      </c>
      <c r="S180" s="362">
        <f t="shared" ca="1" si="59"/>
        <v>0</v>
      </c>
      <c r="T180" s="323">
        <f t="shared" ca="1" si="62"/>
        <v>2.1500000000000128</v>
      </c>
      <c r="U180" s="260">
        <f t="shared" ca="1" si="32"/>
        <v>1</v>
      </c>
      <c r="V180" s="260">
        <f t="shared" ca="1" si="87"/>
        <v>1</v>
      </c>
      <c r="W180" s="260">
        <f t="shared" ca="1" si="87"/>
        <v>1</v>
      </c>
      <c r="X180" s="260">
        <f t="shared" ca="1" si="87"/>
        <v>1</v>
      </c>
      <c r="Y180" s="260">
        <f t="shared" ca="1" si="87"/>
        <v>1</v>
      </c>
      <c r="Z180" s="260">
        <f t="shared" ca="1" si="87"/>
        <v>1</v>
      </c>
      <c r="AA180" s="260"/>
      <c r="AB180" s="257"/>
      <c r="AC180" s="260"/>
      <c r="AD180" s="257"/>
      <c r="AE180" s="257"/>
      <c r="AF180" s="257"/>
      <c r="AG180" s="257"/>
      <c r="AH180" s="257"/>
      <c r="AI180" s="257"/>
      <c r="AJ180" s="257"/>
    </row>
    <row r="181" spans="2:36" s="259" customFormat="1" x14ac:dyDescent="0.25">
      <c r="B181" s="258"/>
      <c r="C181" s="258"/>
      <c r="D181" s="266"/>
      <c r="E181" s="265"/>
      <c r="F181" s="265">
        <v>4</v>
      </c>
      <c r="G181" s="362">
        <f t="shared" si="39"/>
        <v>6.7750000000000048</v>
      </c>
      <c r="H181" s="362">
        <f t="shared" si="28"/>
        <v>12</v>
      </c>
      <c r="I181" s="362">
        <f t="shared" si="28"/>
        <v>5.0999999999999996</v>
      </c>
      <c r="J181" s="362">
        <f t="shared" ref="J181" si="97">J180</f>
        <v>5</v>
      </c>
      <c r="K181" s="362">
        <f t="shared" si="28"/>
        <v>4.9000000000000012</v>
      </c>
      <c r="L181" s="362">
        <f t="shared" si="78"/>
        <v>1.2</v>
      </c>
      <c r="M181" s="362">
        <f t="shared" si="80"/>
        <v>0</v>
      </c>
      <c r="N181" s="362">
        <f t="shared" si="81"/>
        <v>3.3</v>
      </c>
      <c r="O181" s="362">
        <f t="shared" si="82"/>
        <v>0</v>
      </c>
      <c r="P181" s="362">
        <f t="shared" si="83"/>
        <v>0</v>
      </c>
      <c r="Q181" s="362" t="s">
        <v>534</v>
      </c>
      <c r="R181" s="362">
        <f t="shared" ca="1" si="58"/>
        <v>4.8</v>
      </c>
      <c r="S181" s="362">
        <f t="shared" ca="1" si="59"/>
        <v>0</v>
      </c>
      <c r="T181" s="323">
        <f t="shared" ca="1" si="62"/>
        <v>2.1750000000000131</v>
      </c>
      <c r="U181" s="260">
        <f t="shared" ca="1" si="32"/>
        <v>1</v>
      </c>
      <c r="V181" s="260">
        <f t="shared" ca="1" si="87"/>
        <v>1</v>
      </c>
      <c r="W181" s="260">
        <f t="shared" ca="1" si="87"/>
        <v>1</v>
      </c>
      <c r="X181" s="260">
        <f t="shared" ca="1" si="87"/>
        <v>1</v>
      </c>
      <c r="Y181" s="260">
        <f t="shared" ca="1" si="87"/>
        <v>1</v>
      </c>
      <c r="Z181" s="260">
        <f t="shared" ca="1" si="87"/>
        <v>1</v>
      </c>
      <c r="AA181" s="260"/>
      <c r="AB181" s="257"/>
      <c r="AC181" s="260"/>
      <c r="AD181" s="257"/>
      <c r="AE181" s="257"/>
      <c r="AF181" s="257"/>
      <c r="AG181" s="257"/>
      <c r="AH181" s="257"/>
      <c r="AI181" s="257"/>
      <c r="AJ181" s="257"/>
    </row>
    <row r="182" spans="2:36" s="259" customFormat="1" x14ac:dyDescent="0.25">
      <c r="B182" s="258"/>
      <c r="C182" s="258"/>
      <c r="D182" s="266"/>
      <c r="E182" s="265"/>
      <c r="F182" s="265">
        <v>4</v>
      </c>
      <c r="G182" s="362">
        <f t="shared" si="39"/>
        <v>6.8000000000000052</v>
      </c>
      <c r="H182" s="362">
        <f t="shared" si="28"/>
        <v>12</v>
      </c>
      <c r="I182" s="362">
        <f t="shared" si="28"/>
        <v>5.0999999999999996</v>
      </c>
      <c r="J182" s="362">
        <f t="shared" ref="J182" si="98">J181</f>
        <v>5</v>
      </c>
      <c r="K182" s="362">
        <f t="shared" si="28"/>
        <v>4.9000000000000012</v>
      </c>
      <c r="L182" s="362">
        <f t="shared" si="78"/>
        <v>1.2</v>
      </c>
      <c r="M182" s="362">
        <f t="shared" si="80"/>
        <v>0</v>
      </c>
      <c r="N182" s="362">
        <f t="shared" si="81"/>
        <v>3.3</v>
      </c>
      <c r="O182" s="362">
        <f t="shared" si="82"/>
        <v>0</v>
      </c>
      <c r="P182" s="362">
        <f t="shared" si="83"/>
        <v>0</v>
      </c>
      <c r="Q182" s="362" t="s">
        <v>534</v>
      </c>
      <c r="R182" s="362">
        <f t="shared" ca="1" si="58"/>
        <v>4.8</v>
      </c>
      <c r="S182" s="362">
        <f t="shared" ca="1" si="59"/>
        <v>0</v>
      </c>
      <c r="T182" s="323">
        <f t="shared" ca="1" si="62"/>
        <v>2.2000000000000135</v>
      </c>
      <c r="U182" s="260">
        <f t="shared" ca="1" si="32"/>
        <v>1</v>
      </c>
      <c r="V182" s="260">
        <f t="shared" ca="1" si="87"/>
        <v>1</v>
      </c>
      <c r="W182" s="260">
        <f t="shared" ca="1" si="87"/>
        <v>1</v>
      </c>
      <c r="X182" s="260">
        <f t="shared" ca="1" si="87"/>
        <v>1</v>
      </c>
      <c r="Y182" s="260">
        <f t="shared" ca="1" si="87"/>
        <v>1</v>
      </c>
      <c r="Z182" s="260">
        <f t="shared" ca="1" si="87"/>
        <v>1</v>
      </c>
      <c r="AA182" s="260"/>
      <c r="AB182" s="257"/>
      <c r="AC182" s="260"/>
      <c r="AD182" s="257"/>
      <c r="AE182" s="257"/>
      <c r="AF182" s="257"/>
      <c r="AG182" s="257"/>
      <c r="AH182" s="257"/>
      <c r="AI182" s="257"/>
      <c r="AJ182" s="257"/>
    </row>
    <row r="183" spans="2:36" s="259" customFormat="1" x14ac:dyDescent="0.25">
      <c r="B183" s="258"/>
      <c r="C183" s="258"/>
      <c r="D183" s="266"/>
      <c r="E183" s="265"/>
      <c r="F183" s="265">
        <v>4</v>
      </c>
      <c r="G183" s="362">
        <f t="shared" si="39"/>
        <v>6.8250000000000055</v>
      </c>
      <c r="H183" s="362">
        <f t="shared" si="28"/>
        <v>12</v>
      </c>
      <c r="I183" s="362">
        <f t="shared" si="28"/>
        <v>5.0999999999999996</v>
      </c>
      <c r="J183" s="362">
        <f t="shared" ref="J183" si="99">J182</f>
        <v>5</v>
      </c>
      <c r="K183" s="362">
        <f t="shared" si="28"/>
        <v>4.9000000000000012</v>
      </c>
      <c r="L183" s="362">
        <f t="shared" si="78"/>
        <v>1.2</v>
      </c>
      <c r="M183" s="362">
        <f t="shared" si="80"/>
        <v>0</v>
      </c>
      <c r="N183" s="362">
        <f t="shared" si="81"/>
        <v>3.3</v>
      </c>
      <c r="O183" s="362">
        <f t="shared" si="82"/>
        <v>0</v>
      </c>
      <c r="P183" s="362">
        <f t="shared" si="83"/>
        <v>0</v>
      </c>
      <c r="Q183" s="362" t="s">
        <v>534</v>
      </c>
      <c r="R183" s="362">
        <f t="shared" ca="1" si="58"/>
        <v>4.8</v>
      </c>
      <c r="S183" s="362">
        <f t="shared" ca="1" si="59"/>
        <v>0</v>
      </c>
      <c r="T183" s="323">
        <f t="shared" ca="1" si="62"/>
        <v>2.2250000000000139</v>
      </c>
      <c r="U183" s="260">
        <f t="shared" ca="1" si="32"/>
        <v>1</v>
      </c>
      <c r="V183" s="260">
        <f t="shared" ca="1" si="87"/>
        <v>1</v>
      </c>
      <c r="W183" s="260">
        <f t="shared" ca="1" si="87"/>
        <v>1</v>
      </c>
      <c r="X183" s="260">
        <f t="shared" ca="1" si="87"/>
        <v>1</v>
      </c>
      <c r="Y183" s="260">
        <f t="shared" ca="1" si="87"/>
        <v>1</v>
      </c>
      <c r="Z183" s="260">
        <f t="shared" ca="1" si="87"/>
        <v>1</v>
      </c>
      <c r="AA183" s="260"/>
      <c r="AB183" s="257"/>
      <c r="AC183" s="260"/>
      <c r="AD183" s="257"/>
      <c r="AE183" s="257"/>
      <c r="AF183" s="257"/>
      <c r="AG183" s="257"/>
      <c r="AH183" s="257"/>
      <c r="AI183" s="257"/>
      <c r="AJ183" s="257"/>
    </row>
    <row r="184" spans="2:36" s="259" customFormat="1" x14ac:dyDescent="0.25">
      <c r="B184" s="258"/>
      <c r="C184" s="258"/>
      <c r="D184" s="266"/>
      <c r="E184" s="265"/>
      <c r="F184" s="265">
        <v>4</v>
      </c>
      <c r="G184" s="362">
        <f t="shared" si="39"/>
        <v>6.8500000000000059</v>
      </c>
      <c r="H184" s="362">
        <f t="shared" si="28"/>
        <v>12</v>
      </c>
      <c r="I184" s="362">
        <f t="shared" si="28"/>
        <v>5.0999999999999996</v>
      </c>
      <c r="J184" s="362">
        <f t="shared" ref="J184" si="100">J183</f>
        <v>5</v>
      </c>
      <c r="K184" s="362">
        <f t="shared" si="28"/>
        <v>4.9000000000000012</v>
      </c>
      <c r="L184" s="362">
        <f t="shared" si="78"/>
        <v>1.2</v>
      </c>
      <c r="M184" s="362">
        <f t="shared" si="80"/>
        <v>0</v>
      </c>
      <c r="N184" s="362">
        <f t="shared" si="81"/>
        <v>3.3</v>
      </c>
      <c r="O184" s="362">
        <f t="shared" si="82"/>
        <v>0</v>
      </c>
      <c r="P184" s="362">
        <f t="shared" si="83"/>
        <v>0</v>
      </c>
      <c r="Q184" s="362" t="s">
        <v>534</v>
      </c>
      <c r="R184" s="362">
        <f t="shared" ca="1" si="58"/>
        <v>4.8</v>
      </c>
      <c r="S184" s="362">
        <f t="shared" ca="1" si="59"/>
        <v>0</v>
      </c>
      <c r="T184" s="323">
        <f t="shared" ca="1" si="62"/>
        <v>2.2500000000000142</v>
      </c>
      <c r="U184" s="260">
        <f t="shared" ca="1" si="32"/>
        <v>1</v>
      </c>
      <c r="V184" s="260">
        <f t="shared" ca="1" si="87"/>
        <v>1</v>
      </c>
      <c r="W184" s="260">
        <f t="shared" ca="1" si="87"/>
        <v>1</v>
      </c>
      <c r="X184" s="260">
        <f t="shared" ca="1" si="87"/>
        <v>1</v>
      </c>
      <c r="Y184" s="260">
        <f t="shared" ca="1" si="87"/>
        <v>1</v>
      </c>
      <c r="Z184" s="260">
        <f t="shared" ca="1" si="87"/>
        <v>1</v>
      </c>
      <c r="AA184" s="260"/>
      <c r="AB184" s="257"/>
      <c r="AC184" s="260"/>
      <c r="AD184" s="257"/>
      <c r="AE184" s="257"/>
      <c r="AF184" s="257"/>
      <c r="AG184" s="257"/>
      <c r="AH184" s="257"/>
      <c r="AI184" s="257"/>
      <c r="AJ184" s="257"/>
    </row>
    <row r="185" spans="2:36" s="259" customFormat="1" x14ac:dyDescent="0.25">
      <c r="B185" s="258"/>
      <c r="C185" s="258"/>
      <c r="D185" s="266"/>
      <c r="E185" s="265"/>
      <c r="F185" s="265">
        <v>5</v>
      </c>
      <c r="G185" s="362">
        <f t="shared" si="39"/>
        <v>6.8750000000000062</v>
      </c>
      <c r="H185" s="362">
        <f t="shared" si="28"/>
        <v>12</v>
      </c>
      <c r="I185" s="362">
        <f t="shared" si="28"/>
        <v>5.0999999999999996</v>
      </c>
      <c r="J185" s="362">
        <f t="shared" ref="J185" si="101">J184</f>
        <v>5</v>
      </c>
      <c r="K185" s="362">
        <f t="shared" si="28"/>
        <v>4.9000000000000012</v>
      </c>
      <c r="L185" s="362">
        <f t="shared" si="78"/>
        <v>1.2</v>
      </c>
      <c r="M185" s="362">
        <f t="shared" si="80"/>
        <v>0</v>
      </c>
      <c r="N185" s="362">
        <f t="shared" si="81"/>
        <v>3.3</v>
      </c>
      <c r="O185" s="362">
        <f t="shared" si="82"/>
        <v>0</v>
      </c>
      <c r="P185" s="362">
        <f t="shared" si="83"/>
        <v>0</v>
      </c>
      <c r="Q185" s="362" t="s">
        <v>534</v>
      </c>
      <c r="R185" s="362">
        <f t="shared" ca="1" si="58"/>
        <v>4.8</v>
      </c>
      <c r="S185" s="362">
        <f t="shared" ca="1" si="59"/>
        <v>0</v>
      </c>
      <c r="T185" s="323">
        <f t="shared" ca="1" si="62"/>
        <v>2.2750000000000146</v>
      </c>
      <c r="U185" s="260">
        <f t="shared" ref="U185:U248" ca="1" si="102">IF(OR(U$17="ABIST1_No",COUNTIF($V$2,U$18)),1,IF(AND(U$19&lt;&gt;0,OFFSET($I185,0,MATCH(U$18,$J$21:$P$21,0))=U$19),1,0))</f>
        <v>1</v>
      </c>
      <c r="V185" s="260">
        <f t="shared" ca="1" si="87"/>
        <v>1</v>
      </c>
      <c r="W185" s="260">
        <f t="shared" ca="1" si="87"/>
        <v>1</v>
      </c>
      <c r="X185" s="260">
        <f t="shared" ca="1" si="87"/>
        <v>1</v>
      </c>
      <c r="Y185" s="260">
        <f t="shared" ca="1" si="87"/>
        <v>1</v>
      </c>
      <c r="Z185" s="260">
        <f t="shared" ca="1" si="87"/>
        <v>1</v>
      </c>
      <c r="AA185" s="260"/>
      <c r="AB185" s="257"/>
      <c r="AC185" s="260"/>
      <c r="AD185" s="257"/>
      <c r="AE185" s="257"/>
      <c r="AF185" s="257"/>
      <c r="AG185" s="257"/>
      <c r="AH185" s="257"/>
      <c r="AI185" s="257"/>
      <c r="AJ185" s="257"/>
    </row>
    <row r="186" spans="2:36" s="259" customFormat="1" x14ac:dyDescent="0.25">
      <c r="B186" s="258"/>
      <c r="C186" s="258"/>
      <c r="D186" s="266"/>
      <c r="E186" s="265"/>
      <c r="F186" s="265">
        <v>5</v>
      </c>
      <c r="G186" s="362">
        <f t="shared" si="39"/>
        <v>6.9000000000000066</v>
      </c>
      <c r="H186" s="362">
        <f t="shared" si="28"/>
        <v>12</v>
      </c>
      <c r="I186" s="362">
        <f t="shared" si="28"/>
        <v>5.0999999999999996</v>
      </c>
      <c r="J186" s="362">
        <f t="shared" ref="J186" si="103">J185</f>
        <v>5</v>
      </c>
      <c r="K186" s="362">
        <f t="shared" si="28"/>
        <v>4.9000000000000012</v>
      </c>
      <c r="L186" s="362">
        <f t="shared" si="78"/>
        <v>1.2</v>
      </c>
      <c r="M186" s="362">
        <f t="shared" si="80"/>
        <v>0</v>
      </c>
      <c r="N186" s="362">
        <f t="shared" si="81"/>
        <v>3.3</v>
      </c>
      <c r="O186" s="362">
        <f t="shared" si="82"/>
        <v>0</v>
      </c>
      <c r="P186" s="362">
        <f t="shared" si="83"/>
        <v>0</v>
      </c>
      <c r="Q186" s="362" t="s">
        <v>534</v>
      </c>
      <c r="R186" s="362">
        <f t="shared" ca="1" si="58"/>
        <v>4.8</v>
      </c>
      <c r="S186" s="362">
        <f t="shared" ca="1" si="59"/>
        <v>0</v>
      </c>
      <c r="T186" s="323">
        <f t="shared" ca="1" si="62"/>
        <v>2.3000000000000149</v>
      </c>
      <c r="U186" s="260">
        <f t="shared" ca="1" si="102"/>
        <v>1</v>
      </c>
      <c r="V186" s="260">
        <f t="shared" ca="1" si="87"/>
        <v>1</v>
      </c>
      <c r="W186" s="260">
        <f t="shared" ca="1" si="87"/>
        <v>1</v>
      </c>
      <c r="X186" s="260">
        <f t="shared" ca="1" si="87"/>
        <v>1</v>
      </c>
      <c r="Y186" s="260">
        <f t="shared" ca="1" si="87"/>
        <v>1</v>
      </c>
      <c r="Z186" s="260">
        <f t="shared" ca="1" si="87"/>
        <v>1</v>
      </c>
      <c r="AA186" s="260"/>
      <c r="AB186" s="257"/>
      <c r="AC186" s="260"/>
      <c r="AD186" s="257"/>
      <c r="AE186" s="257"/>
      <c r="AF186" s="257"/>
      <c r="AG186" s="257"/>
      <c r="AH186" s="257"/>
      <c r="AI186" s="257"/>
      <c r="AJ186" s="257"/>
    </row>
    <row r="187" spans="2:36" s="259" customFormat="1" x14ac:dyDescent="0.25">
      <c r="B187" s="258"/>
      <c r="C187" s="258"/>
      <c r="D187" s="266"/>
      <c r="E187" s="265"/>
      <c r="F187" s="265">
        <v>5</v>
      </c>
      <c r="G187" s="362">
        <f t="shared" si="39"/>
        <v>6.9250000000000069</v>
      </c>
      <c r="H187" s="362">
        <f t="shared" si="28"/>
        <v>12</v>
      </c>
      <c r="I187" s="362">
        <f t="shared" si="28"/>
        <v>5.0999999999999996</v>
      </c>
      <c r="J187" s="362">
        <f t="shared" ref="J187" si="104">J186</f>
        <v>5</v>
      </c>
      <c r="K187" s="362">
        <f t="shared" si="28"/>
        <v>4.9000000000000012</v>
      </c>
      <c r="L187" s="362">
        <f t="shared" si="78"/>
        <v>1.2</v>
      </c>
      <c r="M187" s="362">
        <f t="shared" si="80"/>
        <v>0</v>
      </c>
      <c r="N187" s="362">
        <f t="shared" si="81"/>
        <v>3.3</v>
      </c>
      <c r="O187" s="362">
        <f t="shared" si="82"/>
        <v>0</v>
      </c>
      <c r="P187" s="362">
        <f t="shared" si="83"/>
        <v>0</v>
      </c>
      <c r="Q187" s="362" t="s">
        <v>534</v>
      </c>
      <c r="R187" s="362">
        <f t="shared" ca="1" si="58"/>
        <v>4.8</v>
      </c>
      <c r="S187" s="362">
        <f t="shared" ca="1" si="59"/>
        <v>0</v>
      </c>
      <c r="T187" s="323">
        <f t="shared" ca="1" si="62"/>
        <v>2.3250000000000153</v>
      </c>
      <c r="U187" s="260">
        <f t="shared" ca="1" si="102"/>
        <v>1</v>
      </c>
      <c r="V187" s="260">
        <f t="shared" ca="1" si="87"/>
        <v>1</v>
      </c>
      <c r="W187" s="260">
        <f t="shared" ca="1" si="87"/>
        <v>1</v>
      </c>
      <c r="X187" s="260">
        <f t="shared" ca="1" si="87"/>
        <v>1</v>
      </c>
      <c r="Y187" s="260">
        <f t="shared" ca="1" si="87"/>
        <v>1</v>
      </c>
      <c r="Z187" s="260">
        <f t="shared" ca="1" si="87"/>
        <v>1</v>
      </c>
      <c r="AA187" s="260"/>
      <c r="AB187" s="257"/>
      <c r="AC187" s="260"/>
      <c r="AD187" s="257"/>
      <c r="AE187" s="257"/>
      <c r="AF187" s="257"/>
      <c r="AG187" s="257"/>
      <c r="AH187" s="257"/>
      <c r="AI187" s="257"/>
      <c r="AJ187" s="257"/>
    </row>
    <row r="188" spans="2:36" s="259" customFormat="1" x14ac:dyDescent="0.25">
      <c r="B188" s="258"/>
      <c r="C188" s="258"/>
      <c r="D188" s="266"/>
      <c r="E188" s="265"/>
      <c r="F188" s="265">
        <v>5</v>
      </c>
      <c r="G188" s="362">
        <f t="shared" si="39"/>
        <v>6.9500000000000073</v>
      </c>
      <c r="H188" s="362">
        <f t="shared" si="28"/>
        <v>12</v>
      </c>
      <c r="I188" s="362">
        <f t="shared" si="28"/>
        <v>5.0999999999999996</v>
      </c>
      <c r="J188" s="362">
        <f t="shared" ref="J188" si="105">J187</f>
        <v>5</v>
      </c>
      <c r="K188" s="362">
        <f t="shared" si="28"/>
        <v>4.9000000000000012</v>
      </c>
      <c r="L188" s="362">
        <f t="shared" si="78"/>
        <v>1.2</v>
      </c>
      <c r="M188" s="362">
        <f t="shared" si="80"/>
        <v>0</v>
      </c>
      <c r="N188" s="362">
        <f t="shared" si="81"/>
        <v>3.3</v>
      </c>
      <c r="O188" s="362">
        <f t="shared" si="82"/>
        <v>0</v>
      </c>
      <c r="P188" s="362">
        <f t="shared" si="83"/>
        <v>0</v>
      </c>
      <c r="Q188" s="362" t="s">
        <v>534</v>
      </c>
      <c r="R188" s="362">
        <f t="shared" ca="1" si="58"/>
        <v>4.8</v>
      </c>
      <c r="S188" s="362">
        <f t="shared" ca="1" si="59"/>
        <v>0</v>
      </c>
      <c r="T188" s="323">
        <f t="shared" ca="1" si="62"/>
        <v>2.3500000000000156</v>
      </c>
      <c r="U188" s="260">
        <f t="shared" ca="1" si="102"/>
        <v>1</v>
      </c>
      <c r="V188" s="260">
        <f t="shared" ca="1" si="87"/>
        <v>1</v>
      </c>
      <c r="W188" s="260">
        <f t="shared" ca="1" si="87"/>
        <v>1</v>
      </c>
      <c r="X188" s="260">
        <f t="shared" ca="1" si="87"/>
        <v>1</v>
      </c>
      <c r="Y188" s="260">
        <f t="shared" ca="1" si="87"/>
        <v>1</v>
      </c>
      <c r="Z188" s="260">
        <f t="shared" ca="1" si="87"/>
        <v>1</v>
      </c>
      <c r="AA188" s="260"/>
      <c r="AB188" s="257"/>
      <c r="AC188" s="260"/>
      <c r="AD188" s="257"/>
      <c r="AE188" s="257"/>
      <c r="AF188" s="257"/>
      <c r="AG188" s="257"/>
      <c r="AH188" s="257"/>
      <c r="AI188" s="257"/>
      <c r="AJ188" s="257"/>
    </row>
    <row r="189" spans="2:36" s="259" customFormat="1" x14ac:dyDescent="0.25">
      <c r="B189" s="258"/>
      <c r="C189" s="258"/>
      <c r="D189" s="266"/>
      <c r="E189" s="265"/>
      <c r="F189" s="265">
        <v>5</v>
      </c>
      <c r="G189" s="362">
        <f t="shared" si="39"/>
        <v>6.9750000000000076</v>
      </c>
      <c r="H189" s="362">
        <f t="shared" si="28"/>
        <v>12</v>
      </c>
      <c r="I189" s="362">
        <f t="shared" si="28"/>
        <v>5.0999999999999996</v>
      </c>
      <c r="J189" s="362">
        <f t="shared" ref="J189" si="106">J188</f>
        <v>5</v>
      </c>
      <c r="K189" s="362">
        <f t="shared" si="28"/>
        <v>4.9000000000000012</v>
      </c>
      <c r="L189" s="362">
        <f t="shared" si="78"/>
        <v>1.2</v>
      </c>
      <c r="M189" s="362">
        <f t="shared" si="80"/>
        <v>0</v>
      </c>
      <c r="N189" s="362">
        <f t="shared" si="81"/>
        <v>3.3</v>
      </c>
      <c r="O189" s="362">
        <f t="shared" si="82"/>
        <v>0</v>
      </c>
      <c r="P189" s="362">
        <f t="shared" si="83"/>
        <v>0</v>
      </c>
      <c r="Q189" s="362" t="s">
        <v>534</v>
      </c>
      <c r="R189" s="362">
        <f t="shared" ca="1" si="58"/>
        <v>4.8</v>
      </c>
      <c r="S189" s="362">
        <f t="shared" ca="1" si="59"/>
        <v>0</v>
      </c>
      <c r="T189" s="323">
        <f t="shared" ca="1" si="62"/>
        <v>2.375000000000016</v>
      </c>
      <c r="U189" s="260">
        <f t="shared" ca="1" si="102"/>
        <v>1</v>
      </c>
      <c r="V189" s="260">
        <f t="shared" ca="1" si="87"/>
        <v>1</v>
      </c>
      <c r="W189" s="260">
        <f t="shared" ca="1" si="87"/>
        <v>1</v>
      </c>
      <c r="X189" s="260">
        <f t="shared" ca="1" si="87"/>
        <v>1</v>
      </c>
      <c r="Y189" s="260">
        <f t="shared" ca="1" si="87"/>
        <v>1</v>
      </c>
      <c r="Z189" s="260">
        <f t="shared" ca="1" si="87"/>
        <v>1</v>
      </c>
      <c r="AA189" s="260"/>
      <c r="AB189" s="257"/>
      <c r="AC189" s="260"/>
      <c r="AD189" s="257"/>
      <c r="AE189" s="257"/>
      <c r="AF189" s="257"/>
      <c r="AG189" s="257"/>
      <c r="AH189" s="257"/>
      <c r="AI189" s="257"/>
      <c r="AJ189" s="257"/>
    </row>
    <row r="190" spans="2:36" s="259" customFormat="1" x14ac:dyDescent="0.25">
      <c r="B190" s="258"/>
      <c r="C190" s="258"/>
      <c r="D190" s="266"/>
      <c r="E190" s="265"/>
      <c r="F190" s="265">
        <v>5</v>
      </c>
      <c r="G190" s="362">
        <f t="shared" si="39"/>
        <v>7.000000000000008</v>
      </c>
      <c r="H190" s="362">
        <f t="shared" si="28"/>
        <v>12</v>
      </c>
      <c r="I190" s="362">
        <f t="shared" si="28"/>
        <v>5.0999999999999996</v>
      </c>
      <c r="J190" s="362">
        <f t="shared" ref="J190" si="107">J189</f>
        <v>5</v>
      </c>
      <c r="K190" s="362">
        <f t="shared" si="28"/>
        <v>4.9000000000000012</v>
      </c>
      <c r="L190" s="362">
        <f t="shared" si="78"/>
        <v>1.2</v>
      </c>
      <c r="M190" s="362">
        <f t="shared" si="80"/>
        <v>0</v>
      </c>
      <c r="N190" s="362">
        <f t="shared" si="81"/>
        <v>3.3</v>
      </c>
      <c r="O190" s="362">
        <f t="shared" si="82"/>
        <v>0</v>
      </c>
      <c r="P190" s="362">
        <f t="shared" si="83"/>
        <v>0</v>
      </c>
      <c r="Q190" s="362" t="s">
        <v>534</v>
      </c>
      <c r="R190" s="362">
        <f t="shared" ca="1" si="58"/>
        <v>4.8</v>
      </c>
      <c r="S190" s="362">
        <f t="shared" ca="1" si="59"/>
        <v>0</v>
      </c>
      <c r="T190" s="323">
        <f t="shared" ca="1" si="62"/>
        <v>2.4000000000000163</v>
      </c>
      <c r="U190" s="260">
        <f t="shared" ca="1" si="102"/>
        <v>1</v>
      </c>
      <c r="V190" s="260">
        <f t="shared" ca="1" si="87"/>
        <v>1</v>
      </c>
      <c r="W190" s="260">
        <f t="shared" ca="1" si="87"/>
        <v>1</v>
      </c>
      <c r="X190" s="260">
        <f t="shared" ca="1" si="87"/>
        <v>1</v>
      </c>
      <c r="Y190" s="260">
        <f t="shared" ca="1" si="87"/>
        <v>1</v>
      </c>
      <c r="Z190" s="260">
        <f t="shared" ca="1" si="87"/>
        <v>1</v>
      </c>
      <c r="AA190" s="260"/>
      <c r="AB190" s="257"/>
      <c r="AC190" s="260"/>
      <c r="AD190" s="257"/>
      <c r="AE190" s="257"/>
      <c r="AF190" s="257"/>
      <c r="AG190" s="257"/>
      <c r="AH190" s="257"/>
      <c r="AI190" s="257"/>
      <c r="AJ190" s="257"/>
    </row>
    <row r="191" spans="2:36" s="259" customFormat="1" x14ac:dyDescent="0.25">
      <c r="B191" s="258"/>
      <c r="C191" s="258"/>
      <c r="D191" s="266"/>
      <c r="E191" s="265"/>
      <c r="F191" s="265">
        <v>5</v>
      </c>
      <c r="G191" s="362">
        <f t="shared" si="39"/>
        <v>7.0250000000000083</v>
      </c>
      <c r="H191" s="362">
        <f t="shared" si="28"/>
        <v>12</v>
      </c>
      <c r="I191" s="362">
        <f t="shared" si="28"/>
        <v>5.0999999999999996</v>
      </c>
      <c r="J191" s="362">
        <f t="shared" ref="J191" si="108">J190</f>
        <v>5</v>
      </c>
      <c r="K191" s="362">
        <f t="shared" si="28"/>
        <v>4.9000000000000012</v>
      </c>
      <c r="L191" s="362">
        <f t="shared" si="78"/>
        <v>1.2</v>
      </c>
      <c r="M191" s="362">
        <f t="shared" si="80"/>
        <v>0</v>
      </c>
      <c r="N191" s="362">
        <f t="shared" si="81"/>
        <v>3.3</v>
      </c>
      <c r="O191" s="362">
        <f t="shared" si="82"/>
        <v>0</v>
      </c>
      <c r="P191" s="362">
        <f t="shared" si="83"/>
        <v>0</v>
      </c>
      <c r="Q191" s="362" t="s">
        <v>534</v>
      </c>
      <c r="R191" s="362">
        <f t="shared" ca="1" si="58"/>
        <v>4.8</v>
      </c>
      <c r="S191" s="362">
        <f t="shared" ca="1" si="59"/>
        <v>0</v>
      </c>
      <c r="T191" s="323">
        <f t="shared" ca="1" si="62"/>
        <v>2.4250000000000167</v>
      </c>
      <c r="U191" s="260">
        <f t="shared" ca="1" si="102"/>
        <v>1</v>
      </c>
      <c r="V191" s="260">
        <f t="shared" ca="1" si="87"/>
        <v>1</v>
      </c>
      <c r="W191" s="260">
        <f t="shared" ca="1" si="87"/>
        <v>1</v>
      </c>
      <c r="X191" s="260">
        <f t="shared" ca="1" si="87"/>
        <v>1</v>
      </c>
      <c r="Y191" s="260">
        <f t="shared" ca="1" si="87"/>
        <v>1</v>
      </c>
      <c r="Z191" s="260">
        <f t="shared" ca="1" si="87"/>
        <v>1</v>
      </c>
      <c r="AA191" s="260"/>
      <c r="AB191" s="257"/>
      <c r="AC191" s="260"/>
      <c r="AD191" s="257"/>
      <c r="AE191" s="257"/>
      <c r="AF191" s="257"/>
      <c r="AG191" s="257"/>
      <c r="AH191" s="257"/>
      <c r="AI191" s="257"/>
      <c r="AJ191" s="257"/>
    </row>
    <row r="192" spans="2:36" s="259" customFormat="1" x14ac:dyDescent="0.25">
      <c r="B192" s="258"/>
      <c r="C192" s="258"/>
      <c r="D192" s="266"/>
      <c r="E192" s="265"/>
      <c r="F192" s="265">
        <v>5</v>
      </c>
      <c r="G192" s="362">
        <f t="shared" si="39"/>
        <v>7.0500000000000087</v>
      </c>
      <c r="H192" s="362">
        <f t="shared" si="28"/>
        <v>12</v>
      </c>
      <c r="I192" s="362">
        <f t="shared" si="28"/>
        <v>5.0999999999999996</v>
      </c>
      <c r="J192" s="362">
        <f t="shared" ref="J192" si="109">J191</f>
        <v>5</v>
      </c>
      <c r="K192" s="362">
        <f t="shared" si="28"/>
        <v>4.9000000000000012</v>
      </c>
      <c r="L192" s="362">
        <f t="shared" si="78"/>
        <v>1.2</v>
      </c>
      <c r="M192" s="362">
        <f t="shared" si="80"/>
        <v>0</v>
      </c>
      <c r="N192" s="362">
        <f t="shared" si="81"/>
        <v>3.3</v>
      </c>
      <c r="O192" s="362">
        <f t="shared" si="82"/>
        <v>0</v>
      </c>
      <c r="P192" s="362">
        <f t="shared" si="83"/>
        <v>0</v>
      </c>
      <c r="Q192" s="362" t="s">
        <v>534</v>
      </c>
      <c r="R192" s="362">
        <f t="shared" ca="1" si="58"/>
        <v>4.8</v>
      </c>
      <c r="S192" s="362">
        <f t="shared" ca="1" si="59"/>
        <v>0</v>
      </c>
      <c r="T192" s="323">
        <f t="shared" ca="1" si="62"/>
        <v>2.4500000000000171</v>
      </c>
      <c r="U192" s="260">
        <f t="shared" ca="1" si="102"/>
        <v>1</v>
      </c>
      <c r="V192" s="260">
        <f t="shared" ca="1" si="87"/>
        <v>1</v>
      </c>
      <c r="W192" s="260">
        <f t="shared" ca="1" si="87"/>
        <v>1</v>
      </c>
      <c r="X192" s="260">
        <f t="shared" ca="1" si="87"/>
        <v>1</v>
      </c>
      <c r="Y192" s="260">
        <f t="shared" ca="1" si="87"/>
        <v>1</v>
      </c>
      <c r="Z192" s="260">
        <f t="shared" ca="1" si="87"/>
        <v>1</v>
      </c>
      <c r="AA192" s="260"/>
      <c r="AB192" s="257"/>
      <c r="AC192" s="260"/>
      <c r="AD192" s="257"/>
      <c r="AE192" s="257"/>
      <c r="AF192" s="257"/>
      <c r="AG192" s="257"/>
      <c r="AH192" s="257"/>
      <c r="AI192" s="257"/>
      <c r="AJ192" s="257"/>
    </row>
    <row r="193" spans="2:36" s="259" customFormat="1" x14ac:dyDescent="0.25">
      <c r="B193" s="258"/>
      <c r="C193" s="258"/>
      <c r="D193" s="266"/>
      <c r="E193" s="265"/>
      <c r="F193" s="265">
        <v>5</v>
      </c>
      <c r="G193" s="362">
        <f t="shared" si="39"/>
        <v>7.0750000000000091</v>
      </c>
      <c r="H193" s="362">
        <f t="shared" si="28"/>
        <v>12</v>
      </c>
      <c r="I193" s="362">
        <f t="shared" si="28"/>
        <v>5.0999999999999996</v>
      </c>
      <c r="J193" s="362">
        <f t="shared" ref="J193" si="110">J192</f>
        <v>5</v>
      </c>
      <c r="K193" s="362">
        <f t="shared" si="28"/>
        <v>4.9000000000000012</v>
      </c>
      <c r="L193" s="362">
        <f t="shared" si="78"/>
        <v>1.2</v>
      </c>
      <c r="M193" s="362">
        <f t="shared" si="80"/>
        <v>0</v>
      </c>
      <c r="N193" s="362">
        <f t="shared" si="81"/>
        <v>3.3</v>
      </c>
      <c r="O193" s="362">
        <f t="shared" si="82"/>
        <v>0</v>
      </c>
      <c r="P193" s="362">
        <f t="shared" si="83"/>
        <v>0</v>
      </c>
      <c r="Q193" s="362" t="s">
        <v>534</v>
      </c>
      <c r="R193" s="362">
        <f t="shared" ca="1" si="58"/>
        <v>4.8</v>
      </c>
      <c r="S193" s="362">
        <f t="shared" ca="1" si="59"/>
        <v>0</v>
      </c>
      <c r="T193" s="323">
        <f t="shared" ca="1" si="62"/>
        <v>2.4750000000000174</v>
      </c>
      <c r="U193" s="260">
        <f t="shared" ca="1" si="102"/>
        <v>1</v>
      </c>
      <c r="V193" s="260">
        <f t="shared" ca="1" si="87"/>
        <v>1</v>
      </c>
      <c r="W193" s="260">
        <f t="shared" ca="1" si="87"/>
        <v>1</v>
      </c>
      <c r="X193" s="260">
        <f t="shared" ca="1" si="87"/>
        <v>1</v>
      </c>
      <c r="Y193" s="260">
        <f t="shared" ca="1" si="87"/>
        <v>1</v>
      </c>
      <c r="Z193" s="260">
        <f t="shared" ca="1" si="87"/>
        <v>1</v>
      </c>
      <c r="AA193" s="260"/>
      <c r="AB193" s="257"/>
      <c r="AC193" s="260"/>
      <c r="AD193" s="257"/>
      <c r="AE193" s="257"/>
      <c r="AF193" s="257"/>
      <c r="AG193" s="257"/>
      <c r="AH193" s="257"/>
      <c r="AI193" s="257"/>
      <c r="AJ193" s="257"/>
    </row>
    <row r="194" spans="2:36" s="259" customFormat="1" x14ac:dyDescent="0.25">
      <c r="B194" s="258"/>
      <c r="C194" s="258"/>
      <c r="D194" s="266"/>
      <c r="E194" s="265"/>
      <c r="F194" s="265">
        <v>5</v>
      </c>
      <c r="G194" s="362">
        <f t="shared" si="39"/>
        <v>7.1000000000000094</v>
      </c>
      <c r="H194" s="362">
        <f t="shared" si="28"/>
        <v>12</v>
      </c>
      <c r="I194" s="362">
        <f t="shared" si="28"/>
        <v>5.0999999999999996</v>
      </c>
      <c r="J194" s="362">
        <f t="shared" ref="J194" si="111">J193</f>
        <v>5</v>
      </c>
      <c r="K194" s="362">
        <f t="shared" si="28"/>
        <v>4.9000000000000012</v>
      </c>
      <c r="L194" s="362">
        <f t="shared" si="78"/>
        <v>1.2</v>
      </c>
      <c r="M194" s="362">
        <f t="shared" si="80"/>
        <v>0</v>
      </c>
      <c r="N194" s="362">
        <f t="shared" si="81"/>
        <v>3.3</v>
      </c>
      <c r="O194" s="362">
        <f t="shared" si="82"/>
        <v>0</v>
      </c>
      <c r="P194" s="362">
        <f t="shared" si="83"/>
        <v>0</v>
      </c>
      <c r="Q194" s="362" t="s">
        <v>534</v>
      </c>
      <c r="R194" s="362">
        <f t="shared" ca="1" si="58"/>
        <v>4.8</v>
      </c>
      <c r="S194" s="362">
        <f t="shared" ca="1" si="59"/>
        <v>0</v>
      </c>
      <c r="T194" s="323">
        <f t="shared" ca="1" si="62"/>
        <v>2.5000000000000178</v>
      </c>
      <c r="U194" s="260">
        <f t="shared" ca="1" si="102"/>
        <v>1</v>
      </c>
      <c r="V194" s="260">
        <f t="shared" ca="1" si="87"/>
        <v>1</v>
      </c>
      <c r="W194" s="260">
        <f t="shared" ca="1" si="87"/>
        <v>1</v>
      </c>
      <c r="X194" s="260">
        <f t="shared" ca="1" si="87"/>
        <v>1</v>
      </c>
      <c r="Y194" s="260">
        <f t="shared" ca="1" si="87"/>
        <v>1</v>
      </c>
      <c r="Z194" s="260">
        <f t="shared" ca="1" si="87"/>
        <v>1</v>
      </c>
      <c r="AA194" s="260"/>
      <c r="AB194" s="257"/>
      <c r="AC194" s="260"/>
      <c r="AD194" s="257"/>
      <c r="AE194" s="257"/>
      <c r="AF194" s="257"/>
      <c r="AG194" s="257"/>
      <c r="AH194" s="257"/>
      <c r="AI194" s="257"/>
      <c r="AJ194" s="257"/>
    </row>
    <row r="195" spans="2:36" s="259" customFormat="1" x14ac:dyDescent="0.25">
      <c r="B195" s="258"/>
      <c r="C195" s="258"/>
      <c r="D195" s="266"/>
      <c r="E195" s="265"/>
      <c r="F195" s="265">
        <v>6</v>
      </c>
      <c r="G195" s="362">
        <f t="shared" si="39"/>
        <v>7.1250000000000098</v>
      </c>
      <c r="H195" s="362">
        <f t="shared" si="28"/>
        <v>12</v>
      </c>
      <c r="I195" s="362">
        <f t="shared" si="28"/>
        <v>5.0999999999999996</v>
      </c>
      <c r="J195" s="362">
        <f t="shared" ref="J195" si="112">J194</f>
        <v>5</v>
      </c>
      <c r="K195" s="362">
        <f t="shared" si="28"/>
        <v>4.9000000000000012</v>
      </c>
      <c r="L195" s="362">
        <f t="shared" si="78"/>
        <v>1.2</v>
      </c>
      <c r="M195" s="362">
        <f t="shared" si="80"/>
        <v>0</v>
      </c>
      <c r="N195" s="362">
        <f t="shared" si="81"/>
        <v>3.3</v>
      </c>
      <c r="O195" s="362">
        <f t="shared" si="82"/>
        <v>0</v>
      </c>
      <c r="P195" s="362">
        <f t="shared" si="83"/>
        <v>0</v>
      </c>
      <c r="Q195" s="362" t="s">
        <v>534</v>
      </c>
      <c r="R195" s="362">
        <f t="shared" ca="1" si="58"/>
        <v>4.8</v>
      </c>
      <c r="S195" s="362">
        <f t="shared" ca="1" si="59"/>
        <v>0</v>
      </c>
      <c r="T195" s="323">
        <f t="shared" ca="1" si="62"/>
        <v>2.5250000000000181</v>
      </c>
      <c r="U195" s="260">
        <f t="shared" ca="1" si="102"/>
        <v>1</v>
      </c>
      <c r="V195" s="260">
        <f t="shared" ca="1" si="87"/>
        <v>1</v>
      </c>
      <c r="W195" s="260">
        <f t="shared" ca="1" si="87"/>
        <v>1</v>
      </c>
      <c r="X195" s="260">
        <f t="shared" ca="1" si="87"/>
        <v>1</v>
      </c>
      <c r="Y195" s="260">
        <f t="shared" ca="1" si="87"/>
        <v>1</v>
      </c>
      <c r="Z195" s="260">
        <f t="shared" ca="1" si="87"/>
        <v>1</v>
      </c>
      <c r="AA195" s="260"/>
      <c r="AB195" s="257"/>
      <c r="AC195" s="260"/>
      <c r="AD195" s="257"/>
      <c r="AE195" s="257"/>
      <c r="AF195" s="257"/>
      <c r="AG195" s="257"/>
      <c r="AH195" s="257"/>
      <c r="AI195" s="257"/>
      <c r="AJ195" s="257"/>
    </row>
    <row r="196" spans="2:36" s="259" customFormat="1" x14ac:dyDescent="0.25">
      <c r="B196" s="258"/>
      <c r="C196" s="258"/>
      <c r="D196" s="266"/>
      <c r="E196" s="265"/>
      <c r="F196" s="265">
        <v>6</v>
      </c>
      <c r="G196" s="362">
        <f t="shared" si="39"/>
        <v>7.1500000000000101</v>
      </c>
      <c r="H196" s="362">
        <f t="shared" si="28"/>
        <v>12</v>
      </c>
      <c r="I196" s="362">
        <f t="shared" si="28"/>
        <v>5.0999999999999996</v>
      </c>
      <c r="J196" s="362">
        <f t="shared" ref="J196" si="113">J195</f>
        <v>5</v>
      </c>
      <c r="K196" s="362">
        <f t="shared" si="28"/>
        <v>4.9000000000000012</v>
      </c>
      <c r="L196" s="362">
        <f t="shared" si="78"/>
        <v>1.2</v>
      </c>
      <c r="M196" s="362">
        <f t="shared" si="80"/>
        <v>0</v>
      </c>
      <c r="N196" s="362">
        <f t="shared" si="81"/>
        <v>3.3</v>
      </c>
      <c r="O196" s="362">
        <f t="shared" si="82"/>
        <v>0</v>
      </c>
      <c r="P196" s="362">
        <f t="shared" si="83"/>
        <v>0</v>
      </c>
      <c r="Q196" s="362" t="s">
        <v>534</v>
      </c>
      <c r="R196" s="362">
        <f t="shared" ca="1" si="58"/>
        <v>4.8</v>
      </c>
      <c r="S196" s="362">
        <f t="shared" ca="1" si="59"/>
        <v>0</v>
      </c>
      <c r="T196" s="323">
        <f t="shared" ca="1" si="62"/>
        <v>2.5500000000000185</v>
      </c>
      <c r="U196" s="260">
        <f t="shared" ca="1" si="102"/>
        <v>1</v>
      </c>
      <c r="V196" s="260">
        <f t="shared" ca="1" si="87"/>
        <v>1</v>
      </c>
      <c r="W196" s="260">
        <f t="shared" ca="1" si="87"/>
        <v>1</v>
      </c>
      <c r="X196" s="260">
        <f t="shared" ca="1" si="87"/>
        <v>1</v>
      </c>
      <c r="Y196" s="260">
        <f t="shared" ca="1" si="87"/>
        <v>1</v>
      </c>
      <c r="Z196" s="260">
        <f t="shared" ca="1" si="87"/>
        <v>1</v>
      </c>
      <c r="AA196" s="260"/>
      <c r="AB196" s="257"/>
      <c r="AC196" s="260"/>
      <c r="AD196" s="257"/>
      <c r="AE196" s="257"/>
      <c r="AF196" s="257"/>
      <c r="AG196" s="257"/>
      <c r="AH196" s="257"/>
      <c r="AI196" s="257"/>
      <c r="AJ196" s="257"/>
    </row>
    <row r="197" spans="2:36" s="259" customFormat="1" x14ac:dyDescent="0.25">
      <c r="B197" s="258"/>
      <c r="C197" s="258"/>
      <c r="D197" s="266"/>
      <c r="E197" s="265"/>
      <c r="F197" s="265">
        <v>6</v>
      </c>
      <c r="G197" s="362">
        <f t="shared" si="39"/>
        <v>7.1750000000000105</v>
      </c>
      <c r="H197" s="362">
        <f t="shared" si="28"/>
        <v>12</v>
      </c>
      <c r="I197" s="362">
        <f t="shared" si="28"/>
        <v>5.0999999999999996</v>
      </c>
      <c r="J197" s="362">
        <f t="shared" ref="J197" si="114">J196</f>
        <v>5</v>
      </c>
      <c r="K197" s="362">
        <f t="shared" si="28"/>
        <v>4.9000000000000012</v>
      </c>
      <c r="L197" s="362">
        <f t="shared" si="78"/>
        <v>1.2</v>
      </c>
      <c r="M197" s="362">
        <f t="shared" si="80"/>
        <v>0</v>
      </c>
      <c r="N197" s="362">
        <f t="shared" si="81"/>
        <v>3.3</v>
      </c>
      <c r="O197" s="362">
        <f t="shared" si="82"/>
        <v>0</v>
      </c>
      <c r="P197" s="362">
        <f t="shared" si="83"/>
        <v>0</v>
      </c>
      <c r="Q197" s="362" t="s">
        <v>534</v>
      </c>
      <c r="R197" s="362">
        <f t="shared" ca="1" si="58"/>
        <v>4.8</v>
      </c>
      <c r="S197" s="362">
        <f t="shared" ca="1" si="59"/>
        <v>0</v>
      </c>
      <c r="T197" s="323">
        <f t="shared" ca="1" si="62"/>
        <v>2.5750000000000188</v>
      </c>
      <c r="U197" s="260">
        <f t="shared" ca="1" si="102"/>
        <v>1</v>
      </c>
      <c r="V197" s="260">
        <f t="shared" ca="1" si="87"/>
        <v>1</v>
      </c>
      <c r="W197" s="260">
        <f t="shared" ca="1" si="87"/>
        <v>1</v>
      </c>
      <c r="X197" s="260">
        <f t="shared" ca="1" si="87"/>
        <v>1</v>
      </c>
      <c r="Y197" s="260">
        <f t="shared" ca="1" si="87"/>
        <v>1</v>
      </c>
      <c r="Z197" s="260">
        <f t="shared" ca="1" si="87"/>
        <v>1</v>
      </c>
      <c r="AA197" s="260"/>
      <c r="AB197" s="257"/>
      <c r="AC197" s="260"/>
      <c r="AD197" s="257"/>
      <c r="AE197" s="257"/>
      <c r="AF197" s="257"/>
      <c r="AG197" s="257"/>
      <c r="AH197" s="257"/>
      <c r="AI197" s="257"/>
      <c r="AJ197" s="257"/>
    </row>
    <row r="198" spans="2:36" s="259" customFormat="1" x14ac:dyDescent="0.25">
      <c r="B198" s="258"/>
      <c r="C198" s="258"/>
      <c r="D198" s="266"/>
      <c r="E198" s="265"/>
      <c r="F198" s="265">
        <v>6</v>
      </c>
      <c r="G198" s="362">
        <f t="shared" si="39"/>
        <v>7.2000000000000108</v>
      </c>
      <c r="H198" s="362">
        <f t="shared" si="28"/>
        <v>12</v>
      </c>
      <c r="I198" s="362">
        <f t="shared" si="28"/>
        <v>5.0999999999999996</v>
      </c>
      <c r="J198" s="362">
        <f t="shared" ref="J198" si="115">J197</f>
        <v>5</v>
      </c>
      <c r="K198" s="362">
        <f t="shared" si="28"/>
        <v>4.9000000000000012</v>
      </c>
      <c r="L198" s="362">
        <f t="shared" si="78"/>
        <v>1.2</v>
      </c>
      <c r="M198" s="362">
        <f t="shared" si="80"/>
        <v>0</v>
      </c>
      <c r="N198" s="362">
        <f t="shared" si="81"/>
        <v>3.3</v>
      </c>
      <c r="O198" s="362">
        <f t="shared" si="82"/>
        <v>0</v>
      </c>
      <c r="P198" s="362">
        <f t="shared" si="83"/>
        <v>0</v>
      </c>
      <c r="Q198" s="362" t="s">
        <v>534</v>
      </c>
      <c r="R198" s="362">
        <f t="shared" ca="1" si="58"/>
        <v>4.8</v>
      </c>
      <c r="S198" s="362">
        <f t="shared" ca="1" si="59"/>
        <v>0</v>
      </c>
      <c r="T198" s="323">
        <f t="shared" ca="1" si="62"/>
        <v>2.6000000000000192</v>
      </c>
      <c r="U198" s="260">
        <f t="shared" ca="1" si="102"/>
        <v>1</v>
      </c>
      <c r="V198" s="260">
        <f t="shared" ca="1" si="87"/>
        <v>1</v>
      </c>
      <c r="W198" s="260">
        <f t="shared" ca="1" si="87"/>
        <v>1</v>
      </c>
      <c r="X198" s="260">
        <f t="shared" ca="1" si="87"/>
        <v>1</v>
      </c>
      <c r="Y198" s="260">
        <f t="shared" ca="1" si="87"/>
        <v>1</v>
      </c>
      <c r="Z198" s="260">
        <f t="shared" ca="1" si="87"/>
        <v>1</v>
      </c>
      <c r="AA198" s="260"/>
      <c r="AB198" s="257"/>
      <c r="AC198" s="260"/>
      <c r="AD198" s="257"/>
      <c r="AE198" s="257"/>
      <c r="AF198" s="257"/>
      <c r="AG198" s="257"/>
      <c r="AH198" s="257"/>
      <c r="AI198" s="257"/>
      <c r="AJ198" s="257"/>
    </row>
    <row r="199" spans="2:36" s="259" customFormat="1" x14ac:dyDescent="0.25">
      <c r="B199" s="258"/>
      <c r="C199" s="258"/>
      <c r="D199" s="266"/>
      <c r="E199" s="265"/>
      <c r="F199" s="265">
        <v>6</v>
      </c>
      <c r="G199" s="362">
        <f t="shared" si="39"/>
        <v>7.2250000000000112</v>
      </c>
      <c r="H199" s="362">
        <f t="shared" si="28"/>
        <v>12</v>
      </c>
      <c r="I199" s="362">
        <f t="shared" si="28"/>
        <v>5.0999999999999996</v>
      </c>
      <c r="J199" s="362">
        <f t="shared" ref="J199" si="116">J198</f>
        <v>5</v>
      </c>
      <c r="K199" s="362">
        <f t="shared" si="28"/>
        <v>4.9000000000000012</v>
      </c>
      <c r="L199" s="362">
        <f t="shared" ref="L199:P232" si="117">IF(L$7&lt;=$F199,MIN(L$8,L198+L$8/MAX(1,ROUND(L$8/$H$1/L$9,0))),L198)</f>
        <v>1.2</v>
      </c>
      <c r="M199" s="362">
        <f t="shared" si="80"/>
        <v>0</v>
      </c>
      <c r="N199" s="362">
        <f t="shared" si="81"/>
        <v>3.3</v>
      </c>
      <c r="O199" s="362">
        <f t="shared" si="82"/>
        <v>0</v>
      </c>
      <c r="P199" s="362">
        <f t="shared" si="83"/>
        <v>0</v>
      </c>
      <c r="Q199" s="362" t="s">
        <v>534</v>
      </c>
      <c r="R199" s="362">
        <f t="shared" ca="1" si="58"/>
        <v>4.8</v>
      </c>
      <c r="S199" s="362">
        <f t="shared" ca="1" si="59"/>
        <v>0</v>
      </c>
      <c r="T199" s="323">
        <f t="shared" ca="1" si="62"/>
        <v>2.6250000000000195</v>
      </c>
      <c r="U199" s="260">
        <f t="shared" ca="1" si="102"/>
        <v>1</v>
      </c>
      <c r="V199" s="260">
        <f t="shared" ca="1" si="87"/>
        <v>1</v>
      </c>
      <c r="W199" s="260">
        <f t="shared" ca="1" si="87"/>
        <v>1</v>
      </c>
      <c r="X199" s="260">
        <f t="shared" ca="1" si="87"/>
        <v>1</v>
      </c>
      <c r="Y199" s="260">
        <f t="shared" ca="1" si="87"/>
        <v>1</v>
      </c>
      <c r="Z199" s="260">
        <f t="shared" ca="1" si="87"/>
        <v>1</v>
      </c>
      <c r="AA199" s="260"/>
      <c r="AB199" s="257"/>
      <c r="AC199" s="260"/>
      <c r="AD199" s="257"/>
      <c r="AE199" s="257"/>
      <c r="AF199" s="257"/>
      <c r="AG199" s="257"/>
      <c r="AH199" s="257"/>
      <c r="AI199" s="257"/>
      <c r="AJ199" s="257"/>
    </row>
    <row r="200" spans="2:36" s="259" customFormat="1" x14ac:dyDescent="0.25">
      <c r="B200" s="258"/>
      <c r="C200" s="258"/>
      <c r="D200" s="266"/>
      <c r="E200" s="265"/>
      <c r="F200" s="265">
        <v>6</v>
      </c>
      <c r="G200" s="362">
        <f t="shared" ref="G200:G263" si="118">G199+$H$1</f>
        <v>7.2500000000000115</v>
      </c>
      <c r="H200" s="362">
        <f t="shared" si="28"/>
        <v>12</v>
      </c>
      <c r="I200" s="362">
        <f t="shared" si="28"/>
        <v>5.0999999999999996</v>
      </c>
      <c r="J200" s="362">
        <f t="shared" ref="J200" si="119">J199</f>
        <v>5</v>
      </c>
      <c r="K200" s="362">
        <f t="shared" si="28"/>
        <v>4.9000000000000012</v>
      </c>
      <c r="L200" s="362">
        <f t="shared" si="117"/>
        <v>1.2</v>
      </c>
      <c r="M200" s="362">
        <f t="shared" si="80"/>
        <v>0</v>
      </c>
      <c r="N200" s="362">
        <f t="shared" si="81"/>
        <v>3.3</v>
      </c>
      <c r="O200" s="362">
        <f t="shared" si="82"/>
        <v>0</v>
      </c>
      <c r="P200" s="362">
        <f t="shared" si="83"/>
        <v>0</v>
      </c>
      <c r="Q200" s="362" t="s">
        <v>534</v>
      </c>
      <c r="R200" s="362">
        <f t="shared" ca="1" si="58"/>
        <v>4.8</v>
      </c>
      <c r="S200" s="362">
        <f t="shared" ca="1" si="59"/>
        <v>0</v>
      </c>
      <c r="T200" s="323">
        <f t="shared" ca="1" si="62"/>
        <v>2.6500000000000199</v>
      </c>
      <c r="U200" s="260">
        <f t="shared" ca="1" si="102"/>
        <v>1</v>
      </c>
      <c r="V200" s="260">
        <f t="shared" ca="1" si="87"/>
        <v>1</v>
      </c>
      <c r="W200" s="260">
        <f t="shared" ca="1" si="87"/>
        <v>1</v>
      </c>
      <c r="X200" s="260">
        <f t="shared" ca="1" si="87"/>
        <v>1</v>
      </c>
      <c r="Y200" s="260">
        <f t="shared" ca="1" si="87"/>
        <v>1</v>
      </c>
      <c r="Z200" s="260">
        <f t="shared" ca="1" si="87"/>
        <v>1</v>
      </c>
      <c r="AA200" s="260"/>
      <c r="AB200" s="257"/>
      <c r="AC200" s="260"/>
      <c r="AD200" s="257"/>
      <c r="AE200" s="257"/>
      <c r="AF200" s="257"/>
      <c r="AG200" s="257"/>
      <c r="AH200" s="257"/>
      <c r="AI200" s="257"/>
      <c r="AJ200" s="257"/>
    </row>
    <row r="201" spans="2:36" s="259" customFormat="1" x14ac:dyDescent="0.25">
      <c r="B201" s="258"/>
      <c r="C201" s="258"/>
      <c r="D201" s="266"/>
      <c r="E201" s="265"/>
      <c r="F201" s="265">
        <v>6</v>
      </c>
      <c r="G201" s="362">
        <f t="shared" si="118"/>
        <v>7.2750000000000119</v>
      </c>
      <c r="H201" s="362">
        <f t="shared" si="28"/>
        <v>12</v>
      </c>
      <c r="I201" s="362">
        <f t="shared" si="28"/>
        <v>5.0999999999999996</v>
      </c>
      <c r="J201" s="362">
        <f t="shared" ref="J201" si="120">J200</f>
        <v>5</v>
      </c>
      <c r="K201" s="362">
        <f t="shared" si="28"/>
        <v>4.9000000000000012</v>
      </c>
      <c r="L201" s="362">
        <f t="shared" si="117"/>
        <v>1.2</v>
      </c>
      <c r="M201" s="362">
        <f t="shared" si="80"/>
        <v>0</v>
      </c>
      <c r="N201" s="362">
        <f t="shared" si="81"/>
        <v>3.3</v>
      </c>
      <c r="O201" s="362">
        <f t="shared" si="82"/>
        <v>0</v>
      </c>
      <c r="P201" s="362">
        <f t="shared" si="83"/>
        <v>0</v>
      </c>
      <c r="Q201" s="362" t="s">
        <v>534</v>
      </c>
      <c r="R201" s="362">
        <f t="shared" ca="1" si="58"/>
        <v>4.8</v>
      </c>
      <c r="S201" s="362">
        <f t="shared" ca="1" si="59"/>
        <v>0</v>
      </c>
      <c r="T201" s="323">
        <f t="shared" ca="1" si="62"/>
        <v>2.6750000000000203</v>
      </c>
      <c r="U201" s="260">
        <f t="shared" ca="1" si="102"/>
        <v>1</v>
      </c>
      <c r="V201" s="260">
        <f t="shared" ca="1" si="87"/>
        <v>1</v>
      </c>
      <c r="W201" s="260">
        <f t="shared" ca="1" si="87"/>
        <v>1</v>
      </c>
      <c r="X201" s="260">
        <f t="shared" ca="1" si="87"/>
        <v>1</v>
      </c>
      <c r="Y201" s="260">
        <f t="shared" ca="1" si="87"/>
        <v>1</v>
      </c>
      <c r="Z201" s="260">
        <f t="shared" ca="1" si="87"/>
        <v>1</v>
      </c>
      <c r="AA201" s="260"/>
      <c r="AB201" s="257"/>
      <c r="AC201" s="260"/>
      <c r="AD201" s="257"/>
      <c r="AE201" s="257"/>
      <c r="AF201" s="257"/>
      <c r="AG201" s="257"/>
      <c r="AH201" s="257"/>
      <c r="AI201" s="257"/>
      <c r="AJ201" s="257"/>
    </row>
    <row r="202" spans="2:36" s="259" customFormat="1" x14ac:dyDescent="0.25">
      <c r="B202" s="258"/>
      <c r="C202" s="258"/>
      <c r="D202" s="266"/>
      <c r="E202" s="265"/>
      <c r="F202" s="265">
        <v>6</v>
      </c>
      <c r="G202" s="362">
        <f t="shared" si="118"/>
        <v>7.3000000000000123</v>
      </c>
      <c r="H202" s="362">
        <f t="shared" si="28"/>
        <v>12</v>
      </c>
      <c r="I202" s="362">
        <f t="shared" si="28"/>
        <v>5.0999999999999996</v>
      </c>
      <c r="J202" s="362">
        <f t="shared" ref="J202" si="121">J201</f>
        <v>5</v>
      </c>
      <c r="K202" s="362">
        <f t="shared" si="28"/>
        <v>4.9000000000000012</v>
      </c>
      <c r="L202" s="362">
        <f t="shared" si="117"/>
        <v>1.2</v>
      </c>
      <c r="M202" s="362">
        <f t="shared" si="80"/>
        <v>0</v>
      </c>
      <c r="N202" s="362">
        <f t="shared" si="81"/>
        <v>3.3</v>
      </c>
      <c r="O202" s="362">
        <f t="shared" si="82"/>
        <v>0</v>
      </c>
      <c r="P202" s="362">
        <f t="shared" si="83"/>
        <v>0</v>
      </c>
      <c r="Q202" s="362" t="s">
        <v>534</v>
      </c>
      <c r="R202" s="362">
        <f t="shared" ca="1" si="58"/>
        <v>4.8</v>
      </c>
      <c r="S202" s="362">
        <f t="shared" ca="1" si="59"/>
        <v>0</v>
      </c>
      <c r="T202" s="323">
        <f t="shared" ca="1" si="62"/>
        <v>2.7000000000000206</v>
      </c>
      <c r="U202" s="260">
        <f t="shared" ca="1" si="102"/>
        <v>1</v>
      </c>
      <c r="V202" s="260">
        <f t="shared" ca="1" si="87"/>
        <v>1</v>
      </c>
      <c r="W202" s="260">
        <f t="shared" ca="1" si="87"/>
        <v>1</v>
      </c>
      <c r="X202" s="260">
        <f t="shared" ca="1" si="87"/>
        <v>1</v>
      </c>
      <c r="Y202" s="260">
        <f t="shared" ca="1" si="87"/>
        <v>1</v>
      </c>
      <c r="Z202" s="260">
        <f t="shared" ca="1" si="87"/>
        <v>1</v>
      </c>
      <c r="AA202" s="260"/>
      <c r="AB202" s="257"/>
      <c r="AC202" s="260"/>
      <c r="AD202" s="257"/>
      <c r="AE202" s="257"/>
      <c r="AF202" s="257"/>
      <c r="AG202" s="257"/>
      <c r="AH202" s="257"/>
      <c r="AI202" s="257"/>
      <c r="AJ202" s="257"/>
    </row>
    <row r="203" spans="2:36" s="259" customFormat="1" x14ac:dyDescent="0.25">
      <c r="B203" s="258"/>
      <c r="C203" s="258"/>
      <c r="D203" s="266"/>
      <c r="E203" s="265"/>
      <c r="F203" s="265">
        <v>6</v>
      </c>
      <c r="G203" s="362">
        <f t="shared" si="118"/>
        <v>7.3250000000000126</v>
      </c>
      <c r="H203" s="362">
        <f t="shared" si="28"/>
        <v>12</v>
      </c>
      <c r="I203" s="362">
        <f t="shared" si="28"/>
        <v>5.0999999999999996</v>
      </c>
      <c r="J203" s="362">
        <f t="shared" ref="J203:K203" si="122">J202</f>
        <v>5</v>
      </c>
      <c r="K203" s="362">
        <f t="shared" si="122"/>
        <v>4.9000000000000012</v>
      </c>
      <c r="L203" s="362">
        <f t="shared" si="117"/>
        <v>1.2</v>
      </c>
      <c r="M203" s="362">
        <f t="shared" si="80"/>
        <v>0</v>
      </c>
      <c r="N203" s="362">
        <f t="shared" si="81"/>
        <v>3.3</v>
      </c>
      <c r="O203" s="362">
        <f t="shared" si="82"/>
        <v>0</v>
      </c>
      <c r="P203" s="362">
        <f t="shared" si="83"/>
        <v>0</v>
      </c>
      <c r="Q203" s="362" t="s">
        <v>534</v>
      </c>
      <c r="R203" s="362">
        <f t="shared" ca="1" si="58"/>
        <v>4.8</v>
      </c>
      <c r="S203" s="362">
        <f t="shared" ca="1" si="59"/>
        <v>0</v>
      </c>
      <c r="T203" s="323">
        <f t="shared" ca="1" si="62"/>
        <v>2.725000000000021</v>
      </c>
      <c r="U203" s="260">
        <f t="shared" ca="1" si="102"/>
        <v>1</v>
      </c>
      <c r="V203" s="260">
        <f t="shared" ca="1" si="87"/>
        <v>1</v>
      </c>
      <c r="W203" s="260">
        <f t="shared" ca="1" si="87"/>
        <v>1</v>
      </c>
      <c r="X203" s="260">
        <f t="shared" ca="1" si="87"/>
        <v>1</v>
      </c>
      <c r="Y203" s="260">
        <f t="shared" ca="1" si="87"/>
        <v>1</v>
      </c>
      <c r="Z203" s="260">
        <f t="shared" ca="1" si="87"/>
        <v>1</v>
      </c>
      <c r="AA203" s="260"/>
      <c r="AB203" s="257"/>
      <c r="AC203" s="260"/>
      <c r="AD203" s="257"/>
      <c r="AE203" s="257"/>
      <c r="AF203" s="257"/>
      <c r="AG203" s="257"/>
      <c r="AH203" s="257"/>
      <c r="AI203" s="257"/>
      <c r="AJ203" s="257"/>
    </row>
    <row r="204" spans="2:36" s="259" customFormat="1" x14ac:dyDescent="0.25">
      <c r="B204" s="258"/>
      <c r="C204" s="258"/>
      <c r="D204" s="266"/>
      <c r="E204" s="265"/>
      <c r="F204" s="265">
        <v>6</v>
      </c>
      <c r="G204" s="362">
        <f t="shared" si="118"/>
        <v>7.350000000000013</v>
      </c>
      <c r="H204" s="362">
        <f t="shared" si="28"/>
        <v>12</v>
      </c>
      <c r="I204" s="362">
        <f t="shared" si="28"/>
        <v>5.0999999999999996</v>
      </c>
      <c r="J204" s="362">
        <f t="shared" ref="J204:K204" si="123">J203</f>
        <v>5</v>
      </c>
      <c r="K204" s="362">
        <f t="shared" si="123"/>
        <v>4.9000000000000012</v>
      </c>
      <c r="L204" s="362">
        <f t="shared" si="117"/>
        <v>1.2</v>
      </c>
      <c r="M204" s="362">
        <f t="shared" si="80"/>
        <v>0</v>
      </c>
      <c r="N204" s="362">
        <f t="shared" si="81"/>
        <v>3.3</v>
      </c>
      <c r="O204" s="362">
        <f t="shared" si="82"/>
        <v>0</v>
      </c>
      <c r="P204" s="362">
        <f t="shared" si="83"/>
        <v>0</v>
      </c>
      <c r="Q204" s="362" t="s">
        <v>534</v>
      </c>
      <c r="R204" s="362">
        <f t="shared" ca="1" si="58"/>
        <v>4.8</v>
      </c>
      <c r="S204" s="362">
        <f t="shared" ca="1" si="59"/>
        <v>0</v>
      </c>
      <c r="T204" s="323">
        <f t="shared" ca="1" si="62"/>
        <v>2.7500000000000213</v>
      </c>
      <c r="U204" s="260">
        <f t="shared" ca="1" si="102"/>
        <v>1</v>
      </c>
      <c r="V204" s="260">
        <f t="shared" ca="1" si="87"/>
        <v>1</v>
      </c>
      <c r="W204" s="260">
        <f t="shared" ca="1" si="87"/>
        <v>1</v>
      </c>
      <c r="X204" s="260">
        <f t="shared" ca="1" si="87"/>
        <v>1</v>
      </c>
      <c r="Y204" s="260">
        <f t="shared" ca="1" si="87"/>
        <v>1</v>
      </c>
      <c r="Z204" s="260">
        <f t="shared" ca="1" si="87"/>
        <v>1</v>
      </c>
      <c r="AA204" s="260"/>
      <c r="AB204" s="257"/>
      <c r="AC204" s="260"/>
      <c r="AD204" s="257"/>
      <c r="AE204" s="257"/>
      <c r="AF204" s="257"/>
      <c r="AG204" s="257"/>
      <c r="AH204" s="257"/>
      <c r="AI204" s="257"/>
      <c r="AJ204" s="257"/>
    </row>
    <row r="205" spans="2:36" s="259" customFormat="1" x14ac:dyDescent="0.25">
      <c r="B205" s="258"/>
      <c r="C205" s="258"/>
      <c r="D205" s="266"/>
      <c r="E205" s="267"/>
      <c r="F205" s="265">
        <v>7</v>
      </c>
      <c r="G205" s="362">
        <f t="shared" si="118"/>
        <v>7.3750000000000133</v>
      </c>
      <c r="H205" s="362">
        <f t="shared" ref="H205:Q251" si="124">H204</f>
        <v>12</v>
      </c>
      <c r="I205" s="362">
        <f t="shared" si="124"/>
        <v>5.0999999999999996</v>
      </c>
      <c r="J205" s="362">
        <f t="shared" si="124"/>
        <v>5</v>
      </c>
      <c r="K205" s="362">
        <f t="shared" si="124"/>
        <v>4.9000000000000012</v>
      </c>
      <c r="L205" s="362">
        <f t="shared" si="117"/>
        <v>1.2</v>
      </c>
      <c r="M205" s="362">
        <f t="shared" si="80"/>
        <v>0</v>
      </c>
      <c r="N205" s="362">
        <f t="shared" si="81"/>
        <v>3.3</v>
      </c>
      <c r="O205" s="362">
        <f t="shared" si="82"/>
        <v>0</v>
      </c>
      <c r="P205" s="362">
        <f t="shared" si="83"/>
        <v>0</v>
      </c>
      <c r="Q205" s="362" t="str">
        <f t="shared" si="124"/>
        <v>DONE</v>
      </c>
      <c r="R205" s="362">
        <f t="shared" ca="1" si="58"/>
        <v>4.8</v>
      </c>
      <c r="S205" s="362">
        <f t="shared" ca="1" si="59"/>
        <v>0</v>
      </c>
      <c r="T205" s="323">
        <f t="shared" ca="1" si="62"/>
        <v>2.7750000000000217</v>
      </c>
      <c r="U205" s="260">
        <f t="shared" ca="1" si="102"/>
        <v>1</v>
      </c>
      <c r="V205" s="260">
        <f t="shared" ca="1" si="87"/>
        <v>1</v>
      </c>
      <c r="W205" s="260">
        <f t="shared" ca="1" si="87"/>
        <v>1</v>
      </c>
      <c r="X205" s="260">
        <f t="shared" ca="1" si="87"/>
        <v>1</v>
      </c>
      <c r="Y205" s="260">
        <f t="shared" ca="1" si="87"/>
        <v>1</v>
      </c>
      <c r="Z205" s="260">
        <f t="shared" ca="1" si="87"/>
        <v>1</v>
      </c>
      <c r="AA205" s="260"/>
      <c r="AB205" s="257"/>
      <c r="AC205" s="260"/>
      <c r="AD205" s="257"/>
      <c r="AE205" s="257"/>
      <c r="AF205" s="257"/>
      <c r="AG205" s="257"/>
      <c r="AH205" s="257"/>
      <c r="AI205" s="257"/>
      <c r="AJ205" s="257"/>
    </row>
    <row r="206" spans="2:36" s="259" customFormat="1" x14ac:dyDescent="0.25">
      <c r="B206" s="258"/>
      <c r="C206" s="258"/>
      <c r="D206" s="266"/>
      <c r="E206" s="265"/>
      <c r="F206" s="265">
        <v>7</v>
      </c>
      <c r="G206" s="362">
        <f t="shared" si="118"/>
        <v>7.4000000000000137</v>
      </c>
      <c r="H206" s="362">
        <f t="shared" si="124"/>
        <v>12</v>
      </c>
      <c r="I206" s="362">
        <f t="shared" si="124"/>
        <v>5.0999999999999996</v>
      </c>
      <c r="J206" s="362">
        <f t="shared" si="124"/>
        <v>5</v>
      </c>
      <c r="K206" s="362">
        <f t="shared" si="124"/>
        <v>4.9000000000000012</v>
      </c>
      <c r="L206" s="362">
        <f t="shared" si="117"/>
        <v>1.2</v>
      </c>
      <c r="M206" s="362">
        <f t="shared" si="80"/>
        <v>0</v>
      </c>
      <c r="N206" s="362">
        <f t="shared" si="81"/>
        <v>3.3</v>
      </c>
      <c r="O206" s="362">
        <f t="shared" si="82"/>
        <v>0</v>
      </c>
      <c r="P206" s="362">
        <f t="shared" si="83"/>
        <v>0</v>
      </c>
      <c r="Q206" s="362" t="s">
        <v>534</v>
      </c>
      <c r="R206" s="362">
        <f t="shared" ca="1" si="58"/>
        <v>4.8</v>
      </c>
      <c r="S206" s="362">
        <f t="shared" ca="1" si="59"/>
        <v>0</v>
      </c>
      <c r="T206" s="323">
        <f t="shared" ca="1" si="62"/>
        <v>2.800000000000022</v>
      </c>
      <c r="U206" s="260">
        <f t="shared" ca="1" si="102"/>
        <v>1</v>
      </c>
      <c r="V206" s="260">
        <f t="shared" ca="1" si="87"/>
        <v>1</v>
      </c>
      <c r="W206" s="260">
        <f t="shared" ca="1" si="87"/>
        <v>1</v>
      </c>
      <c r="X206" s="260">
        <f t="shared" ca="1" si="87"/>
        <v>1</v>
      </c>
      <c r="Y206" s="260">
        <f t="shared" ca="1" si="87"/>
        <v>1</v>
      </c>
      <c r="Z206" s="260">
        <f t="shared" ca="1" si="87"/>
        <v>1</v>
      </c>
      <c r="AA206" s="260"/>
      <c r="AB206" s="257"/>
      <c r="AC206" s="260"/>
      <c r="AD206" s="257"/>
      <c r="AE206" s="257"/>
      <c r="AF206" s="257"/>
      <c r="AG206" s="257"/>
      <c r="AH206" s="257"/>
      <c r="AI206" s="257"/>
      <c r="AJ206" s="257"/>
    </row>
    <row r="207" spans="2:36" s="259" customFormat="1" x14ac:dyDescent="0.25">
      <c r="B207" s="258"/>
      <c r="C207" s="258"/>
      <c r="D207" s="266"/>
      <c r="E207" s="265"/>
      <c r="F207" s="265">
        <v>7</v>
      </c>
      <c r="G207" s="362">
        <f t="shared" si="118"/>
        <v>7.425000000000014</v>
      </c>
      <c r="H207" s="362">
        <f t="shared" si="124"/>
        <v>12</v>
      </c>
      <c r="I207" s="362">
        <f t="shared" si="124"/>
        <v>5.0999999999999996</v>
      </c>
      <c r="J207" s="362">
        <f t="shared" si="124"/>
        <v>5</v>
      </c>
      <c r="K207" s="362">
        <f t="shared" si="124"/>
        <v>4.9000000000000012</v>
      </c>
      <c r="L207" s="362">
        <f t="shared" si="117"/>
        <v>1.2</v>
      </c>
      <c r="M207" s="362">
        <f t="shared" si="80"/>
        <v>0</v>
      </c>
      <c r="N207" s="362">
        <f t="shared" si="81"/>
        <v>3.3</v>
      </c>
      <c r="O207" s="362">
        <f t="shared" si="82"/>
        <v>0</v>
      </c>
      <c r="P207" s="362">
        <f t="shared" si="83"/>
        <v>0</v>
      </c>
      <c r="Q207" s="362" t="s">
        <v>534</v>
      </c>
      <c r="R207" s="362">
        <f t="shared" ca="1" si="58"/>
        <v>4.8</v>
      </c>
      <c r="S207" s="362">
        <f t="shared" ca="1" si="59"/>
        <v>0</v>
      </c>
      <c r="T207" s="323">
        <f t="shared" ca="1" si="62"/>
        <v>2.8250000000000224</v>
      </c>
      <c r="U207" s="260">
        <f t="shared" ca="1" si="102"/>
        <v>1</v>
      </c>
      <c r="V207" s="260">
        <f t="shared" ca="1" si="87"/>
        <v>1</v>
      </c>
      <c r="W207" s="260">
        <f t="shared" ca="1" si="87"/>
        <v>1</v>
      </c>
      <c r="X207" s="260">
        <f t="shared" ca="1" si="87"/>
        <v>1</v>
      </c>
      <c r="Y207" s="260">
        <f t="shared" ca="1" si="87"/>
        <v>1</v>
      </c>
      <c r="Z207" s="260">
        <f t="shared" ca="1" si="87"/>
        <v>1</v>
      </c>
      <c r="AA207" s="260"/>
      <c r="AB207" s="257"/>
      <c r="AC207" s="260"/>
      <c r="AD207" s="257"/>
      <c r="AE207" s="257"/>
      <c r="AF207" s="257"/>
      <c r="AG207" s="257"/>
      <c r="AH207" s="257"/>
      <c r="AI207" s="257"/>
      <c r="AJ207" s="257"/>
    </row>
    <row r="208" spans="2:36" s="259" customFormat="1" x14ac:dyDescent="0.25">
      <c r="B208" s="258"/>
      <c r="C208" s="258"/>
      <c r="D208" s="266"/>
      <c r="E208" s="265"/>
      <c r="F208" s="265">
        <v>7</v>
      </c>
      <c r="G208" s="362">
        <f t="shared" si="118"/>
        <v>7.4500000000000144</v>
      </c>
      <c r="H208" s="362">
        <f t="shared" si="124"/>
        <v>12</v>
      </c>
      <c r="I208" s="362">
        <f t="shared" si="124"/>
        <v>5.0999999999999996</v>
      </c>
      <c r="J208" s="362">
        <f t="shared" si="124"/>
        <v>5</v>
      </c>
      <c r="K208" s="362">
        <f t="shared" si="124"/>
        <v>4.9000000000000012</v>
      </c>
      <c r="L208" s="362">
        <f t="shared" si="117"/>
        <v>1.2</v>
      </c>
      <c r="M208" s="362">
        <f t="shared" si="80"/>
        <v>0</v>
      </c>
      <c r="N208" s="362">
        <f t="shared" si="81"/>
        <v>3.3</v>
      </c>
      <c r="O208" s="362">
        <f t="shared" si="82"/>
        <v>0</v>
      </c>
      <c r="P208" s="362">
        <f t="shared" si="83"/>
        <v>0</v>
      </c>
      <c r="Q208" s="362" t="s">
        <v>534</v>
      </c>
      <c r="R208" s="362">
        <f t="shared" ca="1" si="58"/>
        <v>4.8</v>
      </c>
      <c r="S208" s="362">
        <f t="shared" ca="1" si="59"/>
        <v>0</v>
      </c>
      <c r="T208" s="323">
        <f t="shared" ca="1" si="62"/>
        <v>2.8500000000000227</v>
      </c>
      <c r="U208" s="260">
        <f t="shared" ca="1" si="102"/>
        <v>1</v>
      </c>
      <c r="V208" s="260">
        <f t="shared" ca="1" si="87"/>
        <v>1</v>
      </c>
      <c r="W208" s="260">
        <f t="shared" ca="1" si="87"/>
        <v>1</v>
      </c>
      <c r="X208" s="260">
        <f t="shared" ca="1" si="87"/>
        <v>1</v>
      </c>
      <c r="Y208" s="260">
        <f t="shared" ca="1" si="87"/>
        <v>1</v>
      </c>
      <c r="Z208" s="260">
        <f t="shared" ca="1" si="87"/>
        <v>1</v>
      </c>
      <c r="AA208" s="260"/>
      <c r="AB208" s="257"/>
      <c r="AC208" s="260"/>
      <c r="AD208" s="257"/>
      <c r="AE208" s="257"/>
      <c r="AF208" s="257"/>
      <c r="AG208" s="257"/>
      <c r="AH208" s="257"/>
      <c r="AI208" s="257"/>
      <c r="AJ208" s="257"/>
    </row>
    <row r="209" spans="4:26" x14ac:dyDescent="0.25">
      <c r="D209" s="271"/>
      <c r="E209" s="272"/>
      <c r="F209" s="95">
        <v>7</v>
      </c>
      <c r="G209" s="362">
        <f t="shared" si="118"/>
        <v>7.4750000000000147</v>
      </c>
      <c r="H209" s="362">
        <f t="shared" si="124"/>
        <v>12</v>
      </c>
      <c r="I209" s="362">
        <f t="shared" si="124"/>
        <v>5.0999999999999996</v>
      </c>
      <c r="J209" s="362">
        <f t="shared" si="124"/>
        <v>5</v>
      </c>
      <c r="K209" s="362">
        <f t="shared" si="124"/>
        <v>4.9000000000000012</v>
      </c>
      <c r="L209" s="362">
        <f t="shared" si="117"/>
        <v>1.2</v>
      </c>
      <c r="M209" s="362">
        <f t="shared" si="80"/>
        <v>0</v>
      </c>
      <c r="N209" s="362">
        <f t="shared" si="81"/>
        <v>3.3</v>
      </c>
      <c r="O209" s="362">
        <f t="shared" si="82"/>
        <v>0</v>
      </c>
      <c r="P209" s="362">
        <f t="shared" si="83"/>
        <v>0</v>
      </c>
      <c r="Q209" s="362" t="s">
        <v>534</v>
      </c>
      <c r="R209" s="362">
        <f t="shared" ca="1" si="58"/>
        <v>4.8</v>
      </c>
      <c r="S209" s="362">
        <f t="shared" ca="1" si="59"/>
        <v>0</v>
      </c>
      <c r="T209" s="323">
        <f t="shared" ca="1" si="62"/>
        <v>2.8750000000000231</v>
      </c>
      <c r="U209" s="260">
        <f t="shared" ca="1" si="102"/>
        <v>1</v>
      </c>
      <c r="V209" s="260">
        <f t="shared" ca="1" si="87"/>
        <v>1</v>
      </c>
      <c r="W209" s="260">
        <f t="shared" ca="1" si="87"/>
        <v>1</v>
      </c>
      <c r="X209" s="260">
        <f t="shared" ca="1" si="87"/>
        <v>1</v>
      </c>
      <c r="Y209" s="260">
        <f t="shared" ca="1" si="87"/>
        <v>1</v>
      </c>
      <c r="Z209" s="260">
        <f t="shared" ca="1" si="87"/>
        <v>1</v>
      </c>
    </row>
    <row r="210" spans="4:26" x14ac:dyDescent="0.25">
      <c r="D210" s="271"/>
      <c r="E210" s="95"/>
      <c r="F210" s="95">
        <v>7</v>
      </c>
      <c r="G210" s="362">
        <f t="shared" si="118"/>
        <v>7.5000000000000151</v>
      </c>
      <c r="H210" s="362">
        <f t="shared" si="124"/>
        <v>12</v>
      </c>
      <c r="I210" s="362">
        <f t="shared" si="124"/>
        <v>5.0999999999999996</v>
      </c>
      <c r="J210" s="362">
        <f t="shared" si="124"/>
        <v>5</v>
      </c>
      <c r="K210" s="362">
        <f t="shared" si="124"/>
        <v>4.9000000000000012</v>
      </c>
      <c r="L210" s="362">
        <f t="shared" si="117"/>
        <v>1.2</v>
      </c>
      <c r="M210" s="362">
        <f t="shared" si="80"/>
        <v>0</v>
      </c>
      <c r="N210" s="362">
        <f t="shared" si="81"/>
        <v>3.3</v>
      </c>
      <c r="O210" s="362">
        <f t="shared" si="82"/>
        <v>0</v>
      </c>
      <c r="P210" s="362">
        <f t="shared" si="83"/>
        <v>0</v>
      </c>
      <c r="Q210" s="362" t="s">
        <v>534</v>
      </c>
      <c r="R210" s="362">
        <f t="shared" ca="1" si="58"/>
        <v>4.8</v>
      </c>
      <c r="S210" s="362">
        <f t="shared" ca="1" si="59"/>
        <v>0</v>
      </c>
      <c r="T210" s="323">
        <f t="shared" ca="1" si="62"/>
        <v>2.9000000000000234</v>
      </c>
      <c r="U210" s="260">
        <f t="shared" ca="1" si="102"/>
        <v>1</v>
      </c>
      <c r="V210" s="260">
        <f t="shared" ca="1" si="87"/>
        <v>1</v>
      </c>
      <c r="W210" s="260">
        <f t="shared" ca="1" si="87"/>
        <v>1</v>
      </c>
      <c r="X210" s="260">
        <f t="shared" ca="1" si="87"/>
        <v>1</v>
      </c>
      <c r="Y210" s="260">
        <f t="shared" ca="1" si="87"/>
        <v>1</v>
      </c>
      <c r="Z210" s="260">
        <f t="shared" ca="1" si="87"/>
        <v>1</v>
      </c>
    </row>
    <row r="211" spans="4:26" x14ac:dyDescent="0.25">
      <c r="D211" s="271"/>
      <c r="E211" s="95"/>
      <c r="F211" s="95">
        <v>7</v>
      </c>
      <c r="G211" s="362">
        <f t="shared" si="118"/>
        <v>7.5250000000000155</v>
      </c>
      <c r="H211" s="362">
        <f t="shared" si="124"/>
        <v>12</v>
      </c>
      <c r="I211" s="362">
        <f t="shared" si="124"/>
        <v>5.0999999999999996</v>
      </c>
      <c r="J211" s="362">
        <f t="shared" si="124"/>
        <v>5</v>
      </c>
      <c r="K211" s="362">
        <f t="shared" si="124"/>
        <v>4.9000000000000012</v>
      </c>
      <c r="L211" s="362">
        <f t="shared" si="117"/>
        <v>1.2</v>
      </c>
      <c r="M211" s="362">
        <f t="shared" si="80"/>
        <v>0</v>
      </c>
      <c r="N211" s="362">
        <f t="shared" si="81"/>
        <v>3.3</v>
      </c>
      <c r="O211" s="362">
        <f t="shared" si="82"/>
        <v>0</v>
      </c>
      <c r="P211" s="362">
        <f t="shared" si="83"/>
        <v>0</v>
      </c>
      <c r="Q211" s="362" t="s">
        <v>534</v>
      </c>
      <c r="R211" s="362">
        <f t="shared" ca="1" si="58"/>
        <v>4.8</v>
      </c>
      <c r="S211" s="362">
        <f t="shared" ca="1" si="59"/>
        <v>0</v>
      </c>
      <c r="T211" s="323">
        <f t="shared" ca="1" si="62"/>
        <v>2.9250000000000238</v>
      </c>
      <c r="U211" s="260">
        <f t="shared" ca="1" si="102"/>
        <v>1</v>
      </c>
      <c r="V211" s="260">
        <f t="shared" ca="1" si="87"/>
        <v>1</v>
      </c>
      <c r="W211" s="260">
        <f t="shared" ca="1" si="87"/>
        <v>1</v>
      </c>
      <c r="X211" s="260">
        <f t="shared" ca="1" si="87"/>
        <v>1</v>
      </c>
      <c r="Y211" s="260">
        <f t="shared" ca="1" si="87"/>
        <v>1</v>
      </c>
      <c r="Z211" s="260">
        <f t="shared" ca="1" si="87"/>
        <v>1</v>
      </c>
    </row>
    <row r="212" spans="4:26" x14ac:dyDescent="0.25">
      <c r="D212" s="271"/>
      <c r="E212" s="95"/>
      <c r="F212" s="95">
        <v>7</v>
      </c>
      <c r="G212" s="362">
        <f t="shared" si="118"/>
        <v>7.5500000000000158</v>
      </c>
      <c r="H212" s="362">
        <f t="shared" si="124"/>
        <v>12</v>
      </c>
      <c r="I212" s="362">
        <f t="shared" si="124"/>
        <v>5.0999999999999996</v>
      </c>
      <c r="J212" s="362">
        <f t="shared" si="124"/>
        <v>5</v>
      </c>
      <c r="K212" s="362">
        <f t="shared" si="124"/>
        <v>4.9000000000000012</v>
      </c>
      <c r="L212" s="362">
        <f t="shared" si="117"/>
        <v>1.2</v>
      </c>
      <c r="M212" s="362">
        <f t="shared" si="80"/>
        <v>0</v>
      </c>
      <c r="N212" s="362">
        <f t="shared" si="81"/>
        <v>3.3</v>
      </c>
      <c r="O212" s="362">
        <f t="shared" si="82"/>
        <v>0</v>
      </c>
      <c r="P212" s="362">
        <f t="shared" si="83"/>
        <v>0</v>
      </c>
      <c r="Q212" s="362" t="s">
        <v>534</v>
      </c>
      <c r="R212" s="362">
        <f t="shared" ca="1" si="58"/>
        <v>4.8</v>
      </c>
      <c r="S212" s="362">
        <f t="shared" ca="1" si="59"/>
        <v>0</v>
      </c>
      <c r="T212" s="323">
        <f t="shared" ca="1" si="62"/>
        <v>2.9500000000000242</v>
      </c>
      <c r="U212" s="260">
        <f t="shared" ca="1" si="102"/>
        <v>1</v>
      </c>
      <c r="V212" s="260">
        <f t="shared" ca="1" si="87"/>
        <v>1</v>
      </c>
      <c r="W212" s="260">
        <f t="shared" ca="1" si="87"/>
        <v>1</v>
      </c>
      <c r="X212" s="260">
        <f t="shared" ca="1" si="87"/>
        <v>1</v>
      </c>
      <c r="Y212" s="260">
        <f t="shared" ca="1" si="87"/>
        <v>1</v>
      </c>
      <c r="Z212" s="260">
        <f t="shared" ca="1" si="87"/>
        <v>1</v>
      </c>
    </row>
    <row r="213" spans="4:26" x14ac:dyDescent="0.25">
      <c r="D213" s="271"/>
      <c r="E213" s="95"/>
      <c r="F213" s="95">
        <v>7</v>
      </c>
      <c r="G213" s="362">
        <f t="shared" si="118"/>
        <v>7.5750000000000162</v>
      </c>
      <c r="H213" s="362">
        <f t="shared" si="124"/>
        <v>12</v>
      </c>
      <c r="I213" s="362">
        <f t="shared" si="124"/>
        <v>5.0999999999999996</v>
      </c>
      <c r="J213" s="362">
        <f t="shared" si="124"/>
        <v>5</v>
      </c>
      <c r="K213" s="362">
        <f t="shared" ref="K213" si="125">K212</f>
        <v>4.9000000000000012</v>
      </c>
      <c r="L213" s="362">
        <f t="shared" si="117"/>
        <v>1.2</v>
      </c>
      <c r="M213" s="362">
        <f t="shared" si="80"/>
        <v>0</v>
      </c>
      <c r="N213" s="362">
        <f t="shared" si="81"/>
        <v>3.3</v>
      </c>
      <c r="O213" s="362">
        <f t="shared" si="82"/>
        <v>0</v>
      </c>
      <c r="P213" s="362">
        <f t="shared" si="83"/>
        <v>0</v>
      </c>
      <c r="Q213" s="362" t="s">
        <v>534</v>
      </c>
      <c r="R213" s="362">
        <f t="shared" ca="1" si="58"/>
        <v>4.8</v>
      </c>
      <c r="S213" s="362">
        <f t="shared" ca="1" si="59"/>
        <v>0</v>
      </c>
      <c r="T213" s="323">
        <f t="shared" ca="1" si="62"/>
        <v>2.9750000000000245</v>
      </c>
      <c r="U213" s="260">
        <f t="shared" ca="1" si="102"/>
        <v>1</v>
      </c>
      <c r="V213" s="260">
        <f t="shared" ca="1" si="87"/>
        <v>1</v>
      </c>
      <c r="W213" s="260">
        <f t="shared" ca="1" si="87"/>
        <v>1</v>
      </c>
      <c r="X213" s="260">
        <f t="shared" ca="1" si="87"/>
        <v>1</v>
      </c>
      <c r="Y213" s="260">
        <f t="shared" ca="1" si="87"/>
        <v>1</v>
      </c>
      <c r="Z213" s="260">
        <f t="shared" ca="1" si="87"/>
        <v>1</v>
      </c>
    </row>
    <row r="214" spans="4:26" x14ac:dyDescent="0.25">
      <c r="D214" s="271"/>
      <c r="E214" s="95"/>
      <c r="F214" s="95">
        <v>7</v>
      </c>
      <c r="G214" s="362">
        <f t="shared" si="118"/>
        <v>7.6000000000000165</v>
      </c>
      <c r="H214" s="362">
        <f t="shared" si="124"/>
        <v>12</v>
      </c>
      <c r="I214" s="362">
        <f t="shared" si="124"/>
        <v>5.0999999999999996</v>
      </c>
      <c r="J214" s="362">
        <f t="shared" si="124"/>
        <v>5</v>
      </c>
      <c r="K214" s="362">
        <f t="shared" ref="K214" si="126">K213</f>
        <v>4.9000000000000012</v>
      </c>
      <c r="L214" s="362">
        <f t="shared" si="117"/>
        <v>1.2</v>
      </c>
      <c r="M214" s="362">
        <f t="shared" si="80"/>
        <v>0</v>
      </c>
      <c r="N214" s="362">
        <f t="shared" si="81"/>
        <v>3.3</v>
      </c>
      <c r="O214" s="362">
        <f t="shared" si="82"/>
        <v>0</v>
      </c>
      <c r="P214" s="362">
        <f t="shared" si="83"/>
        <v>0</v>
      </c>
      <c r="Q214" s="362" t="s">
        <v>534</v>
      </c>
      <c r="R214" s="362">
        <f t="shared" ref="R214:R277" ca="1" si="127">IF(T214&gt;0.2+$AF$12/6+$H$1,vRST,0)</f>
        <v>4.8</v>
      </c>
      <c r="S214" s="362">
        <f t="shared" ref="S214:S277" ca="1" si="128">IF(AND(T214&gt;0,T214&lt;0.2+$AF$12/6),vABIST,0)</f>
        <v>0</v>
      </c>
      <c r="T214" s="323">
        <f t="shared" ca="1" si="62"/>
        <v>3.0000000000000249</v>
      </c>
      <c r="U214" s="260">
        <f t="shared" ca="1" si="102"/>
        <v>1</v>
      </c>
      <c r="V214" s="260">
        <f t="shared" ca="1" si="87"/>
        <v>1</v>
      </c>
      <c r="W214" s="260">
        <f t="shared" ca="1" si="87"/>
        <v>1</v>
      </c>
      <c r="X214" s="260">
        <f t="shared" ca="1" si="87"/>
        <v>1</v>
      </c>
      <c r="Y214" s="260">
        <f t="shared" ca="1" si="87"/>
        <v>1</v>
      </c>
      <c r="Z214" s="260">
        <f t="shared" ca="1" si="87"/>
        <v>1</v>
      </c>
    </row>
    <row r="215" spans="4:26" x14ac:dyDescent="0.25">
      <c r="D215" s="271"/>
      <c r="E215" s="95"/>
      <c r="F215" s="95">
        <v>8</v>
      </c>
      <c r="G215" s="362">
        <f t="shared" si="118"/>
        <v>7.6250000000000169</v>
      </c>
      <c r="H215" s="362">
        <f t="shared" si="124"/>
        <v>12</v>
      </c>
      <c r="I215" s="362">
        <f t="shared" si="124"/>
        <v>5.0999999999999996</v>
      </c>
      <c r="J215" s="362">
        <f t="shared" si="124"/>
        <v>5</v>
      </c>
      <c r="K215" s="362">
        <f t="shared" ref="K215" si="129">K214</f>
        <v>4.9000000000000012</v>
      </c>
      <c r="L215" s="362">
        <f t="shared" si="117"/>
        <v>1.2</v>
      </c>
      <c r="M215" s="362">
        <f t="shared" si="80"/>
        <v>0</v>
      </c>
      <c r="N215" s="362">
        <f t="shared" si="81"/>
        <v>3.3</v>
      </c>
      <c r="O215" s="362">
        <f t="shared" si="82"/>
        <v>0</v>
      </c>
      <c r="P215" s="362">
        <f t="shared" si="83"/>
        <v>0</v>
      </c>
      <c r="Q215" s="362" t="s">
        <v>534</v>
      </c>
      <c r="R215" s="362">
        <f t="shared" ca="1" si="127"/>
        <v>4.8</v>
      </c>
      <c r="S215" s="362">
        <f t="shared" ca="1" si="128"/>
        <v>0</v>
      </c>
      <c r="T215" s="323">
        <f t="shared" ca="1" si="62"/>
        <v>3.0250000000000252</v>
      </c>
      <c r="U215" s="260">
        <f t="shared" ca="1" si="102"/>
        <v>1</v>
      </c>
      <c r="V215" s="260">
        <f t="shared" ca="1" si="87"/>
        <v>1</v>
      </c>
      <c r="W215" s="260">
        <f t="shared" ca="1" si="87"/>
        <v>1</v>
      </c>
      <c r="X215" s="260">
        <f t="shared" ca="1" si="87"/>
        <v>1</v>
      </c>
      <c r="Y215" s="260">
        <f t="shared" ca="1" si="87"/>
        <v>1</v>
      </c>
      <c r="Z215" s="260">
        <f t="shared" ca="1" si="87"/>
        <v>1</v>
      </c>
    </row>
    <row r="216" spans="4:26" x14ac:dyDescent="0.25">
      <c r="D216" s="271"/>
      <c r="E216" s="95"/>
      <c r="F216" s="95">
        <v>8</v>
      </c>
      <c r="G216" s="362">
        <f t="shared" si="118"/>
        <v>7.6500000000000172</v>
      </c>
      <c r="H216" s="362">
        <f t="shared" si="124"/>
        <v>12</v>
      </c>
      <c r="I216" s="362">
        <f t="shared" si="124"/>
        <v>5.0999999999999996</v>
      </c>
      <c r="J216" s="362">
        <f t="shared" si="124"/>
        <v>5</v>
      </c>
      <c r="K216" s="362">
        <f t="shared" ref="K216" si="130">K215</f>
        <v>4.9000000000000012</v>
      </c>
      <c r="L216" s="362">
        <f t="shared" si="117"/>
        <v>1.2</v>
      </c>
      <c r="M216" s="362">
        <f t="shared" si="80"/>
        <v>0</v>
      </c>
      <c r="N216" s="362">
        <f t="shared" si="81"/>
        <v>3.3</v>
      </c>
      <c r="O216" s="362">
        <f t="shared" si="82"/>
        <v>0</v>
      </c>
      <c r="P216" s="362">
        <f t="shared" si="83"/>
        <v>0</v>
      </c>
      <c r="Q216" s="362" t="s">
        <v>534</v>
      </c>
      <c r="R216" s="362">
        <f t="shared" ca="1" si="127"/>
        <v>4.8</v>
      </c>
      <c r="S216" s="362">
        <f t="shared" ca="1" si="128"/>
        <v>0</v>
      </c>
      <c r="T216" s="323">
        <f t="shared" ref="T216:T279" ca="1" si="131">T215+IF(INT(AND(U216:Z216,Q215="DONE"))=0,0,G216-G215)</f>
        <v>3.0500000000000256</v>
      </c>
      <c r="U216" s="260">
        <f t="shared" ca="1" si="102"/>
        <v>1</v>
      </c>
      <c r="V216" s="260">
        <f t="shared" ca="1" si="87"/>
        <v>1</v>
      </c>
      <c r="W216" s="260">
        <f t="shared" ca="1" si="87"/>
        <v>1</v>
      </c>
      <c r="X216" s="260">
        <f t="shared" ca="1" si="87"/>
        <v>1</v>
      </c>
      <c r="Y216" s="260">
        <f t="shared" ca="1" si="87"/>
        <v>1</v>
      </c>
      <c r="Z216" s="260">
        <f t="shared" ca="1" si="87"/>
        <v>1</v>
      </c>
    </row>
    <row r="217" spans="4:26" x14ac:dyDescent="0.25">
      <c r="D217" s="271"/>
      <c r="E217" s="95"/>
      <c r="F217" s="95">
        <v>8</v>
      </c>
      <c r="G217" s="362">
        <f t="shared" si="118"/>
        <v>7.6750000000000176</v>
      </c>
      <c r="H217" s="362">
        <f t="shared" si="124"/>
        <v>12</v>
      </c>
      <c r="I217" s="362">
        <f t="shared" si="124"/>
        <v>5.0999999999999996</v>
      </c>
      <c r="J217" s="362">
        <f t="shared" si="124"/>
        <v>5</v>
      </c>
      <c r="K217" s="362">
        <f t="shared" ref="K217" si="132">K216</f>
        <v>4.9000000000000012</v>
      </c>
      <c r="L217" s="362">
        <f t="shared" si="117"/>
        <v>1.2</v>
      </c>
      <c r="M217" s="362">
        <f t="shared" si="80"/>
        <v>0</v>
      </c>
      <c r="N217" s="362">
        <f t="shared" si="81"/>
        <v>3.3</v>
      </c>
      <c r="O217" s="362">
        <f t="shared" si="82"/>
        <v>0</v>
      </c>
      <c r="P217" s="362">
        <f t="shared" si="83"/>
        <v>0</v>
      </c>
      <c r="Q217" s="362" t="s">
        <v>534</v>
      </c>
      <c r="R217" s="362">
        <f t="shared" ca="1" si="127"/>
        <v>4.8</v>
      </c>
      <c r="S217" s="362">
        <f t="shared" ca="1" si="128"/>
        <v>0</v>
      </c>
      <c r="T217" s="323">
        <f t="shared" ca="1" si="131"/>
        <v>3.0750000000000259</v>
      </c>
      <c r="U217" s="260">
        <f t="shared" ca="1" si="102"/>
        <v>1</v>
      </c>
      <c r="V217" s="260">
        <f t="shared" ca="1" si="87"/>
        <v>1</v>
      </c>
      <c r="W217" s="260">
        <f t="shared" ca="1" si="87"/>
        <v>1</v>
      </c>
      <c r="X217" s="260">
        <f t="shared" ca="1" si="87"/>
        <v>1</v>
      </c>
      <c r="Y217" s="260">
        <f t="shared" ca="1" si="87"/>
        <v>1</v>
      </c>
      <c r="Z217" s="260">
        <f t="shared" ca="1" si="87"/>
        <v>1</v>
      </c>
    </row>
    <row r="218" spans="4:26" x14ac:dyDescent="0.25">
      <c r="D218" s="271"/>
      <c r="E218" s="95"/>
      <c r="F218" s="95">
        <v>8</v>
      </c>
      <c r="G218" s="362">
        <f t="shared" si="118"/>
        <v>7.7000000000000179</v>
      </c>
      <c r="H218" s="362">
        <f t="shared" si="124"/>
        <v>12</v>
      </c>
      <c r="I218" s="362">
        <f t="shared" si="124"/>
        <v>5.0999999999999996</v>
      </c>
      <c r="J218" s="362">
        <f t="shared" si="124"/>
        <v>5</v>
      </c>
      <c r="K218" s="362">
        <f t="shared" ref="K218" si="133">K217</f>
        <v>4.9000000000000012</v>
      </c>
      <c r="L218" s="362">
        <f t="shared" si="117"/>
        <v>1.2</v>
      </c>
      <c r="M218" s="362">
        <f t="shared" si="80"/>
        <v>0</v>
      </c>
      <c r="N218" s="362">
        <f t="shared" si="81"/>
        <v>3.3</v>
      </c>
      <c r="O218" s="362">
        <f t="shared" si="82"/>
        <v>0</v>
      </c>
      <c r="P218" s="362">
        <f t="shared" si="83"/>
        <v>0</v>
      </c>
      <c r="Q218" s="362" t="s">
        <v>534</v>
      </c>
      <c r="R218" s="362">
        <f t="shared" ca="1" si="127"/>
        <v>4.8</v>
      </c>
      <c r="S218" s="362">
        <f t="shared" ca="1" si="128"/>
        <v>0</v>
      </c>
      <c r="T218" s="323">
        <f t="shared" ca="1" si="131"/>
        <v>3.1000000000000263</v>
      </c>
      <c r="U218" s="260">
        <f t="shared" ca="1" si="102"/>
        <v>1</v>
      </c>
      <c r="V218" s="260">
        <f t="shared" ca="1" si="87"/>
        <v>1</v>
      </c>
      <c r="W218" s="260">
        <f t="shared" ca="1" si="87"/>
        <v>1</v>
      </c>
      <c r="X218" s="260">
        <f t="shared" ca="1" si="87"/>
        <v>1</v>
      </c>
      <c r="Y218" s="260">
        <f t="shared" ca="1" si="87"/>
        <v>1</v>
      </c>
      <c r="Z218" s="260">
        <f t="shared" ca="1" si="87"/>
        <v>1</v>
      </c>
    </row>
    <row r="219" spans="4:26" x14ac:dyDescent="0.25">
      <c r="D219" s="271"/>
      <c r="E219" s="95"/>
      <c r="F219" s="95">
        <v>8</v>
      </c>
      <c r="G219" s="362">
        <f t="shared" si="118"/>
        <v>7.7250000000000183</v>
      </c>
      <c r="H219" s="362">
        <f t="shared" si="124"/>
        <v>12</v>
      </c>
      <c r="I219" s="362">
        <f t="shared" si="124"/>
        <v>5.0999999999999996</v>
      </c>
      <c r="J219" s="362">
        <f t="shared" si="124"/>
        <v>5</v>
      </c>
      <c r="K219" s="362">
        <f t="shared" ref="K219" si="134">K218</f>
        <v>4.9000000000000012</v>
      </c>
      <c r="L219" s="362">
        <f t="shared" si="117"/>
        <v>1.2</v>
      </c>
      <c r="M219" s="362">
        <f t="shared" si="80"/>
        <v>0</v>
      </c>
      <c r="N219" s="362">
        <f t="shared" si="81"/>
        <v>3.3</v>
      </c>
      <c r="O219" s="362">
        <f t="shared" si="82"/>
        <v>0</v>
      </c>
      <c r="P219" s="362">
        <f t="shared" si="83"/>
        <v>0</v>
      </c>
      <c r="Q219" s="362" t="s">
        <v>534</v>
      </c>
      <c r="R219" s="362">
        <f t="shared" ca="1" si="127"/>
        <v>4.8</v>
      </c>
      <c r="S219" s="362">
        <f t="shared" ca="1" si="128"/>
        <v>0</v>
      </c>
      <c r="T219" s="323">
        <f t="shared" ca="1" si="131"/>
        <v>3.1250000000000266</v>
      </c>
      <c r="U219" s="260">
        <f t="shared" ca="1" si="102"/>
        <v>1</v>
      </c>
      <c r="V219" s="260">
        <f t="shared" ca="1" si="87"/>
        <v>1</v>
      </c>
      <c r="W219" s="260">
        <f t="shared" ca="1" si="87"/>
        <v>1</v>
      </c>
      <c r="X219" s="260">
        <f t="shared" ca="1" si="87"/>
        <v>1</v>
      </c>
      <c r="Y219" s="260">
        <f t="shared" ca="1" si="87"/>
        <v>1</v>
      </c>
      <c r="Z219" s="260">
        <f t="shared" ca="1" si="87"/>
        <v>1</v>
      </c>
    </row>
    <row r="220" spans="4:26" x14ac:dyDescent="0.25">
      <c r="D220" s="271"/>
      <c r="E220" s="95"/>
      <c r="F220" s="95">
        <v>8</v>
      </c>
      <c r="G220" s="362">
        <f t="shared" si="118"/>
        <v>7.7500000000000187</v>
      </c>
      <c r="H220" s="362">
        <f t="shared" si="124"/>
        <v>12</v>
      </c>
      <c r="I220" s="362">
        <f t="shared" si="124"/>
        <v>5.0999999999999996</v>
      </c>
      <c r="J220" s="362">
        <f t="shared" si="124"/>
        <v>5</v>
      </c>
      <c r="K220" s="362">
        <f t="shared" ref="K220" si="135">K219</f>
        <v>4.9000000000000012</v>
      </c>
      <c r="L220" s="362">
        <f t="shared" si="117"/>
        <v>1.2</v>
      </c>
      <c r="M220" s="362">
        <f t="shared" si="80"/>
        <v>0</v>
      </c>
      <c r="N220" s="362">
        <f t="shared" si="81"/>
        <v>3.3</v>
      </c>
      <c r="O220" s="362">
        <f t="shared" si="82"/>
        <v>0</v>
      </c>
      <c r="P220" s="362">
        <f t="shared" si="83"/>
        <v>0</v>
      </c>
      <c r="Q220" s="362" t="s">
        <v>534</v>
      </c>
      <c r="R220" s="362">
        <f t="shared" ca="1" si="127"/>
        <v>4.8</v>
      </c>
      <c r="S220" s="362">
        <f t="shared" ca="1" si="128"/>
        <v>0</v>
      </c>
      <c r="T220" s="323">
        <f t="shared" ca="1" si="131"/>
        <v>3.150000000000027</v>
      </c>
      <c r="U220" s="260">
        <f t="shared" ca="1" si="102"/>
        <v>1</v>
      </c>
      <c r="V220" s="260">
        <f t="shared" ca="1" si="87"/>
        <v>1</v>
      </c>
      <c r="W220" s="260">
        <f t="shared" ca="1" si="87"/>
        <v>1</v>
      </c>
      <c r="X220" s="260">
        <f t="shared" ca="1" si="87"/>
        <v>1</v>
      </c>
      <c r="Y220" s="260">
        <f t="shared" ca="1" si="87"/>
        <v>1</v>
      </c>
      <c r="Z220" s="260">
        <f t="shared" ca="1" si="87"/>
        <v>1</v>
      </c>
    </row>
    <row r="221" spans="4:26" x14ac:dyDescent="0.25">
      <c r="D221" s="271"/>
      <c r="E221" s="95"/>
      <c r="F221" s="95">
        <v>8</v>
      </c>
      <c r="G221" s="362">
        <f t="shared" si="118"/>
        <v>7.775000000000019</v>
      </c>
      <c r="H221" s="362">
        <f t="shared" si="124"/>
        <v>12</v>
      </c>
      <c r="I221" s="362">
        <f t="shared" si="124"/>
        <v>5.0999999999999996</v>
      </c>
      <c r="J221" s="362">
        <f t="shared" si="124"/>
        <v>5</v>
      </c>
      <c r="K221" s="362">
        <f t="shared" ref="K221" si="136">K220</f>
        <v>4.9000000000000012</v>
      </c>
      <c r="L221" s="362">
        <f t="shared" si="117"/>
        <v>1.2</v>
      </c>
      <c r="M221" s="362">
        <f t="shared" si="80"/>
        <v>0</v>
      </c>
      <c r="N221" s="362">
        <f t="shared" si="81"/>
        <v>3.3</v>
      </c>
      <c r="O221" s="362">
        <f t="shared" si="82"/>
        <v>0</v>
      </c>
      <c r="P221" s="362">
        <f t="shared" si="83"/>
        <v>0</v>
      </c>
      <c r="Q221" s="362" t="s">
        <v>534</v>
      </c>
      <c r="R221" s="362">
        <f t="shared" ca="1" si="127"/>
        <v>4.8</v>
      </c>
      <c r="S221" s="362">
        <f t="shared" ca="1" si="128"/>
        <v>0</v>
      </c>
      <c r="T221" s="323">
        <f t="shared" ca="1" si="131"/>
        <v>3.1750000000000274</v>
      </c>
      <c r="U221" s="260">
        <f t="shared" ca="1" si="102"/>
        <v>1</v>
      </c>
      <c r="V221" s="260">
        <f t="shared" ca="1" si="87"/>
        <v>1</v>
      </c>
      <c r="W221" s="260">
        <f t="shared" ca="1" si="87"/>
        <v>1</v>
      </c>
      <c r="X221" s="260">
        <f t="shared" ca="1" si="87"/>
        <v>1</v>
      </c>
      <c r="Y221" s="260">
        <f t="shared" ca="1" si="87"/>
        <v>1</v>
      </c>
      <c r="Z221" s="260">
        <f t="shared" ca="1" si="87"/>
        <v>1</v>
      </c>
    </row>
    <row r="222" spans="4:26" x14ac:dyDescent="0.25">
      <c r="D222" s="271"/>
      <c r="E222" s="95"/>
      <c r="F222" s="95">
        <v>8</v>
      </c>
      <c r="G222" s="362">
        <f t="shared" si="118"/>
        <v>7.8000000000000194</v>
      </c>
      <c r="H222" s="362">
        <f t="shared" si="124"/>
        <v>12</v>
      </c>
      <c r="I222" s="362">
        <f t="shared" si="124"/>
        <v>5.0999999999999996</v>
      </c>
      <c r="J222" s="362">
        <f t="shared" si="124"/>
        <v>5</v>
      </c>
      <c r="K222" s="362">
        <f t="shared" ref="K222" si="137">K221</f>
        <v>4.9000000000000012</v>
      </c>
      <c r="L222" s="362">
        <f t="shared" si="117"/>
        <v>1.2</v>
      </c>
      <c r="M222" s="362">
        <f t="shared" si="80"/>
        <v>0</v>
      </c>
      <c r="N222" s="362">
        <f t="shared" si="81"/>
        <v>3.3</v>
      </c>
      <c r="O222" s="362">
        <f t="shared" si="82"/>
        <v>0</v>
      </c>
      <c r="P222" s="362">
        <f t="shared" si="83"/>
        <v>0</v>
      </c>
      <c r="Q222" s="362" t="s">
        <v>534</v>
      </c>
      <c r="R222" s="362">
        <f t="shared" ca="1" si="127"/>
        <v>4.8</v>
      </c>
      <c r="S222" s="362">
        <f t="shared" ca="1" si="128"/>
        <v>0</v>
      </c>
      <c r="T222" s="323">
        <f t="shared" ca="1" si="131"/>
        <v>3.2000000000000277</v>
      </c>
      <c r="U222" s="260">
        <f t="shared" ca="1" si="102"/>
        <v>1</v>
      </c>
      <c r="V222" s="260">
        <f t="shared" ca="1" si="87"/>
        <v>1</v>
      </c>
      <c r="W222" s="260">
        <f t="shared" ca="1" si="87"/>
        <v>1</v>
      </c>
      <c r="X222" s="260">
        <f t="shared" ref="V222:Z273" ca="1" si="138">IF(OR(X$17="ABIST1_No",COUNTIF($V$2,X$18)),1,IF(AND(X$19&lt;&gt;0,OFFSET($I222,0,MATCH(X$18,$J$21:$P$21,0))=X$19),1,0))</f>
        <v>1</v>
      </c>
      <c r="Y222" s="260">
        <f t="shared" ca="1" si="138"/>
        <v>1</v>
      </c>
      <c r="Z222" s="260">
        <f t="shared" ca="1" si="138"/>
        <v>1</v>
      </c>
    </row>
    <row r="223" spans="4:26" x14ac:dyDescent="0.25">
      <c r="D223" s="271"/>
      <c r="E223" s="95"/>
      <c r="F223" s="95">
        <v>8</v>
      </c>
      <c r="G223" s="362">
        <f t="shared" si="118"/>
        <v>7.8250000000000197</v>
      </c>
      <c r="H223" s="362">
        <f t="shared" si="124"/>
        <v>12</v>
      </c>
      <c r="I223" s="362">
        <f t="shared" si="124"/>
        <v>5.0999999999999996</v>
      </c>
      <c r="J223" s="362">
        <f t="shared" si="124"/>
        <v>5</v>
      </c>
      <c r="K223" s="362">
        <f t="shared" ref="K223" si="139">K222</f>
        <v>4.9000000000000012</v>
      </c>
      <c r="L223" s="362">
        <f t="shared" si="117"/>
        <v>1.2</v>
      </c>
      <c r="M223" s="362">
        <f t="shared" si="80"/>
        <v>0</v>
      </c>
      <c r="N223" s="362">
        <f t="shared" si="81"/>
        <v>3.3</v>
      </c>
      <c r="O223" s="362">
        <f t="shared" si="82"/>
        <v>0</v>
      </c>
      <c r="P223" s="362">
        <f t="shared" si="83"/>
        <v>0</v>
      </c>
      <c r="Q223" s="362" t="s">
        <v>534</v>
      </c>
      <c r="R223" s="362">
        <f t="shared" ca="1" si="127"/>
        <v>4.8</v>
      </c>
      <c r="S223" s="362">
        <f t="shared" ca="1" si="128"/>
        <v>0</v>
      </c>
      <c r="T223" s="323">
        <f t="shared" ca="1" si="131"/>
        <v>3.2250000000000281</v>
      </c>
      <c r="U223" s="260">
        <f t="shared" ca="1" si="102"/>
        <v>1</v>
      </c>
      <c r="V223" s="260">
        <f t="shared" ca="1" si="138"/>
        <v>1</v>
      </c>
      <c r="W223" s="260">
        <f t="shared" ca="1" si="138"/>
        <v>1</v>
      </c>
      <c r="X223" s="260">
        <f t="shared" ca="1" si="138"/>
        <v>1</v>
      </c>
      <c r="Y223" s="260">
        <f t="shared" ca="1" si="138"/>
        <v>1</v>
      </c>
      <c r="Z223" s="260">
        <f t="shared" ca="1" si="138"/>
        <v>1</v>
      </c>
    </row>
    <row r="224" spans="4:26" x14ac:dyDescent="0.25">
      <c r="D224" s="271"/>
      <c r="E224" s="95"/>
      <c r="F224" s="95">
        <v>8</v>
      </c>
      <c r="G224" s="362">
        <f t="shared" si="118"/>
        <v>7.8500000000000201</v>
      </c>
      <c r="H224" s="362">
        <f t="shared" si="124"/>
        <v>12</v>
      </c>
      <c r="I224" s="362">
        <f t="shared" si="124"/>
        <v>5.0999999999999996</v>
      </c>
      <c r="J224" s="362">
        <f t="shared" si="124"/>
        <v>5</v>
      </c>
      <c r="K224" s="362">
        <f t="shared" ref="K224" si="140">K223</f>
        <v>4.9000000000000012</v>
      </c>
      <c r="L224" s="362">
        <f t="shared" si="117"/>
        <v>1.2</v>
      </c>
      <c r="M224" s="362">
        <f t="shared" si="80"/>
        <v>0</v>
      </c>
      <c r="N224" s="362">
        <f t="shared" si="81"/>
        <v>3.3</v>
      </c>
      <c r="O224" s="362">
        <f t="shared" si="82"/>
        <v>0</v>
      </c>
      <c r="P224" s="362">
        <f t="shared" si="83"/>
        <v>0</v>
      </c>
      <c r="Q224" s="362" t="s">
        <v>534</v>
      </c>
      <c r="R224" s="362">
        <f t="shared" ca="1" si="127"/>
        <v>4.8</v>
      </c>
      <c r="S224" s="362">
        <f t="shared" ca="1" si="128"/>
        <v>0</v>
      </c>
      <c r="T224" s="323">
        <f t="shared" ca="1" si="131"/>
        <v>3.2500000000000284</v>
      </c>
      <c r="U224" s="260">
        <f t="shared" ca="1" si="102"/>
        <v>1</v>
      </c>
      <c r="V224" s="260">
        <f t="shared" ca="1" si="138"/>
        <v>1</v>
      </c>
      <c r="W224" s="260">
        <f t="shared" ca="1" si="138"/>
        <v>1</v>
      </c>
      <c r="X224" s="260">
        <f t="shared" ca="1" si="138"/>
        <v>1</v>
      </c>
      <c r="Y224" s="260">
        <f t="shared" ca="1" si="138"/>
        <v>1</v>
      </c>
      <c r="Z224" s="260">
        <f t="shared" ca="1" si="138"/>
        <v>1</v>
      </c>
    </row>
    <row r="225" spans="4:26" x14ac:dyDescent="0.25">
      <c r="D225" s="271"/>
      <c r="E225" s="95"/>
      <c r="F225" s="95">
        <v>8</v>
      </c>
      <c r="G225" s="362">
        <f t="shared" si="118"/>
        <v>7.8750000000000204</v>
      </c>
      <c r="H225" s="362">
        <f t="shared" si="124"/>
        <v>12</v>
      </c>
      <c r="I225" s="362">
        <f t="shared" si="124"/>
        <v>5.0999999999999996</v>
      </c>
      <c r="J225" s="362">
        <f t="shared" si="124"/>
        <v>5</v>
      </c>
      <c r="K225" s="362">
        <f t="shared" ref="K225" si="141">K224</f>
        <v>4.9000000000000012</v>
      </c>
      <c r="L225" s="362">
        <f t="shared" si="117"/>
        <v>1.2</v>
      </c>
      <c r="M225" s="362">
        <f t="shared" si="80"/>
        <v>0</v>
      </c>
      <c r="N225" s="362">
        <f t="shared" si="81"/>
        <v>3.3</v>
      </c>
      <c r="O225" s="362">
        <f t="shared" si="82"/>
        <v>0</v>
      </c>
      <c r="P225" s="362">
        <f t="shared" si="83"/>
        <v>0</v>
      </c>
      <c r="Q225" s="362" t="s">
        <v>534</v>
      </c>
      <c r="R225" s="362">
        <f t="shared" ca="1" si="127"/>
        <v>4.8</v>
      </c>
      <c r="S225" s="362">
        <f t="shared" ca="1" si="128"/>
        <v>0</v>
      </c>
      <c r="T225" s="323">
        <f t="shared" ca="1" si="131"/>
        <v>3.2750000000000288</v>
      </c>
      <c r="U225" s="260">
        <f t="shared" ca="1" si="102"/>
        <v>1</v>
      </c>
      <c r="V225" s="260">
        <f t="shared" ca="1" si="138"/>
        <v>1</v>
      </c>
      <c r="W225" s="260">
        <f t="shared" ca="1" si="138"/>
        <v>1</v>
      </c>
      <c r="X225" s="260">
        <f t="shared" ca="1" si="138"/>
        <v>1</v>
      </c>
      <c r="Y225" s="260">
        <f t="shared" ca="1" si="138"/>
        <v>1</v>
      </c>
      <c r="Z225" s="260">
        <f t="shared" ca="1" si="138"/>
        <v>1</v>
      </c>
    </row>
    <row r="226" spans="4:26" x14ac:dyDescent="0.25">
      <c r="D226" s="271"/>
      <c r="E226" s="95"/>
      <c r="F226" s="95">
        <v>8</v>
      </c>
      <c r="G226" s="362">
        <f t="shared" si="118"/>
        <v>7.9000000000000208</v>
      </c>
      <c r="H226" s="362">
        <f t="shared" si="124"/>
        <v>12</v>
      </c>
      <c r="I226" s="362">
        <f t="shared" si="124"/>
        <v>5.0999999999999996</v>
      </c>
      <c r="J226" s="362">
        <f t="shared" ref="J226:K226" si="142">J225</f>
        <v>5</v>
      </c>
      <c r="K226" s="362">
        <f t="shared" si="142"/>
        <v>4.9000000000000012</v>
      </c>
      <c r="L226" s="362">
        <f t="shared" si="117"/>
        <v>1.2</v>
      </c>
      <c r="M226" s="362">
        <f t="shared" si="80"/>
        <v>0</v>
      </c>
      <c r="N226" s="362">
        <f t="shared" si="81"/>
        <v>3.3</v>
      </c>
      <c r="O226" s="362">
        <f t="shared" si="82"/>
        <v>0</v>
      </c>
      <c r="P226" s="362">
        <f t="shared" si="83"/>
        <v>0</v>
      </c>
      <c r="Q226" s="362" t="s">
        <v>534</v>
      </c>
      <c r="R226" s="362">
        <f t="shared" ca="1" si="127"/>
        <v>4.8</v>
      </c>
      <c r="S226" s="362">
        <f t="shared" ca="1" si="128"/>
        <v>0</v>
      </c>
      <c r="T226" s="323">
        <f t="shared" ca="1" si="131"/>
        <v>3.3000000000000291</v>
      </c>
      <c r="U226" s="260">
        <f t="shared" ca="1" si="102"/>
        <v>1</v>
      </c>
      <c r="V226" s="260">
        <f t="shared" ca="1" si="138"/>
        <v>1</v>
      </c>
      <c r="W226" s="260">
        <f t="shared" ca="1" si="138"/>
        <v>1</v>
      </c>
      <c r="X226" s="260">
        <f t="shared" ca="1" si="138"/>
        <v>1</v>
      </c>
      <c r="Y226" s="260">
        <f t="shared" ca="1" si="138"/>
        <v>1</v>
      </c>
      <c r="Z226" s="260">
        <f t="shared" ca="1" si="138"/>
        <v>1</v>
      </c>
    </row>
    <row r="227" spans="4:26" x14ac:dyDescent="0.25">
      <c r="D227" s="271"/>
      <c r="E227" s="95"/>
      <c r="F227" s="95">
        <v>9</v>
      </c>
      <c r="G227" s="362">
        <f t="shared" si="118"/>
        <v>7.9250000000000211</v>
      </c>
      <c r="H227" s="362">
        <f t="shared" si="124"/>
        <v>12</v>
      </c>
      <c r="I227" s="362">
        <f t="shared" si="124"/>
        <v>5.0999999999999996</v>
      </c>
      <c r="J227" s="362">
        <f t="shared" ref="J227:K227" si="143">J226</f>
        <v>5</v>
      </c>
      <c r="K227" s="362">
        <f t="shared" si="143"/>
        <v>4.9000000000000012</v>
      </c>
      <c r="L227" s="362">
        <f t="shared" si="117"/>
        <v>1.2</v>
      </c>
      <c r="M227" s="362">
        <f t="shared" si="80"/>
        <v>0</v>
      </c>
      <c r="N227" s="362">
        <f t="shared" si="81"/>
        <v>3.3</v>
      </c>
      <c r="O227" s="362">
        <f t="shared" si="82"/>
        <v>0</v>
      </c>
      <c r="P227" s="362">
        <f t="shared" si="83"/>
        <v>0</v>
      </c>
      <c r="Q227" s="362" t="s">
        <v>534</v>
      </c>
      <c r="R227" s="362">
        <f t="shared" ca="1" si="127"/>
        <v>4.8</v>
      </c>
      <c r="S227" s="362">
        <f t="shared" ca="1" si="128"/>
        <v>0</v>
      </c>
      <c r="T227" s="323">
        <f t="shared" ca="1" si="131"/>
        <v>3.3250000000000295</v>
      </c>
      <c r="U227" s="260">
        <f t="shared" ca="1" si="102"/>
        <v>1</v>
      </c>
      <c r="V227" s="260">
        <f t="shared" ca="1" si="138"/>
        <v>1</v>
      </c>
      <c r="W227" s="260">
        <f t="shared" ca="1" si="138"/>
        <v>1</v>
      </c>
      <c r="X227" s="260">
        <f t="shared" ca="1" si="138"/>
        <v>1</v>
      </c>
      <c r="Y227" s="260">
        <f t="shared" ca="1" si="138"/>
        <v>1</v>
      </c>
      <c r="Z227" s="260">
        <f t="shared" ca="1" si="138"/>
        <v>1</v>
      </c>
    </row>
    <row r="228" spans="4:26" x14ac:dyDescent="0.25">
      <c r="D228" s="271"/>
      <c r="E228" s="95"/>
      <c r="F228" s="95">
        <v>9</v>
      </c>
      <c r="G228" s="362">
        <f t="shared" si="118"/>
        <v>7.9500000000000215</v>
      </c>
      <c r="H228" s="362">
        <f t="shared" si="124"/>
        <v>12</v>
      </c>
      <c r="I228" s="362">
        <f t="shared" si="124"/>
        <v>5.0999999999999996</v>
      </c>
      <c r="J228" s="362">
        <f t="shared" ref="J228:K228" si="144">J227</f>
        <v>5</v>
      </c>
      <c r="K228" s="362">
        <f t="shared" si="144"/>
        <v>4.9000000000000012</v>
      </c>
      <c r="L228" s="362">
        <f t="shared" si="117"/>
        <v>1.2</v>
      </c>
      <c r="M228" s="362">
        <f t="shared" si="80"/>
        <v>0</v>
      </c>
      <c r="N228" s="362">
        <f t="shared" si="81"/>
        <v>3.3</v>
      </c>
      <c r="O228" s="362">
        <f t="shared" si="82"/>
        <v>0</v>
      </c>
      <c r="P228" s="362">
        <f t="shared" si="83"/>
        <v>0</v>
      </c>
      <c r="Q228" s="362" t="s">
        <v>534</v>
      </c>
      <c r="R228" s="362">
        <f t="shared" ca="1" si="127"/>
        <v>4.8</v>
      </c>
      <c r="S228" s="362">
        <f t="shared" ca="1" si="128"/>
        <v>0</v>
      </c>
      <c r="T228" s="323">
        <f t="shared" ca="1" si="131"/>
        <v>3.3500000000000298</v>
      </c>
      <c r="U228" s="260">
        <f t="shared" ca="1" si="102"/>
        <v>1</v>
      </c>
      <c r="V228" s="260">
        <f t="shared" ca="1" si="138"/>
        <v>1</v>
      </c>
      <c r="W228" s="260">
        <f t="shared" ca="1" si="138"/>
        <v>1</v>
      </c>
      <c r="X228" s="260">
        <f t="shared" ca="1" si="138"/>
        <v>1</v>
      </c>
      <c r="Y228" s="260">
        <f t="shared" ca="1" si="138"/>
        <v>1</v>
      </c>
      <c r="Z228" s="260">
        <f t="shared" ca="1" si="138"/>
        <v>1</v>
      </c>
    </row>
    <row r="229" spans="4:26" x14ac:dyDescent="0.25">
      <c r="D229" s="271"/>
      <c r="E229" s="95"/>
      <c r="F229" s="95">
        <v>9</v>
      </c>
      <c r="G229" s="362">
        <f t="shared" si="118"/>
        <v>7.9750000000000218</v>
      </c>
      <c r="H229" s="362">
        <f t="shared" si="124"/>
        <v>12</v>
      </c>
      <c r="I229" s="362">
        <f t="shared" si="124"/>
        <v>5.0999999999999996</v>
      </c>
      <c r="J229" s="362">
        <f t="shared" ref="J229:K229" si="145">J228</f>
        <v>5</v>
      </c>
      <c r="K229" s="362">
        <f t="shared" si="145"/>
        <v>4.9000000000000012</v>
      </c>
      <c r="L229" s="362">
        <f t="shared" si="117"/>
        <v>1.2</v>
      </c>
      <c r="M229" s="362">
        <f t="shared" si="80"/>
        <v>0</v>
      </c>
      <c r="N229" s="362">
        <f t="shared" si="81"/>
        <v>3.3</v>
      </c>
      <c r="O229" s="362">
        <f t="shared" si="82"/>
        <v>0</v>
      </c>
      <c r="P229" s="362">
        <f t="shared" si="83"/>
        <v>0</v>
      </c>
      <c r="Q229" s="362" t="s">
        <v>534</v>
      </c>
      <c r="R229" s="362">
        <f t="shared" ca="1" si="127"/>
        <v>4.8</v>
      </c>
      <c r="S229" s="362">
        <f t="shared" ca="1" si="128"/>
        <v>0</v>
      </c>
      <c r="T229" s="323">
        <f t="shared" ca="1" si="131"/>
        <v>3.3750000000000302</v>
      </c>
      <c r="U229" s="260">
        <f t="shared" ca="1" si="102"/>
        <v>1</v>
      </c>
      <c r="V229" s="260">
        <f t="shared" ca="1" si="138"/>
        <v>1</v>
      </c>
      <c r="W229" s="260">
        <f t="shared" ca="1" si="138"/>
        <v>1</v>
      </c>
      <c r="X229" s="260">
        <f t="shared" ca="1" si="138"/>
        <v>1</v>
      </c>
      <c r="Y229" s="260">
        <f t="shared" ca="1" si="138"/>
        <v>1</v>
      </c>
      <c r="Z229" s="260">
        <f t="shared" ca="1" si="138"/>
        <v>1</v>
      </c>
    </row>
    <row r="230" spans="4:26" x14ac:dyDescent="0.25">
      <c r="D230" s="271"/>
      <c r="E230" s="95"/>
      <c r="F230" s="95">
        <v>9</v>
      </c>
      <c r="G230" s="362">
        <f t="shared" si="118"/>
        <v>8.0000000000000213</v>
      </c>
      <c r="H230" s="362">
        <f t="shared" si="124"/>
        <v>12</v>
      </c>
      <c r="I230" s="362">
        <f t="shared" si="124"/>
        <v>5.0999999999999996</v>
      </c>
      <c r="J230" s="362">
        <f t="shared" ref="J230:K230" si="146">J229</f>
        <v>5</v>
      </c>
      <c r="K230" s="362">
        <f t="shared" si="146"/>
        <v>4.9000000000000012</v>
      </c>
      <c r="L230" s="362">
        <f t="shared" si="117"/>
        <v>1.2</v>
      </c>
      <c r="M230" s="362">
        <f t="shared" si="80"/>
        <v>0</v>
      </c>
      <c r="N230" s="362">
        <f t="shared" si="81"/>
        <v>3.3</v>
      </c>
      <c r="O230" s="362">
        <f t="shared" si="82"/>
        <v>0</v>
      </c>
      <c r="P230" s="362">
        <f t="shared" si="83"/>
        <v>0</v>
      </c>
      <c r="Q230" s="362" t="s">
        <v>534</v>
      </c>
      <c r="R230" s="362">
        <f t="shared" ca="1" si="127"/>
        <v>4.8</v>
      </c>
      <c r="S230" s="362">
        <f t="shared" ca="1" si="128"/>
        <v>0</v>
      </c>
      <c r="T230" s="323">
        <f t="shared" ca="1" si="131"/>
        <v>3.4000000000000297</v>
      </c>
      <c r="U230" s="260">
        <f t="shared" ca="1" si="102"/>
        <v>1</v>
      </c>
      <c r="V230" s="260">
        <f t="shared" ca="1" si="138"/>
        <v>1</v>
      </c>
      <c r="W230" s="260">
        <f t="shared" ca="1" si="138"/>
        <v>1</v>
      </c>
      <c r="X230" s="260">
        <f t="shared" ca="1" si="138"/>
        <v>1</v>
      </c>
      <c r="Y230" s="260">
        <f t="shared" ca="1" si="138"/>
        <v>1</v>
      </c>
      <c r="Z230" s="260">
        <f t="shared" ca="1" si="138"/>
        <v>1</v>
      </c>
    </row>
    <row r="231" spans="4:26" x14ac:dyDescent="0.25">
      <c r="F231" s="95">
        <v>9</v>
      </c>
      <c r="G231" s="362">
        <f t="shared" si="118"/>
        <v>8.0250000000000217</v>
      </c>
      <c r="H231" s="362">
        <f t="shared" si="124"/>
        <v>12</v>
      </c>
      <c r="I231" s="362">
        <f t="shared" si="124"/>
        <v>5.0999999999999996</v>
      </c>
      <c r="J231" s="362">
        <f t="shared" ref="J231:K231" si="147">J230</f>
        <v>5</v>
      </c>
      <c r="K231" s="362">
        <f t="shared" si="147"/>
        <v>4.9000000000000012</v>
      </c>
      <c r="L231" s="362">
        <f t="shared" si="117"/>
        <v>1.2</v>
      </c>
      <c r="M231" s="362">
        <f t="shared" si="80"/>
        <v>0</v>
      </c>
      <c r="N231" s="362">
        <f t="shared" si="81"/>
        <v>3.3</v>
      </c>
      <c r="O231" s="362">
        <f t="shared" si="82"/>
        <v>0</v>
      </c>
      <c r="P231" s="362">
        <f t="shared" si="83"/>
        <v>0</v>
      </c>
      <c r="Q231" s="362" t="s">
        <v>534</v>
      </c>
      <c r="R231" s="362">
        <f t="shared" ca="1" si="127"/>
        <v>4.8</v>
      </c>
      <c r="S231" s="362">
        <f t="shared" ca="1" si="128"/>
        <v>0</v>
      </c>
      <c r="T231" s="323">
        <f t="shared" ca="1" si="131"/>
        <v>3.42500000000003</v>
      </c>
      <c r="U231" s="260">
        <f t="shared" ca="1" si="102"/>
        <v>1</v>
      </c>
      <c r="V231" s="260">
        <f t="shared" ca="1" si="138"/>
        <v>1</v>
      </c>
      <c r="W231" s="260">
        <f t="shared" ca="1" si="138"/>
        <v>1</v>
      </c>
      <c r="X231" s="260">
        <f t="shared" ca="1" si="138"/>
        <v>1</v>
      </c>
      <c r="Y231" s="260">
        <f t="shared" ca="1" si="138"/>
        <v>1</v>
      </c>
      <c r="Z231" s="260">
        <f t="shared" ca="1" si="138"/>
        <v>1</v>
      </c>
    </row>
    <row r="232" spans="4:26" x14ac:dyDescent="0.25">
      <c r="F232" s="95">
        <v>9</v>
      </c>
      <c r="G232" s="362">
        <f t="shared" si="118"/>
        <v>8.050000000000022</v>
      </c>
      <c r="H232" s="362">
        <f t="shared" si="124"/>
        <v>12</v>
      </c>
      <c r="I232" s="362">
        <f t="shared" si="124"/>
        <v>5.0999999999999996</v>
      </c>
      <c r="J232" s="362">
        <f t="shared" ref="J232:K232" si="148">J231</f>
        <v>5</v>
      </c>
      <c r="K232" s="362">
        <f t="shared" si="148"/>
        <v>4.9000000000000012</v>
      </c>
      <c r="L232" s="362">
        <f t="shared" si="117"/>
        <v>1.2</v>
      </c>
      <c r="M232" s="362">
        <f t="shared" si="117"/>
        <v>0</v>
      </c>
      <c r="N232" s="362">
        <f t="shared" si="117"/>
        <v>3.3</v>
      </c>
      <c r="O232" s="362">
        <f t="shared" si="117"/>
        <v>0</v>
      </c>
      <c r="P232" s="362">
        <f t="shared" si="117"/>
        <v>0</v>
      </c>
      <c r="Q232" s="362" t="s">
        <v>534</v>
      </c>
      <c r="R232" s="362">
        <f t="shared" ca="1" si="127"/>
        <v>4.8</v>
      </c>
      <c r="S232" s="362">
        <f t="shared" ca="1" si="128"/>
        <v>0</v>
      </c>
      <c r="T232" s="323">
        <f t="shared" ca="1" si="131"/>
        <v>3.4500000000000304</v>
      </c>
      <c r="U232" s="260">
        <f t="shared" ca="1" si="102"/>
        <v>1</v>
      </c>
      <c r="V232" s="260">
        <f t="shared" ca="1" si="138"/>
        <v>1</v>
      </c>
      <c r="W232" s="260">
        <f t="shared" ca="1" si="138"/>
        <v>1</v>
      </c>
      <c r="X232" s="260">
        <f t="shared" ca="1" si="138"/>
        <v>1</v>
      </c>
      <c r="Y232" s="260">
        <f t="shared" ca="1" si="138"/>
        <v>1</v>
      </c>
      <c r="Z232" s="260">
        <f t="shared" ca="1" si="138"/>
        <v>1</v>
      </c>
    </row>
    <row r="233" spans="4:26" x14ac:dyDescent="0.25">
      <c r="F233" s="95">
        <v>9</v>
      </c>
      <c r="G233" s="362">
        <f t="shared" si="118"/>
        <v>8.0750000000000224</v>
      </c>
      <c r="H233" s="362">
        <f t="shared" si="124"/>
        <v>12</v>
      </c>
      <c r="I233" s="362">
        <f t="shared" si="124"/>
        <v>5.0999999999999996</v>
      </c>
      <c r="J233" s="362">
        <f t="shared" ref="J233:K233" si="149">J232</f>
        <v>5</v>
      </c>
      <c r="K233" s="362">
        <f t="shared" si="149"/>
        <v>4.9000000000000012</v>
      </c>
      <c r="L233" s="362">
        <f t="shared" ref="L233:P236" si="150">IF(L$7&lt;=$F233,MIN(L$8,L232+L$8/MAX(1,ROUND(L$8/$H$1/L$9,0))),L232)</f>
        <v>1.2</v>
      </c>
      <c r="M233" s="362">
        <f t="shared" si="150"/>
        <v>0</v>
      </c>
      <c r="N233" s="362">
        <f t="shared" si="150"/>
        <v>3.3</v>
      </c>
      <c r="O233" s="362">
        <f t="shared" si="150"/>
        <v>0</v>
      </c>
      <c r="P233" s="362">
        <f t="shared" si="150"/>
        <v>0</v>
      </c>
      <c r="Q233" s="362" t="s">
        <v>534</v>
      </c>
      <c r="R233" s="362">
        <f t="shared" ca="1" si="127"/>
        <v>4.8</v>
      </c>
      <c r="S233" s="362">
        <f t="shared" ca="1" si="128"/>
        <v>0</v>
      </c>
      <c r="T233" s="323">
        <f t="shared" ca="1" si="131"/>
        <v>3.4750000000000307</v>
      </c>
      <c r="U233" s="260">
        <f t="shared" ca="1" si="102"/>
        <v>1</v>
      </c>
      <c r="V233" s="260">
        <f t="shared" ca="1" si="138"/>
        <v>1</v>
      </c>
      <c r="W233" s="260">
        <f t="shared" ca="1" si="138"/>
        <v>1</v>
      </c>
      <c r="X233" s="260">
        <f t="shared" ca="1" si="138"/>
        <v>1</v>
      </c>
      <c r="Y233" s="260">
        <f t="shared" ca="1" si="138"/>
        <v>1</v>
      </c>
      <c r="Z233" s="260">
        <f t="shared" ca="1" si="138"/>
        <v>1</v>
      </c>
    </row>
    <row r="234" spans="4:26" x14ac:dyDescent="0.25">
      <c r="F234" s="95">
        <v>9</v>
      </c>
      <c r="G234" s="362">
        <f t="shared" si="118"/>
        <v>8.1000000000000227</v>
      </c>
      <c r="H234" s="362">
        <f t="shared" si="124"/>
        <v>12</v>
      </c>
      <c r="I234" s="362">
        <f t="shared" si="124"/>
        <v>5.0999999999999996</v>
      </c>
      <c r="J234" s="362">
        <f t="shared" ref="J234:K234" si="151">J233</f>
        <v>5</v>
      </c>
      <c r="K234" s="362">
        <f t="shared" si="151"/>
        <v>4.9000000000000012</v>
      </c>
      <c r="L234" s="362">
        <f t="shared" si="150"/>
        <v>1.2</v>
      </c>
      <c r="M234" s="362">
        <f t="shared" si="150"/>
        <v>0</v>
      </c>
      <c r="N234" s="362">
        <f t="shared" si="150"/>
        <v>3.3</v>
      </c>
      <c r="O234" s="362">
        <f t="shared" si="150"/>
        <v>0</v>
      </c>
      <c r="P234" s="362">
        <f t="shared" si="150"/>
        <v>0</v>
      </c>
      <c r="Q234" s="362" t="s">
        <v>534</v>
      </c>
      <c r="R234" s="362">
        <f t="shared" ca="1" si="127"/>
        <v>4.8</v>
      </c>
      <c r="S234" s="362">
        <f t="shared" ca="1" si="128"/>
        <v>0</v>
      </c>
      <c r="T234" s="323">
        <f t="shared" ca="1" si="131"/>
        <v>3.5000000000000311</v>
      </c>
      <c r="U234" s="260">
        <f t="shared" ca="1" si="102"/>
        <v>1</v>
      </c>
      <c r="V234" s="260">
        <f t="shared" ca="1" si="138"/>
        <v>1</v>
      </c>
      <c r="W234" s="260">
        <f t="shared" ca="1" si="138"/>
        <v>1</v>
      </c>
      <c r="X234" s="260">
        <f t="shared" ca="1" si="138"/>
        <v>1</v>
      </c>
      <c r="Y234" s="260">
        <f t="shared" ca="1" si="138"/>
        <v>1</v>
      </c>
      <c r="Z234" s="260">
        <f t="shared" ca="1" si="138"/>
        <v>1</v>
      </c>
    </row>
    <row r="235" spans="4:26" x14ac:dyDescent="0.25">
      <c r="F235" s="95">
        <v>9</v>
      </c>
      <c r="G235" s="362">
        <f t="shared" si="118"/>
        <v>8.1250000000000231</v>
      </c>
      <c r="H235" s="362">
        <f t="shared" si="124"/>
        <v>12</v>
      </c>
      <c r="I235" s="362">
        <f t="shared" si="124"/>
        <v>5.0999999999999996</v>
      </c>
      <c r="J235" s="362">
        <f t="shared" ref="J235:K235" si="152">J234</f>
        <v>5</v>
      </c>
      <c r="K235" s="362">
        <f t="shared" si="152"/>
        <v>4.9000000000000012</v>
      </c>
      <c r="L235" s="362">
        <f t="shared" si="150"/>
        <v>1.2</v>
      </c>
      <c r="M235" s="362">
        <f t="shared" si="150"/>
        <v>0</v>
      </c>
      <c r="N235" s="362">
        <f t="shared" si="150"/>
        <v>3.3</v>
      </c>
      <c r="O235" s="362">
        <f t="shared" si="150"/>
        <v>0</v>
      </c>
      <c r="P235" s="362">
        <f t="shared" si="150"/>
        <v>0</v>
      </c>
      <c r="Q235" s="362" t="s">
        <v>534</v>
      </c>
      <c r="R235" s="362">
        <f t="shared" ca="1" si="127"/>
        <v>4.8</v>
      </c>
      <c r="S235" s="362">
        <f t="shared" ca="1" si="128"/>
        <v>0</v>
      </c>
      <c r="T235" s="323">
        <f t="shared" ca="1" si="131"/>
        <v>3.5250000000000314</v>
      </c>
      <c r="U235" s="260">
        <f t="shared" ca="1" si="102"/>
        <v>1</v>
      </c>
      <c r="V235" s="260">
        <f t="shared" ca="1" si="138"/>
        <v>1</v>
      </c>
      <c r="W235" s="260">
        <f t="shared" ca="1" si="138"/>
        <v>1</v>
      </c>
      <c r="X235" s="260">
        <f t="shared" ca="1" si="138"/>
        <v>1</v>
      </c>
      <c r="Y235" s="260">
        <f t="shared" ca="1" si="138"/>
        <v>1</v>
      </c>
      <c r="Z235" s="260">
        <f t="shared" ca="1" si="138"/>
        <v>1</v>
      </c>
    </row>
    <row r="236" spans="4:26" x14ac:dyDescent="0.25">
      <c r="F236" s="95">
        <v>9</v>
      </c>
      <c r="G236" s="362">
        <f t="shared" si="118"/>
        <v>8.1500000000000234</v>
      </c>
      <c r="H236" s="362">
        <f t="shared" si="124"/>
        <v>12</v>
      </c>
      <c r="I236" s="362">
        <f t="shared" si="124"/>
        <v>5.0999999999999996</v>
      </c>
      <c r="J236" s="362">
        <f t="shared" ref="J236:K236" si="153">J235</f>
        <v>5</v>
      </c>
      <c r="K236" s="362">
        <f t="shared" si="153"/>
        <v>4.9000000000000012</v>
      </c>
      <c r="L236" s="362">
        <f t="shared" si="150"/>
        <v>1.2</v>
      </c>
      <c r="M236" s="362">
        <f t="shared" si="150"/>
        <v>0</v>
      </c>
      <c r="N236" s="362">
        <f t="shared" si="150"/>
        <v>3.3</v>
      </c>
      <c r="O236" s="362">
        <f t="shared" si="150"/>
        <v>0</v>
      </c>
      <c r="P236" s="362">
        <f t="shared" si="150"/>
        <v>0</v>
      </c>
      <c r="Q236" s="362" t="s">
        <v>534</v>
      </c>
      <c r="R236" s="362">
        <f t="shared" ca="1" si="127"/>
        <v>4.8</v>
      </c>
      <c r="S236" s="362">
        <f t="shared" ca="1" si="128"/>
        <v>0</v>
      </c>
      <c r="T236" s="323">
        <f t="shared" ca="1" si="131"/>
        <v>3.5500000000000318</v>
      </c>
      <c r="U236" s="260">
        <f t="shared" ca="1" si="102"/>
        <v>1</v>
      </c>
      <c r="V236" s="260">
        <f t="shared" ca="1" si="138"/>
        <v>1</v>
      </c>
      <c r="W236" s="260">
        <f t="shared" ca="1" si="138"/>
        <v>1</v>
      </c>
      <c r="X236" s="260">
        <f t="shared" ca="1" si="138"/>
        <v>1</v>
      </c>
      <c r="Y236" s="260">
        <f t="shared" ca="1" si="138"/>
        <v>1</v>
      </c>
      <c r="Z236" s="260">
        <f t="shared" ca="1" si="138"/>
        <v>1</v>
      </c>
    </row>
    <row r="237" spans="4:26" x14ac:dyDescent="0.25">
      <c r="F237" s="95"/>
      <c r="G237" s="362">
        <f t="shared" si="118"/>
        <v>8.1750000000000238</v>
      </c>
      <c r="H237" s="362">
        <f t="shared" si="124"/>
        <v>12</v>
      </c>
      <c r="I237" s="362">
        <f t="shared" si="124"/>
        <v>5.0999999999999996</v>
      </c>
      <c r="J237" s="362">
        <f t="shared" ref="J237:P237" si="154">J236</f>
        <v>5</v>
      </c>
      <c r="K237" s="362">
        <f t="shared" si="154"/>
        <v>4.9000000000000012</v>
      </c>
      <c r="L237" s="362">
        <f t="shared" si="154"/>
        <v>1.2</v>
      </c>
      <c r="M237" s="362">
        <f t="shared" si="154"/>
        <v>0</v>
      </c>
      <c r="N237" s="362">
        <f t="shared" si="154"/>
        <v>3.3</v>
      </c>
      <c r="O237" s="362">
        <f t="shared" si="154"/>
        <v>0</v>
      </c>
      <c r="P237" s="362">
        <f t="shared" si="154"/>
        <v>0</v>
      </c>
      <c r="Q237" s="362" t="s">
        <v>534</v>
      </c>
      <c r="R237" s="362">
        <f t="shared" ca="1" si="127"/>
        <v>4.8</v>
      </c>
      <c r="S237" s="362">
        <f t="shared" ca="1" si="128"/>
        <v>0</v>
      </c>
      <c r="T237" s="323">
        <f t="shared" ca="1" si="131"/>
        <v>3.5750000000000322</v>
      </c>
      <c r="U237" s="260">
        <f t="shared" ca="1" si="102"/>
        <v>1</v>
      </c>
      <c r="V237" s="260">
        <f t="shared" ca="1" si="138"/>
        <v>1</v>
      </c>
      <c r="W237" s="260">
        <f t="shared" ca="1" si="138"/>
        <v>1</v>
      </c>
      <c r="X237" s="260">
        <f t="shared" ca="1" si="138"/>
        <v>1</v>
      </c>
      <c r="Y237" s="260">
        <f t="shared" ca="1" si="138"/>
        <v>1</v>
      </c>
      <c r="Z237" s="260">
        <f t="shared" ca="1" si="138"/>
        <v>1</v>
      </c>
    </row>
    <row r="238" spans="4:26" x14ac:dyDescent="0.25">
      <c r="F238" s="95"/>
      <c r="G238" s="362">
        <f t="shared" si="118"/>
        <v>8.2000000000000242</v>
      </c>
      <c r="H238" s="362">
        <f t="shared" si="124"/>
        <v>12</v>
      </c>
      <c r="I238" s="362">
        <f t="shared" si="124"/>
        <v>5.0999999999999996</v>
      </c>
      <c r="J238" s="362">
        <f t="shared" ref="J238:P238" si="155">J237</f>
        <v>5</v>
      </c>
      <c r="K238" s="362">
        <f t="shared" si="155"/>
        <v>4.9000000000000012</v>
      </c>
      <c r="L238" s="362">
        <f t="shared" si="155"/>
        <v>1.2</v>
      </c>
      <c r="M238" s="362">
        <f t="shared" si="155"/>
        <v>0</v>
      </c>
      <c r="N238" s="362">
        <f t="shared" si="155"/>
        <v>3.3</v>
      </c>
      <c r="O238" s="362">
        <f t="shared" si="155"/>
        <v>0</v>
      </c>
      <c r="P238" s="362">
        <f t="shared" si="155"/>
        <v>0</v>
      </c>
      <c r="Q238" s="362" t="s">
        <v>534</v>
      </c>
      <c r="R238" s="362">
        <f t="shared" ca="1" si="127"/>
        <v>4.8</v>
      </c>
      <c r="S238" s="362">
        <f t="shared" ca="1" si="128"/>
        <v>0</v>
      </c>
      <c r="T238" s="323">
        <f t="shared" ca="1" si="131"/>
        <v>3.6000000000000325</v>
      </c>
      <c r="U238" s="260">
        <f t="shared" ca="1" si="102"/>
        <v>1</v>
      </c>
      <c r="V238" s="260">
        <f t="shared" ca="1" si="138"/>
        <v>1</v>
      </c>
      <c r="W238" s="260">
        <f t="shared" ca="1" si="138"/>
        <v>1</v>
      </c>
      <c r="X238" s="260">
        <f t="shared" ca="1" si="138"/>
        <v>1</v>
      </c>
      <c r="Y238" s="260">
        <f t="shared" ca="1" si="138"/>
        <v>1</v>
      </c>
      <c r="Z238" s="260">
        <f t="shared" ca="1" si="138"/>
        <v>1</v>
      </c>
    </row>
    <row r="239" spans="4:26" x14ac:dyDescent="0.25">
      <c r="F239" s="95"/>
      <c r="G239" s="362">
        <f t="shared" si="118"/>
        <v>8.2250000000000245</v>
      </c>
      <c r="H239" s="362">
        <f t="shared" si="124"/>
        <v>12</v>
      </c>
      <c r="I239" s="362">
        <f t="shared" si="124"/>
        <v>5.0999999999999996</v>
      </c>
      <c r="J239" s="362">
        <f t="shared" ref="J239:P239" si="156">J238</f>
        <v>5</v>
      </c>
      <c r="K239" s="362">
        <f t="shared" si="156"/>
        <v>4.9000000000000012</v>
      </c>
      <c r="L239" s="362">
        <f t="shared" si="156"/>
        <v>1.2</v>
      </c>
      <c r="M239" s="362">
        <f t="shared" si="156"/>
        <v>0</v>
      </c>
      <c r="N239" s="362">
        <f t="shared" si="156"/>
        <v>3.3</v>
      </c>
      <c r="O239" s="362">
        <f t="shared" si="156"/>
        <v>0</v>
      </c>
      <c r="P239" s="362">
        <f t="shared" si="156"/>
        <v>0</v>
      </c>
      <c r="Q239" s="362" t="s">
        <v>534</v>
      </c>
      <c r="R239" s="362">
        <f t="shared" ca="1" si="127"/>
        <v>4.8</v>
      </c>
      <c r="S239" s="362">
        <f t="shared" ca="1" si="128"/>
        <v>0</v>
      </c>
      <c r="T239" s="323">
        <f t="shared" ca="1" si="131"/>
        <v>3.6250000000000329</v>
      </c>
      <c r="U239" s="260">
        <f t="shared" ca="1" si="102"/>
        <v>1</v>
      </c>
      <c r="V239" s="260">
        <f t="shared" ca="1" si="138"/>
        <v>1</v>
      </c>
      <c r="W239" s="260">
        <f t="shared" ca="1" si="138"/>
        <v>1</v>
      </c>
      <c r="X239" s="260">
        <f t="shared" ca="1" si="138"/>
        <v>1</v>
      </c>
      <c r="Y239" s="260">
        <f t="shared" ca="1" si="138"/>
        <v>1</v>
      </c>
      <c r="Z239" s="260">
        <f t="shared" ca="1" si="138"/>
        <v>1</v>
      </c>
    </row>
    <row r="240" spans="4:26" x14ac:dyDescent="0.25">
      <c r="F240" s="95"/>
      <c r="G240" s="362">
        <f t="shared" si="118"/>
        <v>8.2500000000000249</v>
      </c>
      <c r="H240" s="362">
        <f t="shared" si="124"/>
        <v>12</v>
      </c>
      <c r="I240" s="362">
        <f t="shared" si="124"/>
        <v>5.0999999999999996</v>
      </c>
      <c r="J240" s="362">
        <f t="shared" ref="J240:P240" si="157">J239</f>
        <v>5</v>
      </c>
      <c r="K240" s="362">
        <f t="shared" si="157"/>
        <v>4.9000000000000012</v>
      </c>
      <c r="L240" s="362">
        <f t="shared" si="157"/>
        <v>1.2</v>
      </c>
      <c r="M240" s="362">
        <f t="shared" si="157"/>
        <v>0</v>
      </c>
      <c r="N240" s="362">
        <f t="shared" si="157"/>
        <v>3.3</v>
      </c>
      <c r="O240" s="362">
        <f t="shared" si="157"/>
        <v>0</v>
      </c>
      <c r="P240" s="362">
        <f t="shared" si="157"/>
        <v>0</v>
      </c>
      <c r="Q240" s="362" t="s">
        <v>534</v>
      </c>
      <c r="R240" s="362">
        <f t="shared" ca="1" si="127"/>
        <v>4.8</v>
      </c>
      <c r="S240" s="362">
        <f t="shared" ca="1" si="128"/>
        <v>0</v>
      </c>
      <c r="T240" s="323">
        <f t="shared" ca="1" si="131"/>
        <v>3.6500000000000332</v>
      </c>
      <c r="U240" s="260">
        <f t="shared" ca="1" si="102"/>
        <v>1</v>
      </c>
      <c r="V240" s="260">
        <f t="shared" ca="1" si="138"/>
        <v>1</v>
      </c>
      <c r="W240" s="260">
        <f t="shared" ca="1" si="138"/>
        <v>1</v>
      </c>
      <c r="X240" s="260">
        <f t="shared" ca="1" si="138"/>
        <v>1</v>
      </c>
      <c r="Y240" s="260">
        <f t="shared" ca="1" si="138"/>
        <v>1</v>
      </c>
      <c r="Z240" s="260">
        <f t="shared" ca="1" si="138"/>
        <v>1</v>
      </c>
    </row>
    <row r="241" spans="6:26" x14ac:dyDescent="0.25">
      <c r="F241" s="95"/>
      <c r="G241" s="362">
        <f t="shared" si="118"/>
        <v>8.2750000000000252</v>
      </c>
      <c r="H241" s="362">
        <f t="shared" si="124"/>
        <v>12</v>
      </c>
      <c r="I241" s="362">
        <f t="shared" si="124"/>
        <v>5.0999999999999996</v>
      </c>
      <c r="J241" s="362">
        <f t="shared" ref="J241:P241" si="158">J240</f>
        <v>5</v>
      </c>
      <c r="K241" s="362">
        <f t="shared" si="158"/>
        <v>4.9000000000000012</v>
      </c>
      <c r="L241" s="362">
        <f t="shared" si="158"/>
        <v>1.2</v>
      </c>
      <c r="M241" s="362">
        <f t="shared" si="158"/>
        <v>0</v>
      </c>
      <c r="N241" s="362">
        <f t="shared" si="158"/>
        <v>3.3</v>
      </c>
      <c r="O241" s="362">
        <f t="shared" si="158"/>
        <v>0</v>
      </c>
      <c r="P241" s="362">
        <f t="shared" si="158"/>
        <v>0</v>
      </c>
      <c r="Q241" s="362" t="s">
        <v>534</v>
      </c>
      <c r="R241" s="362">
        <f t="shared" ca="1" si="127"/>
        <v>4.8</v>
      </c>
      <c r="S241" s="362">
        <f t="shared" ca="1" si="128"/>
        <v>0</v>
      </c>
      <c r="T241" s="323">
        <f t="shared" ca="1" si="131"/>
        <v>3.6750000000000336</v>
      </c>
      <c r="U241" s="260">
        <f t="shared" ca="1" si="102"/>
        <v>1</v>
      </c>
      <c r="V241" s="260">
        <f t="shared" ca="1" si="138"/>
        <v>1</v>
      </c>
      <c r="W241" s="260">
        <f t="shared" ca="1" si="138"/>
        <v>1</v>
      </c>
      <c r="X241" s="260">
        <f t="shared" ca="1" si="138"/>
        <v>1</v>
      </c>
      <c r="Y241" s="260">
        <f t="shared" ca="1" si="138"/>
        <v>1</v>
      </c>
      <c r="Z241" s="260">
        <f t="shared" ca="1" si="138"/>
        <v>1</v>
      </c>
    </row>
    <row r="242" spans="6:26" x14ac:dyDescent="0.25">
      <c r="F242" s="95"/>
      <c r="G242" s="362">
        <f t="shared" si="118"/>
        <v>8.3000000000000256</v>
      </c>
      <c r="H242" s="362">
        <f t="shared" si="124"/>
        <v>12</v>
      </c>
      <c r="I242" s="362">
        <f t="shared" si="124"/>
        <v>5.0999999999999996</v>
      </c>
      <c r="J242" s="362">
        <f t="shared" ref="J242:P242" si="159">J241</f>
        <v>5</v>
      </c>
      <c r="K242" s="362">
        <f t="shared" si="159"/>
        <v>4.9000000000000012</v>
      </c>
      <c r="L242" s="362">
        <f t="shared" si="159"/>
        <v>1.2</v>
      </c>
      <c r="M242" s="362">
        <f t="shared" si="159"/>
        <v>0</v>
      </c>
      <c r="N242" s="362">
        <f t="shared" si="159"/>
        <v>3.3</v>
      </c>
      <c r="O242" s="362">
        <f t="shared" si="159"/>
        <v>0</v>
      </c>
      <c r="P242" s="362">
        <f t="shared" si="159"/>
        <v>0</v>
      </c>
      <c r="Q242" s="362" t="s">
        <v>534</v>
      </c>
      <c r="R242" s="362">
        <f t="shared" ca="1" si="127"/>
        <v>4.8</v>
      </c>
      <c r="S242" s="362">
        <f t="shared" ca="1" si="128"/>
        <v>0</v>
      </c>
      <c r="T242" s="323">
        <f t="shared" ca="1" si="131"/>
        <v>3.7000000000000339</v>
      </c>
      <c r="U242" s="260">
        <f t="shared" ca="1" si="102"/>
        <v>1</v>
      </c>
      <c r="V242" s="260">
        <f t="shared" ca="1" si="138"/>
        <v>1</v>
      </c>
      <c r="W242" s="260">
        <f t="shared" ca="1" si="138"/>
        <v>1</v>
      </c>
      <c r="X242" s="260">
        <f t="shared" ca="1" si="138"/>
        <v>1</v>
      </c>
      <c r="Y242" s="260">
        <f t="shared" ca="1" si="138"/>
        <v>1</v>
      </c>
      <c r="Z242" s="260">
        <f t="shared" ca="1" si="138"/>
        <v>1</v>
      </c>
    </row>
    <row r="243" spans="6:26" x14ac:dyDescent="0.25">
      <c r="F243" s="95"/>
      <c r="G243" s="362">
        <f t="shared" si="118"/>
        <v>8.3250000000000259</v>
      </c>
      <c r="H243" s="362">
        <f t="shared" si="124"/>
        <v>12</v>
      </c>
      <c r="I243" s="362">
        <f t="shared" si="124"/>
        <v>5.0999999999999996</v>
      </c>
      <c r="J243" s="362">
        <f t="shared" ref="J243:P243" si="160">J242</f>
        <v>5</v>
      </c>
      <c r="K243" s="362">
        <f t="shared" si="160"/>
        <v>4.9000000000000012</v>
      </c>
      <c r="L243" s="362">
        <f t="shared" si="160"/>
        <v>1.2</v>
      </c>
      <c r="M243" s="362">
        <f t="shared" si="160"/>
        <v>0</v>
      </c>
      <c r="N243" s="362">
        <f t="shared" si="160"/>
        <v>3.3</v>
      </c>
      <c r="O243" s="362">
        <f t="shared" si="160"/>
        <v>0</v>
      </c>
      <c r="P243" s="362">
        <f t="shared" si="160"/>
        <v>0</v>
      </c>
      <c r="Q243" s="362" t="s">
        <v>534</v>
      </c>
      <c r="R243" s="362">
        <f t="shared" ca="1" si="127"/>
        <v>4.8</v>
      </c>
      <c r="S243" s="362">
        <f t="shared" ca="1" si="128"/>
        <v>0</v>
      </c>
      <c r="T243" s="323">
        <f t="shared" ca="1" si="131"/>
        <v>3.7250000000000343</v>
      </c>
      <c r="U243" s="260">
        <f t="shared" ca="1" si="102"/>
        <v>1</v>
      </c>
      <c r="V243" s="260">
        <f t="shared" ca="1" si="138"/>
        <v>1</v>
      </c>
      <c r="W243" s="260">
        <f t="shared" ca="1" si="138"/>
        <v>1</v>
      </c>
      <c r="X243" s="260">
        <f t="shared" ca="1" si="138"/>
        <v>1</v>
      </c>
      <c r="Y243" s="260">
        <f t="shared" ca="1" si="138"/>
        <v>1</v>
      </c>
      <c r="Z243" s="260">
        <f t="shared" ca="1" si="138"/>
        <v>1</v>
      </c>
    </row>
    <row r="244" spans="6:26" x14ac:dyDescent="0.25">
      <c r="F244" s="95"/>
      <c r="G244" s="362">
        <f t="shared" si="118"/>
        <v>8.3500000000000263</v>
      </c>
      <c r="H244" s="362">
        <f t="shared" si="124"/>
        <v>12</v>
      </c>
      <c r="I244" s="362">
        <f t="shared" si="124"/>
        <v>5.0999999999999996</v>
      </c>
      <c r="J244" s="362">
        <f t="shared" ref="J244:P244" si="161">J243</f>
        <v>5</v>
      </c>
      <c r="K244" s="362">
        <f t="shared" si="161"/>
        <v>4.9000000000000012</v>
      </c>
      <c r="L244" s="362">
        <f t="shared" si="161"/>
        <v>1.2</v>
      </c>
      <c r="M244" s="362">
        <f t="shared" si="161"/>
        <v>0</v>
      </c>
      <c r="N244" s="362">
        <f t="shared" si="161"/>
        <v>3.3</v>
      </c>
      <c r="O244" s="362">
        <f t="shared" si="161"/>
        <v>0</v>
      </c>
      <c r="P244" s="362">
        <f t="shared" si="161"/>
        <v>0</v>
      </c>
      <c r="Q244" s="362" t="s">
        <v>534</v>
      </c>
      <c r="R244" s="362">
        <f t="shared" ca="1" si="127"/>
        <v>4.8</v>
      </c>
      <c r="S244" s="362">
        <f t="shared" ca="1" si="128"/>
        <v>0</v>
      </c>
      <c r="T244" s="323">
        <f t="shared" ca="1" si="131"/>
        <v>3.7500000000000346</v>
      </c>
      <c r="U244" s="260">
        <f t="shared" ca="1" si="102"/>
        <v>1</v>
      </c>
      <c r="V244" s="260">
        <f t="shared" ca="1" si="138"/>
        <v>1</v>
      </c>
      <c r="W244" s="260">
        <f t="shared" ca="1" si="138"/>
        <v>1</v>
      </c>
      <c r="X244" s="260">
        <f t="shared" ca="1" si="138"/>
        <v>1</v>
      </c>
      <c r="Y244" s="260">
        <f t="shared" ca="1" si="138"/>
        <v>1</v>
      </c>
      <c r="Z244" s="260">
        <f t="shared" ca="1" si="138"/>
        <v>1</v>
      </c>
    </row>
    <row r="245" spans="6:26" x14ac:dyDescent="0.25">
      <c r="F245" s="95"/>
      <c r="G245" s="362">
        <f t="shared" si="118"/>
        <v>8.3750000000000266</v>
      </c>
      <c r="H245" s="362">
        <f t="shared" si="124"/>
        <v>12</v>
      </c>
      <c r="I245" s="362">
        <f t="shared" si="124"/>
        <v>5.0999999999999996</v>
      </c>
      <c r="J245" s="362">
        <f t="shared" ref="J245:P245" si="162">J244</f>
        <v>5</v>
      </c>
      <c r="K245" s="362">
        <f t="shared" si="162"/>
        <v>4.9000000000000012</v>
      </c>
      <c r="L245" s="362">
        <f t="shared" si="162"/>
        <v>1.2</v>
      </c>
      <c r="M245" s="362">
        <f t="shared" si="162"/>
        <v>0</v>
      </c>
      <c r="N245" s="362">
        <f t="shared" si="162"/>
        <v>3.3</v>
      </c>
      <c r="O245" s="362">
        <f t="shared" si="162"/>
        <v>0</v>
      </c>
      <c r="P245" s="362">
        <f t="shared" si="162"/>
        <v>0</v>
      </c>
      <c r="Q245" s="362" t="s">
        <v>534</v>
      </c>
      <c r="R245" s="362">
        <f t="shared" ca="1" si="127"/>
        <v>4.8</v>
      </c>
      <c r="S245" s="362">
        <f t="shared" ca="1" si="128"/>
        <v>0</v>
      </c>
      <c r="T245" s="323">
        <f t="shared" ca="1" si="131"/>
        <v>3.775000000000035</v>
      </c>
      <c r="U245" s="260">
        <f t="shared" ca="1" si="102"/>
        <v>1</v>
      </c>
      <c r="V245" s="260">
        <f t="shared" ca="1" si="138"/>
        <v>1</v>
      </c>
      <c r="W245" s="260">
        <f t="shared" ca="1" si="138"/>
        <v>1</v>
      </c>
      <c r="X245" s="260">
        <f t="shared" ca="1" si="138"/>
        <v>1</v>
      </c>
      <c r="Y245" s="260">
        <f t="shared" ca="1" si="138"/>
        <v>1</v>
      </c>
      <c r="Z245" s="260">
        <f t="shared" ca="1" si="138"/>
        <v>1</v>
      </c>
    </row>
    <row r="246" spans="6:26" x14ac:dyDescent="0.25">
      <c r="F246" s="95"/>
      <c r="G246" s="362">
        <f t="shared" si="118"/>
        <v>8.400000000000027</v>
      </c>
      <c r="H246" s="362">
        <f t="shared" si="124"/>
        <v>12</v>
      </c>
      <c r="I246" s="362">
        <f t="shared" si="124"/>
        <v>5.0999999999999996</v>
      </c>
      <c r="J246" s="362">
        <f t="shared" ref="J246:P246" si="163">J245</f>
        <v>5</v>
      </c>
      <c r="K246" s="362">
        <f t="shared" si="163"/>
        <v>4.9000000000000012</v>
      </c>
      <c r="L246" s="362">
        <f t="shared" si="163"/>
        <v>1.2</v>
      </c>
      <c r="M246" s="362">
        <f t="shared" si="163"/>
        <v>0</v>
      </c>
      <c r="N246" s="362">
        <f t="shared" si="163"/>
        <v>3.3</v>
      </c>
      <c r="O246" s="362">
        <f t="shared" si="163"/>
        <v>0</v>
      </c>
      <c r="P246" s="362">
        <f t="shared" si="163"/>
        <v>0</v>
      </c>
      <c r="Q246" s="362" t="s">
        <v>534</v>
      </c>
      <c r="R246" s="362">
        <f t="shared" ca="1" si="127"/>
        <v>4.8</v>
      </c>
      <c r="S246" s="362">
        <f t="shared" ca="1" si="128"/>
        <v>0</v>
      </c>
      <c r="T246" s="323">
        <f t="shared" ca="1" si="131"/>
        <v>3.8000000000000353</v>
      </c>
      <c r="U246" s="260">
        <f t="shared" ca="1" si="102"/>
        <v>1</v>
      </c>
      <c r="V246" s="260">
        <f t="shared" ca="1" si="138"/>
        <v>1</v>
      </c>
      <c r="W246" s="260">
        <f t="shared" ca="1" si="138"/>
        <v>1</v>
      </c>
      <c r="X246" s="260">
        <f t="shared" ca="1" si="138"/>
        <v>1</v>
      </c>
      <c r="Y246" s="260">
        <f t="shared" ca="1" si="138"/>
        <v>1</v>
      </c>
      <c r="Z246" s="260">
        <f t="shared" ca="1" si="138"/>
        <v>1</v>
      </c>
    </row>
    <row r="247" spans="6:26" x14ac:dyDescent="0.25">
      <c r="F247" s="95"/>
      <c r="G247" s="362">
        <f t="shared" si="118"/>
        <v>8.4250000000000274</v>
      </c>
      <c r="H247" s="362">
        <f t="shared" si="124"/>
        <v>12</v>
      </c>
      <c r="I247" s="362">
        <f t="shared" si="124"/>
        <v>5.0999999999999996</v>
      </c>
      <c r="J247" s="362">
        <f t="shared" ref="J247:P247" si="164">J246</f>
        <v>5</v>
      </c>
      <c r="K247" s="362">
        <f t="shared" si="164"/>
        <v>4.9000000000000012</v>
      </c>
      <c r="L247" s="362">
        <f t="shared" si="164"/>
        <v>1.2</v>
      </c>
      <c r="M247" s="362">
        <f t="shared" si="164"/>
        <v>0</v>
      </c>
      <c r="N247" s="362">
        <f t="shared" si="164"/>
        <v>3.3</v>
      </c>
      <c r="O247" s="362">
        <f t="shared" si="164"/>
        <v>0</v>
      </c>
      <c r="P247" s="362">
        <f t="shared" si="164"/>
        <v>0</v>
      </c>
      <c r="Q247" s="362" t="s">
        <v>534</v>
      </c>
      <c r="R247" s="362">
        <f t="shared" ca="1" si="127"/>
        <v>4.8</v>
      </c>
      <c r="S247" s="362">
        <f t="shared" ca="1" si="128"/>
        <v>0</v>
      </c>
      <c r="T247" s="323">
        <f t="shared" ca="1" si="131"/>
        <v>3.8250000000000357</v>
      </c>
      <c r="U247" s="260">
        <f t="shared" ca="1" si="102"/>
        <v>1</v>
      </c>
      <c r="V247" s="260">
        <f t="shared" ca="1" si="138"/>
        <v>1</v>
      </c>
      <c r="W247" s="260">
        <f t="shared" ca="1" si="138"/>
        <v>1</v>
      </c>
      <c r="X247" s="260">
        <f t="shared" ca="1" si="138"/>
        <v>1</v>
      </c>
      <c r="Y247" s="260">
        <f t="shared" ca="1" si="138"/>
        <v>1</v>
      </c>
      <c r="Z247" s="260">
        <f t="shared" ca="1" si="138"/>
        <v>1</v>
      </c>
    </row>
    <row r="248" spans="6:26" x14ac:dyDescent="0.25">
      <c r="F248" s="95"/>
      <c r="G248" s="362">
        <f t="shared" si="118"/>
        <v>8.4500000000000277</v>
      </c>
      <c r="H248" s="362">
        <f t="shared" si="124"/>
        <v>12</v>
      </c>
      <c r="I248" s="362">
        <f t="shared" si="124"/>
        <v>5.0999999999999996</v>
      </c>
      <c r="J248" s="362">
        <f t="shared" ref="J248:P248" si="165">J247</f>
        <v>5</v>
      </c>
      <c r="K248" s="362">
        <f t="shared" si="165"/>
        <v>4.9000000000000012</v>
      </c>
      <c r="L248" s="362">
        <f t="shared" si="165"/>
        <v>1.2</v>
      </c>
      <c r="M248" s="362">
        <f t="shared" si="165"/>
        <v>0</v>
      </c>
      <c r="N248" s="362">
        <f t="shared" si="165"/>
        <v>3.3</v>
      </c>
      <c r="O248" s="362">
        <f t="shared" si="165"/>
        <v>0</v>
      </c>
      <c r="P248" s="362">
        <f t="shared" si="165"/>
        <v>0</v>
      </c>
      <c r="Q248" s="362" t="s">
        <v>534</v>
      </c>
      <c r="R248" s="362">
        <f t="shared" ca="1" si="127"/>
        <v>4.8</v>
      </c>
      <c r="S248" s="362">
        <f t="shared" ca="1" si="128"/>
        <v>0</v>
      </c>
      <c r="T248" s="323">
        <f t="shared" ca="1" si="131"/>
        <v>3.8500000000000361</v>
      </c>
      <c r="U248" s="260">
        <f t="shared" ca="1" si="102"/>
        <v>1</v>
      </c>
      <c r="V248" s="260">
        <f t="shared" ca="1" si="138"/>
        <v>1</v>
      </c>
      <c r="W248" s="260">
        <f t="shared" ca="1" si="138"/>
        <v>1</v>
      </c>
      <c r="X248" s="260">
        <f t="shared" ca="1" si="138"/>
        <v>1</v>
      </c>
      <c r="Y248" s="260">
        <f t="shared" ca="1" si="138"/>
        <v>1</v>
      </c>
      <c r="Z248" s="260">
        <f t="shared" ca="1" si="138"/>
        <v>1</v>
      </c>
    </row>
    <row r="249" spans="6:26" x14ac:dyDescent="0.25">
      <c r="F249" s="95"/>
      <c r="G249" s="362">
        <f t="shared" si="118"/>
        <v>8.4750000000000281</v>
      </c>
      <c r="H249" s="362">
        <f t="shared" si="124"/>
        <v>12</v>
      </c>
      <c r="I249" s="362">
        <f t="shared" si="124"/>
        <v>5.0999999999999996</v>
      </c>
      <c r="J249" s="362">
        <f t="shared" ref="J249:P249" si="166">J248</f>
        <v>5</v>
      </c>
      <c r="K249" s="362">
        <f t="shared" si="166"/>
        <v>4.9000000000000012</v>
      </c>
      <c r="L249" s="362">
        <f t="shared" si="166"/>
        <v>1.2</v>
      </c>
      <c r="M249" s="362">
        <f t="shared" si="166"/>
        <v>0</v>
      </c>
      <c r="N249" s="362">
        <f t="shared" si="166"/>
        <v>3.3</v>
      </c>
      <c r="O249" s="362">
        <f t="shared" si="166"/>
        <v>0</v>
      </c>
      <c r="P249" s="362">
        <f t="shared" si="166"/>
        <v>0</v>
      </c>
      <c r="Q249" s="362" t="s">
        <v>534</v>
      </c>
      <c r="R249" s="362">
        <f t="shared" ca="1" si="127"/>
        <v>4.8</v>
      </c>
      <c r="S249" s="362">
        <f t="shared" ca="1" si="128"/>
        <v>0</v>
      </c>
      <c r="T249" s="323">
        <f t="shared" ca="1" si="131"/>
        <v>3.8750000000000364</v>
      </c>
      <c r="U249" s="260">
        <f t="shared" ref="U249:U312" ca="1" si="167">IF(OR(U$17="ABIST1_No",COUNTIF($V$2,U$18)),1,IF(AND(U$19&lt;&gt;0,OFFSET($I249,0,MATCH(U$18,$J$21:$P$21,0))=U$19),1,0))</f>
        <v>1</v>
      </c>
      <c r="V249" s="260">
        <f t="shared" ca="1" si="138"/>
        <v>1</v>
      </c>
      <c r="W249" s="260">
        <f t="shared" ca="1" si="138"/>
        <v>1</v>
      </c>
      <c r="X249" s="260">
        <f t="shared" ca="1" si="138"/>
        <v>1</v>
      </c>
      <c r="Y249" s="260">
        <f t="shared" ca="1" si="138"/>
        <v>1</v>
      </c>
      <c r="Z249" s="260">
        <f t="shared" ca="1" si="138"/>
        <v>1</v>
      </c>
    </row>
    <row r="250" spans="6:26" x14ac:dyDescent="0.25">
      <c r="F250" s="95"/>
      <c r="G250" s="362">
        <f t="shared" si="118"/>
        <v>8.5000000000000284</v>
      </c>
      <c r="H250" s="362">
        <f t="shared" si="124"/>
        <v>12</v>
      </c>
      <c r="I250" s="362">
        <f t="shared" si="124"/>
        <v>5.0999999999999996</v>
      </c>
      <c r="J250" s="362">
        <f t="shared" ref="J250:P250" si="168">J249</f>
        <v>5</v>
      </c>
      <c r="K250" s="362">
        <f t="shared" si="168"/>
        <v>4.9000000000000012</v>
      </c>
      <c r="L250" s="362">
        <f t="shared" si="168"/>
        <v>1.2</v>
      </c>
      <c r="M250" s="362">
        <f t="shared" si="168"/>
        <v>0</v>
      </c>
      <c r="N250" s="362">
        <f t="shared" si="168"/>
        <v>3.3</v>
      </c>
      <c r="O250" s="362">
        <f t="shared" si="168"/>
        <v>0</v>
      </c>
      <c r="P250" s="362">
        <f t="shared" si="168"/>
        <v>0</v>
      </c>
      <c r="Q250" s="362" t="s">
        <v>534</v>
      </c>
      <c r="R250" s="362">
        <f t="shared" ca="1" si="127"/>
        <v>4.8</v>
      </c>
      <c r="S250" s="362">
        <f t="shared" ca="1" si="128"/>
        <v>0</v>
      </c>
      <c r="T250" s="323">
        <f t="shared" ca="1" si="131"/>
        <v>3.9000000000000368</v>
      </c>
      <c r="U250" s="260">
        <f t="shared" ca="1" si="167"/>
        <v>1</v>
      </c>
      <c r="V250" s="260">
        <f t="shared" ca="1" si="138"/>
        <v>1</v>
      </c>
      <c r="W250" s="260">
        <f t="shared" ca="1" si="138"/>
        <v>1</v>
      </c>
      <c r="X250" s="260">
        <f t="shared" ca="1" si="138"/>
        <v>1</v>
      </c>
      <c r="Y250" s="260">
        <f t="shared" ca="1" si="138"/>
        <v>1</v>
      </c>
      <c r="Z250" s="260">
        <f t="shared" ca="1" si="138"/>
        <v>1</v>
      </c>
    </row>
    <row r="251" spans="6:26" x14ac:dyDescent="0.25">
      <c r="F251" s="95"/>
      <c r="G251" s="362">
        <f t="shared" si="118"/>
        <v>8.5250000000000288</v>
      </c>
      <c r="H251" s="362">
        <f t="shared" si="124"/>
        <v>12</v>
      </c>
      <c r="I251" s="362">
        <f t="shared" si="124"/>
        <v>5.0999999999999996</v>
      </c>
      <c r="J251" s="362">
        <f t="shared" ref="J251:P251" si="169">J250</f>
        <v>5</v>
      </c>
      <c r="K251" s="362">
        <f t="shared" si="169"/>
        <v>4.9000000000000012</v>
      </c>
      <c r="L251" s="362">
        <f t="shared" si="169"/>
        <v>1.2</v>
      </c>
      <c r="M251" s="362">
        <f t="shared" si="169"/>
        <v>0</v>
      </c>
      <c r="N251" s="362">
        <f t="shared" si="169"/>
        <v>3.3</v>
      </c>
      <c r="O251" s="362">
        <f t="shared" si="169"/>
        <v>0</v>
      </c>
      <c r="P251" s="362">
        <f t="shared" si="169"/>
        <v>0</v>
      </c>
      <c r="Q251" s="362" t="s">
        <v>534</v>
      </c>
      <c r="R251" s="362">
        <f t="shared" ca="1" si="127"/>
        <v>4.8</v>
      </c>
      <c r="S251" s="362">
        <f t="shared" ca="1" si="128"/>
        <v>0</v>
      </c>
      <c r="T251" s="323">
        <f t="shared" ca="1" si="131"/>
        <v>3.9250000000000371</v>
      </c>
      <c r="U251" s="260">
        <f t="shared" ca="1" si="167"/>
        <v>1</v>
      </c>
      <c r="V251" s="260">
        <f t="shared" ca="1" si="138"/>
        <v>1</v>
      </c>
      <c r="W251" s="260">
        <f t="shared" ca="1" si="138"/>
        <v>1</v>
      </c>
      <c r="X251" s="260">
        <f t="shared" ca="1" si="138"/>
        <v>1</v>
      </c>
      <c r="Y251" s="260">
        <f t="shared" ca="1" si="138"/>
        <v>1</v>
      </c>
      <c r="Z251" s="260">
        <f t="shared" ca="1" si="138"/>
        <v>1</v>
      </c>
    </row>
    <row r="252" spans="6:26" x14ac:dyDescent="0.25">
      <c r="F252" s="95"/>
      <c r="G252" s="362">
        <f t="shared" si="118"/>
        <v>8.5500000000000291</v>
      </c>
      <c r="H252" s="362">
        <f t="shared" ref="H252:P252" si="170">H251</f>
        <v>12</v>
      </c>
      <c r="I252" s="362">
        <f t="shared" si="170"/>
        <v>5.0999999999999996</v>
      </c>
      <c r="J252" s="362">
        <f t="shared" si="170"/>
        <v>5</v>
      </c>
      <c r="K252" s="362">
        <f t="shared" si="170"/>
        <v>4.9000000000000012</v>
      </c>
      <c r="L252" s="362">
        <f t="shared" si="170"/>
        <v>1.2</v>
      </c>
      <c r="M252" s="362">
        <f t="shared" si="170"/>
        <v>0</v>
      </c>
      <c r="N252" s="362">
        <f t="shared" si="170"/>
        <v>3.3</v>
      </c>
      <c r="O252" s="362">
        <f t="shared" si="170"/>
        <v>0</v>
      </c>
      <c r="P252" s="362">
        <f t="shared" si="170"/>
        <v>0</v>
      </c>
      <c r="Q252" s="362" t="s">
        <v>534</v>
      </c>
      <c r="R252" s="362">
        <f t="shared" ca="1" si="127"/>
        <v>4.8</v>
      </c>
      <c r="S252" s="362">
        <f t="shared" ca="1" si="128"/>
        <v>0</v>
      </c>
      <c r="T252" s="323">
        <f t="shared" ca="1" si="131"/>
        <v>3.9500000000000375</v>
      </c>
      <c r="U252" s="260">
        <f t="shared" ca="1" si="167"/>
        <v>1</v>
      </c>
      <c r="V252" s="260">
        <f t="shared" ca="1" si="138"/>
        <v>1</v>
      </c>
      <c r="W252" s="260">
        <f t="shared" ca="1" si="138"/>
        <v>1</v>
      </c>
      <c r="X252" s="260">
        <f t="shared" ca="1" si="138"/>
        <v>1</v>
      </c>
      <c r="Y252" s="260">
        <f t="shared" ca="1" si="138"/>
        <v>1</v>
      </c>
      <c r="Z252" s="260">
        <f t="shared" ca="1" si="138"/>
        <v>1</v>
      </c>
    </row>
    <row r="253" spans="6:26" x14ac:dyDescent="0.25">
      <c r="F253" s="95"/>
      <c r="G253" s="362">
        <f t="shared" si="118"/>
        <v>8.5750000000000295</v>
      </c>
      <c r="H253" s="362">
        <f t="shared" ref="H253:P253" si="171">H252</f>
        <v>12</v>
      </c>
      <c r="I253" s="362">
        <f t="shared" si="171"/>
        <v>5.0999999999999996</v>
      </c>
      <c r="J253" s="362">
        <f t="shared" si="171"/>
        <v>5</v>
      </c>
      <c r="K253" s="362">
        <f t="shared" si="171"/>
        <v>4.9000000000000012</v>
      </c>
      <c r="L253" s="362">
        <f t="shared" si="171"/>
        <v>1.2</v>
      </c>
      <c r="M253" s="362">
        <f t="shared" si="171"/>
        <v>0</v>
      </c>
      <c r="N253" s="362">
        <f t="shared" si="171"/>
        <v>3.3</v>
      </c>
      <c r="O253" s="362">
        <f t="shared" si="171"/>
        <v>0</v>
      </c>
      <c r="P253" s="362">
        <f t="shared" si="171"/>
        <v>0</v>
      </c>
      <c r="Q253" s="362" t="s">
        <v>534</v>
      </c>
      <c r="R253" s="362">
        <f t="shared" ca="1" si="127"/>
        <v>4.8</v>
      </c>
      <c r="S253" s="362">
        <f t="shared" ca="1" si="128"/>
        <v>0</v>
      </c>
      <c r="T253" s="323">
        <f t="shared" ca="1" si="131"/>
        <v>3.9750000000000378</v>
      </c>
      <c r="U253" s="260">
        <f t="shared" ca="1" si="167"/>
        <v>1</v>
      </c>
      <c r="V253" s="260">
        <f t="shared" ca="1" si="138"/>
        <v>1</v>
      </c>
      <c r="W253" s="260">
        <f t="shared" ca="1" si="138"/>
        <v>1</v>
      </c>
      <c r="X253" s="260">
        <f t="shared" ca="1" si="138"/>
        <v>1</v>
      </c>
      <c r="Y253" s="260">
        <f t="shared" ca="1" si="138"/>
        <v>1</v>
      </c>
      <c r="Z253" s="260">
        <f t="shared" ca="1" si="138"/>
        <v>1</v>
      </c>
    </row>
    <row r="254" spans="6:26" x14ac:dyDescent="0.25">
      <c r="F254" s="95"/>
      <c r="G254" s="362">
        <f t="shared" si="118"/>
        <v>8.6000000000000298</v>
      </c>
      <c r="H254" s="362">
        <f t="shared" ref="H254:P254" si="172">H253</f>
        <v>12</v>
      </c>
      <c r="I254" s="362">
        <f t="shared" si="172"/>
        <v>5.0999999999999996</v>
      </c>
      <c r="J254" s="362">
        <f t="shared" si="172"/>
        <v>5</v>
      </c>
      <c r="K254" s="362">
        <f t="shared" si="172"/>
        <v>4.9000000000000012</v>
      </c>
      <c r="L254" s="362">
        <f t="shared" si="172"/>
        <v>1.2</v>
      </c>
      <c r="M254" s="362">
        <f t="shared" si="172"/>
        <v>0</v>
      </c>
      <c r="N254" s="362">
        <f t="shared" si="172"/>
        <v>3.3</v>
      </c>
      <c r="O254" s="362">
        <f t="shared" si="172"/>
        <v>0</v>
      </c>
      <c r="P254" s="362">
        <f t="shared" si="172"/>
        <v>0</v>
      </c>
      <c r="Q254" s="362" t="s">
        <v>534</v>
      </c>
      <c r="R254" s="362">
        <f t="shared" ca="1" si="127"/>
        <v>4.8</v>
      </c>
      <c r="S254" s="362">
        <f t="shared" ca="1" si="128"/>
        <v>0</v>
      </c>
      <c r="T254" s="323">
        <f t="shared" ca="1" si="131"/>
        <v>4.0000000000000382</v>
      </c>
      <c r="U254" s="260">
        <f t="shared" ca="1" si="167"/>
        <v>1</v>
      </c>
      <c r="V254" s="260">
        <f t="shared" ca="1" si="138"/>
        <v>1</v>
      </c>
      <c r="W254" s="260">
        <f t="shared" ca="1" si="138"/>
        <v>1</v>
      </c>
      <c r="X254" s="260">
        <f t="shared" ca="1" si="138"/>
        <v>1</v>
      </c>
      <c r="Y254" s="260">
        <f t="shared" ca="1" si="138"/>
        <v>1</v>
      </c>
      <c r="Z254" s="260">
        <f t="shared" ca="1" si="138"/>
        <v>1</v>
      </c>
    </row>
    <row r="255" spans="6:26" x14ac:dyDescent="0.25">
      <c r="F255" s="95"/>
      <c r="G255" s="362">
        <f t="shared" si="118"/>
        <v>8.6250000000000302</v>
      </c>
      <c r="H255" s="362">
        <f t="shared" ref="H255:P255" si="173">H254</f>
        <v>12</v>
      </c>
      <c r="I255" s="362">
        <f t="shared" si="173"/>
        <v>5.0999999999999996</v>
      </c>
      <c r="J255" s="362">
        <f t="shared" si="173"/>
        <v>5</v>
      </c>
      <c r="K255" s="362">
        <f t="shared" si="173"/>
        <v>4.9000000000000012</v>
      </c>
      <c r="L255" s="362">
        <f t="shared" si="173"/>
        <v>1.2</v>
      </c>
      <c r="M255" s="362">
        <f t="shared" si="173"/>
        <v>0</v>
      </c>
      <c r="N255" s="362">
        <f t="shared" si="173"/>
        <v>3.3</v>
      </c>
      <c r="O255" s="362">
        <f t="shared" si="173"/>
        <v>0</v>
      </c>
      <c r="P255" s="362">
        <f t="shared" si="173"/>
        <v>0</v>
      </c>
      <c r="Q255" s="362" t="s">
        <v>534</v>
      </c>
      <c r="R255" s="362">
        <f t="shared" ca="1" si="127"/>
        <v>4.8</v>
      </c>
      <c r="S255" s="362">
        <f t="shared" ca="1" si="128"/>
        <v>0</v>
      </c>
      <c r="T255" s="323">
        <f t="shared" ca="1" si="131"/>
        <v>4.0250000000000385</v>
      </c>
      <c r="U255" s="260">
        <f t="shared" ca="1" si="167"/>
        <v>1</v>
      </c>
      <c r="V255" s="260">
        <f t="shared" ca="1" si="138"/>
        <v>1</v>
      </c>
      <c r="W255" s="260">
        <f t="shared" ca="1" si="138"/>
        <v>1</v>
      </c>
      <c r="X255" s="260">
        <f t="shared" ca="1" si="138"/>
        <v>1</v>
      </c>
      <c r="Y255" s="260">
        <f t="shared" ca="1" si="138"/>
        <v>1</v>
      </c>
      <c r="Z255" s="260">
        <f t="shared" ca="1" si="138"/>
        <v>1</v>
      </c>
    </row>
    <row r="256" spans="6:26" x14ac:dyDescent="0.25">
      <c r="F256" s="95"/>
      <c r="G256" s="362">
        <f t="shared" si="118"/>
        <v>8.6500000000000306</v>
      </c>
      <c r="H256" s="362">
        <f t="shared" ref="H256:P256" si="174">H255</f>
        <v>12</v>
      </c>
      <c r="I256" s="362">
        <f t="shared" si="174"/>
        <v>5.0999999999999996</v>
      </c>
      <c r="J256" s="362">
        <f t="shared" si="174"/>
        <v>5</v>
      </c>
      <c r="K256" s="362">
        <f t="shared" si="174"/>
        <v>4.9000000000000012</v>
      </c>
      <c r="L256" s="362">
        <f t="shared" si="174"/>
        <v>1.2</v>
      </c>
      <c r="M256" s="362">
        <f t="shared" si="174"/>
        <v>0</v>
      </c>
      <c r="N256" s="362">
        <f t="shared" si="174"/>
        <v>3.3</v>
      </c>
      <c r="O256" s="362">
        <f t="shared" si="174"/>
        <v>0</v>
      </c>
      <c r="P256" s="362">
        <f t="shared" si="174"/>
        <v>0</v>
      </c>
      <c r="Q256" s="362" t="s">
        <v>534</v>
      </c>
      <c r="R256" s="362">
        <f t="shared" ca="1" si="127"/>
        <v>4.8</v>
      </c>
      <c r="S256" s="362">
        <f t="shared" ca="1" si="128"/>
        <v>0</v>
      </c>
      <c r="T256" s="323">
        <f t="shared" ca="1" si="131"/>
        <v>4.0500000000000389</v>
      </c>
      <c r="U256" s="260">
        <f t="shared" ca="1" si="167"/>
        <v>1</v>
      </c>
      <c r="V256" s="260">
        <f t="shared" ca="1" si="138"/>
        <v>1</v>
      </c>
      <c r="W256" s="260">
        <f t="shared" ca="1" si="138"/>
        <v>1</v>
      </c>
      <c r="X256" s="260">
        <f t="shared" ca="1" si="138"/>
        <v>1</v>
      </c>
      <c r="Y256" s="260">
        <f t="shared" ca="1" si="138"/>
        <v>1</v>
      </c>
      <c r="Z256" s="260">
        <f t="shared" ca="1" si="138"/>
        <v>1</v>
      </c>
    </row>
    <row r="257" spans="6:26" x14ac:dyDescent="0.25">
      <c r="F257" s="95"/>
      <c r="G257" s="362">
        <f t="shared" si="118"/>
        <v>8.6750000000000309</v>
      </c>
      <c r="H257" s="362">
        <f t="shared" ref="H257:P257" si="175">H256</f>
        <v>12</v>
      </c>
      <c r="I257" s="362">
        <f t="shared" si="175"/>
        <v>5.0999999999999996</v>
      </c>
      <c r="J257" s="362">
        <f t="shared" si="175"/>
        <v>5</v>
      </c>
      <c r="K257" s="362">
        <f t="shared" si="175"/>
        <v>4.9000000000000012</v>
      </c>
      <c r="L257" s="362">
        <f t="shared" si="175"/>
        <v>1.2</v>
      </c>
      <c r="M257" s="362">
        <f t="shared" si="175"/>
        <v>0</v>
      </c>
      <c r="N257" s="362">
        <f t="shared" si="175"/>
        <v>3.3</v>
      </c>
      <c r="O257" s="362">
        <f t="shared" si="175"/>
        <v>0</v>
      </c>
      <c r="P257" s="362">
        <f t="shared" si="175"/>
        <v>0</v>
      </c>
      <c r="Q257" s="362" t="s">
        <v>534</v>
      </c>
      <c r="R257" s="362">
        <f t="shared" ca="1" si="127"/>
        <v>4.8</v>
      </c>
      <c r="S257" s="362">
        <f t="shared" ca="1" si="128"/>
        <v>0</v>
      </c>
      <c r="T257" s="323">
        <f t="shared" ca="1" si="131"/>
        <v>4.0750000000000393</v>
      </c>
      <c r="U257" s="260">
        <f t="shared" ca="1" si="167"/>
        <v>1</v>
      </c>
      <c r="V257" s="260">
        <f t="shared" ca="1" si="138"/>
        <v>1</v>
      </c>
      <c r="W257" s="260">
        <f t="shared" ca="1" si="138"/>
        <v>1</v>
      </c>
      <c r="X257" s="260">
        <f t="shared" ca="1" si="138"/>
        <v>1</v>
      </c>
      <c r="Y257" s="260">
        <f t="shared" ca="1" si="138"/>
        <v>1</v>
      </c>
      <c r="Z257" s="260">
        <f t="shared" ca="1" si="138"/>
        <v>1</v>
      </c>
    </row>
    <row r="258" spans="6:26" x14ac:dyDescent="0.25">
      <c r="F258" s="95"/>
      <c r="G258" s="362">
        <f t="shared" si="118"/>
        <v>8.7000000000000313</v>
      </c>
      <c r="H258" s="362">
        <f t="shared" ref="H258:P258" si="176">H257</f>
        <v>12</v>
      </c>
      <c r="I258" s="362">
        <f t="shared" si="176"/>
        <v>5.0999999999999996</v>
      </c>
      <c r="J258" s="362">
        <f t="shared" si="176"/>
        <v>5</v>
      </c>
      <c r="K258" s="362">
        <f t="shared" si="176"/>
        <v>4.9000000000000012</v>
      </c>
      <c r="L258" s="362">
        <f t="shared" si="176"/>
        <v>1.2</v>
      </c>
      <c r="M258" s="362">
        <f t="shared" si="176"/>
        <v>0</v>
      </c>
      <c r="N258" s="362">
        <f t="shared" si="176"/>
        <v>3.3</v>
      </c>
      <c r="O258" s="362">
        <f t="shared" si="176"/>
        <v>0</v>
      </c>
      <c r="P258" s="362">
        <f t="shared" si="176"/>
        <v>0</v>
      </c>
      <c r="Q258" s="362" t="s">
        <v>534</v>
      </c>
      <c r="R258" s="362">
        <f t="shared" ca="1" si="127"/>
        <v>4.8</v>
      </c>
      <c r="S258" s="362">
        <f t="shared" ca="1" si="128"/>
        <v>0</v>
      </c>
      <c r="T258" s="323">
        <f t="shared" ca="1" si="131"/>
        <v>4.1000000000000396</v>
      </c>
      <c r="U258" s="260">
        <f t="shared" ca="1" si="167"/>
        <v>1</v>
      </c>
      <c r="V258" s="260">
        <f t="shared" ca="1" si="138"/>
        <v>1</v>
      </c>
      <c r="W258" s="260">
        <f t="shared" ca="1" si="138"/>
        <v>1</v>
      </c>
      <c r="X258" s="260">
        <f t="shared" ca="1" si="138"/>
        <v>1</v>
      </c>
      <c r="Y258" s="260">
        <f t="shared" ca="1" si="138"/>
        <v>1</v>
      </c>
      <c r="Z258" s="260">
        <f t="shared" ca="1" si="138"/>
        <v>1</v>
      </c>
    </row>
    <row r="259" spans="6:26" x14ac:dyDescent="0.25">
      <c r="F259" s="95"/>
      <c r="G259" s="362">
        <f t="shared" si="118"/>
        <v>8.7250000000000316</v>
      </c>
      <c r="H259" s="362">
        <f t="shared" ref="H259:P259" si="177">H258</f>
        <v>12</v>
      </c>
      <c r="I259" s="362">
        <f t="shared" si="177"/>
        <v>5.0999999999999996</v>
      </c>
      <c r="J259" s="362">
        <f t="shared" si="177"/>
        <v>5</v>
      </c>
      <c r="K259" s="362">
        <f t="shared" si="177"/>
        <v>4.9000000000000012</v>
      </c>
      <c r="L259" s="362">
        <f t="shared" si="177"/>
        <v>1.2</v>
      </c>
      <c r="M259" s="362">
        <f t="shared" si="177"/>
        <v>0</v>
      </c>
      <c r="N259" s="362">
        <f t="shared" si="177"/>
        <v>3.3</v>
      </c>
      <c r="O259" s="362">
        <f t="shared" si="177"/>
        <v>0</v>
      </c>
      <c r="P259" s="362">
        <f t="shared" si="177"/>
        <v>0</v>
      </c>
      <c r="Q259" s="362" t="s">
        <v>534</v>
      </c>
      <c r="R259" s="362">
        <f t="shared" ca="1" si="127"/>
        <v>4.8</v>
      </c>
      <c r="S259" s="362">
        <f t="shared" ca="1" si="128"/>
        <v>0</v>
      </c>
      <c r="T259" s="323">
        <f t="shared" ca="1" si="131"/>
        <v>4.12500000000004</v>
      </c>
      <c r="U259" s="260">
        <f t="shared" ca="1" si="167"/>
        <v>1</v>
      </c>
      <c r="V259" s="260">
        <f t="shared" ca="1" si="138"/>
        <v>1</v>
      </c>
      <c r="W259" s="260">
        <f t="shared" ca="1" si="138"/>
        <v>1</v>
      </c>
      <c r="X259" s="260">
        <f t="shared" ca="1" si="138"/>
        <v>1</v>
      </c>
      <c r="Y259" s="260">
        <f t="shared" ca="1" si="138"/>
        <v>1</v>
      </c>
      <c r="Z259" s="260">
        <f t="shared" ca="1" si="138"/>
        <v>1</v>
      </c>
    </row>
    <row r="260" spans="6:26" x14ac:dyDescent="0.25">
      <c r="F260" s="95"/>
      <c r="G260" s="362">
        <f t="shared" si="118"/>
        <v>8.750000000000032</v>
      </c>
      <c r="H260" s="362">
        <f t="shared" ref="H260:P260" si="178">H259</f>
        <v>12</v>
      </c>
      <c r="I260" s="362">
        <f t="shared" si="178"/>
        <v>5.0999999999999996</v>
      </c>
      <c r="J260" s="362">
        <f t="shared" si="178"/>
        <v>5</v>
      </c>
      <c r="K260" s="362">
        <f t="shared" si="178"/>
        <v>4.9000000000000012</v>
      </c>
      <c r="L260" s="362">
        <f t="shared" si="178"/>
        <v>1.2</v>
      </c>
      <c r="M260" s="362">
        <f t="shared" si="178"/>
        <v>0</v>
      </c>
      <c r="N260" s="362">
        <f t="shared" si="178"/>
        <v>3.3</v>
      </c>
      <c r="O260" s="362">
        <f t="shared" si="178"/>
        <v>0</v>
      </c>
      <c r="P260" s="362">
        <f t="shared" si="178"/>
        <v>0</v>
      </c>
      <c r="Q260" s="362" t="s">
        <v>534</v>
      </c>
      <c r="R260" s="362">
        <f t="shared" ca="1" si="127"/>
        <v>4.8</v>
      </c>
      <c r="S260" s="362">
        <f t="shared" ca="1" si="128"/>
        <v>0</v>
      </c>
      <c r="T260" s="323">
        <f t="shared" ca="1" si="131"/>
        <v>4.1500000000000403</v>
      </c>
      <c r="U260" s="260">
        <f t="shared" ca="1" si="167"/>
        <v>1</v>
      </c>
      <c r="V260" s="260">
        <f t="shared" ca="1" si="138"/>
        <v>1</v>
      </c>
      <c r="W260" s="260">
        <f t="shared" ca="1" si="138"/>
        <v>1</v>
      </c>
      <c r="X260" s="260">
        <f t="shared" ca="1" si="138"/>
        <v>1</v>
      </c>
      <c r="Y260" s="260">
        <f t="shared" ca="1" si="138"/>
        <v>1</v>
      </c>
      <c r="Z260" s="260">
        <f t="shared" ca="1" si="138"/>
        <v>1</v>
      </c>
    </row>
    <row r="261" spans="6:26" x14ac:dyDescent="0.25">
      <c r="F261" s="95"/>
      <c r="G261" s="362">
        <f t="shared" si="118"/>
        <v>8.7750000000000323</v>
      </c>
      <c r="H261" s="362">
        <f t="shared" ref="H261:P261" si="179">H260</f>
        <v>12</v>
      </c>
      <c r="I261" s="362">
        <f t="shared" si="179"/>
        <v>5.0999999999999996</v>
      </c>
      <c r="J261" s="362">
        <f t="shared" si="179"/>
        <v>5</v>
      </c>
      <c r="K261" s="362">
        <f t="shared" si="179"/>
        <v>4.9000000000000012</v>
      </c>
      <c r="L261" s="362">
        <f t="shared" si="179"/>
        <v>1.2</v>
      </c>
      <c r="M261" s="362">
        <f t="shared" si="179"/>
        <v>0</v>
      </c>
      <c r="N261" s="362">
        <f t="shared" si="179"/>
        <v>3.3</v>
      </c>
      <c r="O261" s="362">
        <f t="shared" si="179"/>
        <v>0</v>
      </c>
      <c r="P261" s="362">
        <f t="shared" si="179"/>
        <v>0</v>
      </c>
      <c r="Q261" s="362" t="s">
        <v>534</v>
      </c>
      <c r="R261" s="362">
        <f t="shared" ca="1" si="127"/>
        <v>4.8</v>
      </c>
      <c r="S261" s="362">
        <f t="shared" ca="1" si="128"/>
        <v>0</v>
      </c>
      <c r="T261" s="323">
        <f t="shared" ca="1" si="131"/>
        <v>4.1750000000000407</v>
      </c>
      <c r="U261" s="260">
        <f t="shared" ca="1" si="167"/>
        <v>1</v>
      </c>
      <c r="V261" s="260">
        <f t="shared" ca="1" si="138"/>
        <v>1</v>
      </c>
      <c r="W261" s="260">
        <f t="shared" ca="1" si="138"/>
        <v>1</v>
      </c>
      <c r="X261" s="260">
        <f t="shared" ca="1" si="138"/>
        <v>1</v>
      </c>
      <c r="Y261" s="260">
        <f t="shared" ca="1" si="138"/>
        <v>1</v>
      </c>
      <c r="Z261" s="260">
        <f t="shared" ca="1" si="138"/>
        <v>1</v>
      </c>
    </row>
    <row r="262" spans="6:26" x14ac:dyDescent="0.25">
      <c r="F262" s="95"/>
      <c r="G262" s="362">
        <f t="shared" si="118"/>
        <v>8.8000000000000327</v>
      </c>
      <c r="H262" s="362">
        <f t="shared" ref="H262:P262" si="180">H261</f>
        <v>12</v>
      </c>
      <c r="I262" s="362">
        <f t="shared" si="180"/>
        <v>5.0999999999999996</v>
      </c>
      <c r="J262" s="362">
        <f t="shared" si="180"/>
        <v>5</v>
      </c>
      <c r="K262" s="362">
        <f t="shared" si="180"/>
        <v>4.9000000000000012</v>
      </c>
      <c r="L262" s="362">
        <f t="shared" si="180"/>
        <v>1.2</v>
      </c>
      <c r="M262" s="362">
        <f t="shared" si="180"/>
        <v>0</v>
      </c>
      <c r="N262" s="362">
        <f t="shared" si="180"/>
        <v>3.3</v>
      </c>
      <c r="O262" s="362">
        <f t="shared" si="180"/>
        <v>0</v>
      </c>
      <c r="P262" s="362">
        <f t="shared" si="180"/>
        <v>0</v>
      </c>
      <c r="Q262" s="362" t="s">
        <v>534</v>
      </c>
      <c r="R262" s="362">
        <f t="shared" ca="1" si="127"/>
        <v>4.8</v>
      </c>
      <c r="S262" s="362">
        <f t="shared" ca="1" si="128"/>
        <v>0</v>
      </c>
      <c r="T262" s="323">
        <f t="shared" ca="1" si="131"/>
        <v>4.200000000000041</v>
      </c>
      <c r="U262" s="260">
        <f t="shared" ca="1" si="167"/>
        <v>1</v>
      </c>
      <c r="V262" s="260">
        <f t="shared" ca="1" si="138"/>
        <v>1</v>
      </c>
      <c r="W262" s="260">
        <f t="shared" ca="1" si="138"/>
        <v>1</v>
      </c>
      <c r="X262" s="260">
        <f t="shared" ca="1" si="138"/>
        <v>1</v>
      </c>
      <c r="Y262" s="260">
        <f t="shared" ca="1" si="138"/>
        <v>1</v>
      </c>
      <c r="Z262" s="260">
        <f t="shared" ca="1" si="138"/>
        <v>1</v>
      </c>
    </row>
    <row r="263" spans="6:26" x14ac:dyDescent="0.25">
      <c r="F263" s="95"/>
      <c r="G263" s="362">
        <f t="shared" si="118"/>
        <v>8.825000000000033</v>
      </c>
      <c r="H263" s="362">
        <f t="shared" ref="H263:P263" si="181">H262</f>
        <v>12</v>
      </c>
      <c r="I263" s="362">
        <f t="shared" si="181"/>
        <v>5.0999999999999996</v>
      </c>
      <c r="J263" s="362">
        <f t="shared" si="181"/>
        <v>5</v>
      </c>
      <c r="K263" s="362">
        <f t="shared" si="181"/>
        <v>4.9000000000000012</v>
      </c>
      <c r="L263" s="362">
        <f t="shared" si="181"/>
        <v>1.2</v>
      </c>
      <c r="M263" s="362">
        <f t="shared" si="181"/>
        <v>0</v>
      </c>
      <c r="N263" s="362">
        <f t="shared" si="181"/>
        <v>3.3</v>
      </c>
      <c r="O263" s="362">
        <f t="shared" si="181"/>
        <v>0</v>
      </c>
      <c r="P263" s="362">
        <f t="shared" si="181"/>
        <v>0</v>
      </c>
      <c r="Q263" s="362" t="s">
        <v>534</v>
      </c>
      <c r="R263" s="362">
        <f t="shared" ca="1" si="127"/>
        <v>4.8</v>
      </c>
      <c r="S263" s="362">
        <f t="shared" ca="1" si="128"/>
        <v>0</v>
      </c>
      <c r="T263" s="323">
        <f t="shared" ca="1" si="131"/>
        <v>4.2250000000000414</v>
      </c>
      <c r="U263" s="260">
        <f t="shared" ca="1" si="167"/>
        <v>1</v>
      </c>
      <c r="V263" s="260">
        <f t="shared" ca="1" si="138"/>
        <v>1</v>
      </c>
      <c r="W263" s="260">
        <f t="shared" ca="1" si="138"/>
        <v>1</v>
      </c>
      <c r="X263" s="260">
        <f t="shared" ca="1" si="138"/>
        <v>1</v>
      </c>
      <c r="Y263" s="260">
        <f t="shared" ca="1" si="138"/>
        <v>1</v>
      </c>
      <c r="Z263" s="260">
        <f t="shared" ca="1" si="138"/>
        <v>1</v>
      </c>
    </row>
    <row r="264" spans="6:26" x14ac:dyDescent="0.25">
      <c r="F264" s="95"/>
      <c r="G264" s="362">
        <f t="shared" ref="G264:G310" si="182">G263+$H$1</f>
        <v>8.8500000000000334</v>
      </c>
      <c r="H264" s="362">
        <f t="shared" ref="H264:P264" si="183">H263</f>
        <v>12</v>
      </c>
      <c r="I264" s="362">
        <f t="shared" si="183"/>
        <v>5.0999999999999996</v>
      </c>
      <c r="J264" s="362">
        <f t="shared" si="183"/>
        <v>5</v>
      </c>
      <c r="K264" s="362">
        <f t="shared" si="183"/>
        <v>4.9000000000000012</v>
      </c>
      <c r="L264" s="362">
        <f t="shared" si="183"/>
        <v>1.2</v>
      </c>
      <c r="M264" s="362">
        <f t="shared" si="183"/>
        <v>0</v>
      </c>
      <c r="N264" s="362">
        <f t="shared" si="183"/>
        <v>3.3</v>
      </c>
      <c r="O264" s="362">
        <f t="shared" si="183"/>
        <v>0</v>
      </c>
      <c r="P264" s="362">
        <f t="shared" si="183"/>
        <v>0</v>
      </c>
      <c r="Q264" s="362" t="s">
        <v>534</v>
      </c>
      <c r="R264" s="362">
        <f t="shared" ca="1" si="127"/>
        <v>4.8</v>
      </c>
      <c r="S264" s="362">
        <f t="shared" ca="1" si="128"/>
        <v>0</v>
      </c>
      <c r="T264" s="323">
        <f t="shared" ca="1" si="131"/>
        <v>4.2500000000000417</v>
      </c>
      <c r="U264" s="260">
        <f t="shared" ca="1" si="167"/>
        <v>1</v>
      </c>
      <c r="V264" s="260">
        <f t="shared" ca="1" si="138"/>
        <v>1</v>
      </c>
      <c r="W264" s="260">
        <f t="shared" ca="1" si="138"/>
        <v>1</v>
      </c>
      <c r="X264" s="260">
        <f t="shared" ca="1" si="138"/>
        <v>1</v>
      </c>
      <c r="Y264" s="260">
        <f t="shared" ca="1" si="138"/>
        <v>1</v>
      </c>
      <c r="Z264" s="260">
        <f t="shared" ca="1" si="138"/>
        <v>1</v>
      </c>
    </row>
    <row r="265" spans="6:26" x14ac:dyDescent="0.25">
      <c r="F265" s="95"/>
      <c r="G265" s="362">
        <f t="shared" si="182"/>
        <v>8.8750000000000338</v>
      </c>
      <c r="H265" s="362">
        <f t="shared" ref="H265:P265" si="184">H264</f>
        <v>12</v>
      </c>
      <c r="I265" s="362">
        <f t="shared" si="184"/>
        <v>5.0999999999999996</v>
      </c>
      <c r="J265" s="362">
        <f t="shared" si="184"/>
        <v>5</v>
      </c>
      <c r="K265" s="362">
        <f t="shared" si="184"/>
        <v>4.9000000000000012</v>
      </c>
      <c r="L265" s="362">
        <f t="shared" si="184"/>
        <v>1.2</v>
      </c>
      <c r="M265" s="362">
        <f t="shared" si="184"/>
        <v>0</v>
      </c>
      <c r="N265" s="362">
        <f t="shared" si="184"/>
        <v>3.3</v>
      </c>
      <c r="O265" s="362">
        <f t="shared" si="184"/>
        <v>0</v>
      </c>
      <c r="P265" s="362">
        <f t="shared" si="184"/>
        <v>0</v>
      </c>
      <c r="Q265" s="362" t="s">
        <v>534</v>
      </c>
      <c r="R265" s="362">
        <f t="shared" ca="1" si="127"/>
        <v>4.8</v>
      </c>
      <c r="S265" s="362">
        <f t="shared" ca="1" si="128"/>
        <v>0</v>
      </c>
      <c r="T265" s="323">
        <f t="shared" ca="1" si="131"/>
        <v>4.2750000000000421</v>
      </c>
      <c r="U265" s="260">
        <f t="shared" ca="1" si="167"/>
        <v>1</v>
      </c>
      <c r="V265" s="260">
        <f t="shared" ca="1" si="138"/>
        <v>1</v>
      </c>
      <c r="W265" s="260">
        <f t="shared" ca="1" si="138"/>
        <v>1</v>
      </c>
      <c r="X265" s="260">
        <f t="shared" ca="1" si="138"/>
        <v>1</v>
      </c>
      <c r="Y265" s="260">
        <f t="shared" ca="1" si="138"/>
        <v>1</v>
      </c>
      <c r="Z265" s="260">
        <f t="shared" ca="1" si="138"/>
        <v>1</v>
      </c>
    </row>
    <row r="266" spans="6:26" x14ac:dyDescent="0.25">
      <c r="F266" s="95"/>
      <c r="G266" s="362">
        <f t="shared" si="182"/>
        <v>8.9000000000000341</v>
      </c>
      <c r="H266" s="362">
        <f t="shared" ref="H266:P266" si="185">H265</f>
        <v>12</v>
      </c>
      <c r="I266" s="362">
        <f t="shared" si="185"/>
        <v>5.0999999999999996</v>
      </c>
      <c r="J266" s="362">
        <f t="shared" si="185"/>
        <v>5</v>
      </c>
      <c r="K266" s="362">
        <f t="shared" si="185"/>
        <v>4.9000000000000012</v>
      </c>
      <c r="L266" s="362">
        <f t="shared" si="185"/>
        <v>1.2</v>
      </c>
      <c r="M266" s="362">
        <f t="shared" si="185"/>
        <v>0</v>
      </c>
      <c r="N266" s="362">
        <f t="shared" si="185"/>
        <v>3.3</v>
      </c>
      <c r="O266" s="362">
        <f t="shared" si="185"/>
        <v>0</v>
      </c>
      <c r="P266" s="362">
        <f t="shared" si="185"/>
        <v>0</v>
      </c>
      <c r="Q266" s="362" t="s">
        <v>534</v>
      </c>
      <c r="R266" s="362">
        <f t="shared" ca="1" si="127"/>
        <v>4.8</v>
      </c>
      <c r="S266" s="362">
        <f t="shared" ca="1" si="128"/>
        <v>0</v>
      </c>
      <c r="T266" s="323">
        <f t="shared" ca="1" si="131"/>
        <v>4.3000000000000425</v>
      </c>
      <c r="U266" s="260">
        <f t="shared" ca="1" si="167"/>
        <v>1</v>
      </c>
      <c r="V266" s="260">
        <f t="shared" ca="1" si="138"/>
        <v>1</v>
      </c>
      <c r="W266" s="260">
        <f t="shared" ca="1" si="138"/>
        <v>1</v>
      </c>
      <c r="X266" s="260">
        <f t="shared" ca="1" si="138"/>
        <v>1</v>
      </c>
      <c r="Y266" s="260">
        <f t="shared" ca="1" si="138"/>
        <v>1</v>
      </c>
      <c r="Z266" s="260">
        <f t="shared" ca="1" si="138"/>
        <v>1</v>
      </c>
    </row>
    <row r="267" spans="6:26" x14ac:dyDescent="0.25">
      <c r="F267" s="95"/>
      <c r="G267" s="362">
        <f t="shared" si="182"/>
        <v>8.9250000000000345</v>
      </c>
      <c r="H267" s="362">
        <f t="shared" ref="H267:P267" si="186">H266</f>
        <v>12</v>
      </c>
      <c r="I267" s="362">
        <f t="shared" si="186"/>
        <v>5.0999999999999996</v>
      </c>
      <c r="J267" s="362">
        <f t="shared" si="186"/>
        <v>5</v>
      </c>
      <c r="K267" s="362">
        <f t="shared" si="186"/>
        <v>4.9000000000000012</v>
      </c>
      <c r="L267" s="362">
        <f t="shared" si="186"/>
        <v>1.2</v>
      </c>
      <c r="M267" s="362">
        <f t="shared" si="186"/>
        <v>0</v>
      </c>
      <c r="N267" s="362">
        <f t="shared" si="186"/>
        <v>3.3</v>
      </c>
      <c r="O267" s="362">
        <f t="shared" si="186"/>
        <v>0</v>
      </c>
      <c r="P267" s="362">
        <f t="shared" si="186"/>
        <v>0</v>
      </c>
      <c r="Q267" s="362" t="s">
        <v>534</v>
      </c>
      <c r="R267" s="362">
        <f t="shared" ca="1" si="127"/>
        <v>4.8</v>
      </c>
      <c r="S267" s="362">
        <f t="shared" ca="1" si="128"/>
        <v>0</v>
      </c>
      <c r="T267" s="323">
        <f t="shared" ca="1" si="131"/>
        <v>4.3250000000000428</v>
      </c>
      <c r="U267" s="260">
        <f t="shared" ca="1" si="167"/>
        <v>1</v>
      </c>
      <c r="V267" s="260">
        <f t="shared" ca="1" si="138"/>
        <v>1</v>
      </c>
      <c r="W267" s="260">
        <f t="shared" ca="1" si="138"/>
        <v>1</v>
      </c>
      <c r="X267" s="260">
        <f t="shared" ca="1" si="138"/>
        <v>1</v>
      </c>
      <c r="Y267" s="260">
        <f t="shared" ca="1" si="138"/>
        <v>1</v>
      </c>
      <c r="Z267" s="260">
        <f t="shared" ca="1" si="138"/>
        <v>1</v>
      </c>
    </row>
    <row r="268" spans="6:26" x14ac:dyDescent="0.25">
      <c r="F268" s="95"/>
      <c r="G268" s="362">
        <f t="shared" si="182"/>
        <v>8.9500000000000348</v>
      </c>
      <c r="H268" s="362">
        <f t="shared" ref="H268:P268" si="187">H267</f>
        <v>12</v>
      </c>
      <c r="I268" s="362">
        <f t="shared" si="187"/>
        <v>5.0999999999999996</v>
      </c>
      <c r="J268" s="362">
        <f t="shared" si="187"/>
        <v>5</v>
      </c>
      <c r="K268" s="362">
        <f t="shared" si="187"/>
        <v>4.9000000000000012</v>
      </c>
      <c r="L268" s="362">
        <f t="shared" si="187"/>
        <v>1.2</v>
      </c>
      <c r="M268" s="362">
        <f t="shared" si="187"/>
        <v>0</v>
      </c>
      <c r="N268" s="362">
        <f t="shared" si="187"/>
        <v>3.3</v>
      </c>
      <c r="O268" s="362">
        <f t="shared" si="187"/>
        <v>0</v>
      </c>
      <c r="P268" s="362">
        <f t="shared" si="187"/>
        <v>0</v>
      </c>
      <c r="Q268" s="362" t="s">
        <v>534</v>
      </c>
      <c r="R268" s="362">
        <f t="shared" ca="1" si="127"/>
        <v>4.8</v>
      </c>
      <c r="S268" s="362">
        <f t="shared" ca="1" si="128"/>
        <v>0</v>
      </c>
      <c r="T268" s="323">
        <f t="shared" ca="1" si="131"/>
        <v>4.3500000000000432</v>
      </c>
      <c r="U268" s="260">
        <f t="shared" ca="1" si="167"/>
        <v>1</v>
      </c>
      <c r="V268" s="260">
        <f t="shared" ca="1" si="138"/>
        <v>1</v>
      </c>
      <c r="W268" s="260">
        <f t="shared" ca="1" si="138"/>
        <v>1</v>
      </c>
      <c r="X268" s="260">
        <f t="shared" ca="1" si="138"/>
        <v>1</v>
      </c>
      <c r="Y268" s="260">
        <f t="shared" ca="1" si="138"/>
        <v>1</v>
      </c>
      <c r="Z268" s="260">
        <f t="shared" ca="1" si="138"/>
        <v>1</v>
      </c>
    </row>
    <row r="269" spans="6:26" x14ac:dyDescent="0.25">
      <c r="F269" s="95"/>
      <c r="G269" s="362">
        <f t="shared" si="182"/>
        <v>8.9750000000000352</v>
      </c>
      <c r="H269" s="362">
        <f t="shared" ref="H269:P269" si="188">H268</f>
        <v>12</v>
      </c>
      <c r="I269" s="362">
        <f t="shared" si="188"/>
        <v>5.0999999999999996</v>
      </c>
      <c r="J269" s="362">
        <f t="shared" si="188"/>
        <v>5</v>
      </c>
      <c r="K269" s="362">
        <f t="shared" si="188"/>
        <v>4.9000000000000012</v>
      </c>
      <c r="L269" s="362">
        <f t="shared" si="188"/>
        <v>1.2</v>
      </c>
      <c r="M269" s="362">
        <f t="shared" si="188"/>
        <v>0</v>
      </c>
      <c r="N269" s="362">
        <f t="shared" si="188"/>
        <v>3.3</v>
      </c>
      <c r="O269" s="362">
        <f t="shared" si="188"/>
        <v>0</v>
      </c>
      <c r="P269" s="362">
        <f t="shared" si="188"/>
        <v>0</v>
      </c>
      <c r="Q269" s="362" t="s">
        <v>534</v>
      </c>
      <c r="R269" s="362">
        <f t="shared" ca="1" si="127"/>
        <v>4.8</v>
      </c>
      <c r="S269" s="362">
        <f t="shared" ca="1" si="128"/>
        <v>0</v>
      </c>
      <c r="T269" s="323">
        <f t="shared" ca="1" si="131"/>
        <v>4.3750000000000435</v>
      </c>
      <c r="U269" s="260">
        <f t="shared" ca="1" si="167"/>
        <v>1</v>
      </c>
      <c r="V269" s="260">
        <f t="shared" ca="1" si="138"/>
        <v>1</v>
      </c>
      <c r="W269" s="260">
        <f t="shared" ca="1" si="138"/>
        <v>1</v>
      </c>
      <c r="X269" s="260">
        <f t="shared" ca="1" si="138"/>
        <v>1</v>
      </c>
      <c r="Y269" s="260">
        <f t="shared" ca="1" si="138"/>
        <v>1</v>
      </c>
      <c r="Z269" s="260">
        <f t="shared" ca="1" si="138"/>
        <v>1</v>
      </c>
    </row>
    <row r="270" spans="6:26" x14ac:dyDescent="0.25">
      <c r="G270" s="362">
        <f t="shared" si="182"/>
        <v>9.0000000000000355</v>
      </c>
      <c r="H270" s="362">
        <f t="shared" ref="H270:P270" si="189">H269</f>
        <v>12</v>
      </c>
      <c r="I270" s="362">
        <f t="shared" si="189"/>
        <v>5.0999999999999996</v>
      </c>
      <c r="J270" s="362">
        <f t="shared" si="189"/>
        <v>5</v>
      </c>
      <c r="K270" s="362">
        <f t="shared" si="189"/>
        <v>4.9000000000000012</v>
      </c>
      <c r="L270" s="362">
        <f t="shared" si="189"/>
        <v>1.2</v>
      </c>
      <c r="M270" s="362">
        <f t="shared" si="189"/>
        <v>0</v>
      </c>
      <c r="N270" s="362">
        <f t="shared" si="189"/>
        <v>3.3</v>
      </c>
      <c r="O270" s="362">
        <f t="shared" si="189"/>
        <v>0</v>
      </c>
      <c r="P270" s="362">
        <f t="shared" si="189"/>
        <v>0</v>
      </c>
      <c r="Q270" s="362" t="s">
        <v>534</v>
      </c>
      <c r="R270" s="362">
        <f t="shared" ca="1" si="127"/>
        <v>4.8</v>
      </c>
      <c r="S270" s="362">
        <f t="shared" ca="1" si="128"/>
        <v>0</v>
      </c>
      <c r="T270" s="323">
        <f t="shared" ca="1" si="131"/>
        <v>4.4000000000000439</v>
      </c>
      <c r="U270" s="260">
        <f t="shared" ca="1" si="167"/>
        <v>1</v>
      </c>
      <c r="V270" s="260">
        <f t="shared" ca="1" si="138"/>
        <v>1</v>
      </c>
      <c r="W270" s="260">
        <f t="shared" ca="1" si="138"/>
        <v>1</v>
      </c>
      <c r="X270" s="260">
        <f t="shared" ca="1" si="138"/>
        <v>1</v>
      </c>
      <c r="Y270" s="260">
        <f t="shared" ca="1" si="138"/>
        <v>1</v>
      </c>
      <c r="Z270" s="260">
        <f t="shared" ca="1" si="138"/>
        <v>1</v>
      </c>
    </row>
    <row r="271" spans="6:26" x14ac:dyDescent="0.25">
      <c r="G271" s="362">
        <f t="shared" si="182"/>
        <v>9.0250000000000359</v>
      </c>
      <c r="H271" s="362">
        <f t="shared" ref="H271:P271" si="190">H270</f>
        <v>12</v>
      </c>
      <c r="I271" s="362">
        <f t="shared" si="190"/>
        <v>5.0999999999999996</v>
      </c>
      <c r="J271" s="362">
        <f t="shared" si="190"/>
        <v>5</v>
      </c>
      <c r="K271" s="362">
        <f t="shared" si="190"/>
        <v>4.9000000000000012</v>
      </c>
      <c r="L271" s="362">
        <f t="shared" si="190"/>
        <v>1.2</v>
      </c>
      <c r="M271" s="362">
        <f t="shared" si="190"/>
        <v>0</v>
      </c>
      <c r="N271" s="362">
        <f t="shared" si="190"/>
        <v>3.3</v>
      </c>
      <c r="O271" s="362">
        <f t="shared" si="190"/>
        <v>0</v>
      </c>
      <c r="P271" s="362">
        <f t="shared" si="190"/>
        <v>0</v>
      </c>
      <c r="Q271" s="362" t="s">
        <v>534</v>
      </c>
      <c r="R271" s="362">
        <f t="shared" ca="1" si="127"/>
        <v>4.8</v>
      </c>
      <c r="S271" s="362">
        <f t="shared" ca="1" si="128"/>
        <v>0</v>
      </c>
      <c r="T271" s="323">
        <f t="shared" ca="1" si="131"/>
        <v>4.4250000000000442</v>
      </c>
      <c r="U271" s="260">
        <f t="shared" ca="1" si="167"/>
        <v>1</v>
      </c>
      <c r="V271" s="260">
        <f t="shared" ca="1" si="138"/>
        <v>1</v>
      </c>
      <c r="W271" s="260">
        <f t="shared" ca="1" si="138"/>
        <v>1</v>
      </c>
      <c r="X271" s="260">
        <f t="shared" ca="1" si="138"/>
        <v>1</v>
      </c>
      <c r="Y271" s="260">
        <f t="shared" ca="1" si="138"/>
        <v>1</v>
      </c>
      <c r="Z271" s="260">
        <f t="shared" ca="1" si="138"/>
        <v>1</v>
      </c>
    </row>
    <row r="272" spans="6:26" x14ac:dyDescent="0.25">
      <c r="G272" s="362">
        <f t="shared" si="182"/>
        <v>9.0500000000000362</v>
      </c>
      <c r="H272" s="362">
        <f t="shared" ref="H272:P272" si="191">H271</f>
        <v>12</v>
      </c>
      <c r="I272" s="362">
        <f t="shared" si="191"/>
        <v>5.0999999999999996</v>
      </c>
      <c r="J272" s="362">
        <f t="shared" si="191"/>
        <v>5</v>
      </c>
      <c r="K272" s="362">
        <f t="shared" si="191"/>
        <v>4.9000000000000012</v>
      </c>
      <c r="L272" s="362">
        <f t="shared" si="191"/>
        <v>1.2</v>
      </c>
      <c r="M272" s="362">
        <f t="shared" si="191"/>
        <v>0</v>
      </c>
      <c r="N272" s="362">
        <f t="shared" si="191"/>
        <v>3.3</v>
      </c>
      <c r="O272" s="362">
        <f t="shared" si="191"/>
        <v>0</v>
      </c>
      <c r="P272" s="362">
        <f t="shared" si="191"/>
        <v>0</v>
      </c>
      <c r="Q272" s="362" t="s">
        <v>534</v>
      </c>
      <c r="R272" s="362">
        <f t="shared" ca="1" si="127"/>
        <v>4.8</v>
      </c>
      <c r="S272" s="362">
        <f t="shared" ca="1" si="128"/>
        <v>0</v>
      </c>
      <c r="T272" s="323">
        <f t="shared" ca="1" si="131"/>
        <v>4.4500000000000446</v>
      </c>
      <c r="U272" s="260">
        <f t="shared" ca="1" si="167"/>
        <v>1</v>
      </c>
      <c r="V272" s="260">
        <f t="shared" ca="1" si="138"/>
        <v>1</v>
      </c>
      <c r="W272" s="260">
        <f t="shared" ca="1" si="138"/>
        <v>1</v>
      </c>
      <c r="X272" s="260">
        <f t="shared" ca="1" si="138"/>
        <v>1</v>
      </c>
      <c r="Y272" s="260">
        <f t="shared" ca="1" si="138"/>
        <v>1</v>
      </c>
      <c r="Z272" s="260">
        <f t="shared" ca="1" si="138"/>
        <v>1</v>
      </c>
    </row>
    <row r="273" spans="7:26" x14ac:dyDescent="0.25">
      <c r="G273" s="362">
        <f t="shared" si="182"/>
        <v>9.0750000000000366</v>
      </c>
      <c r="H273" s="362">
        <f t="shared" ref="H273:P273" si="192">H272</f>
        <v>12</v>
      </c>
      <c r="I273" s="362">
        <f t="shared" si="192"/>
        <v>5.0999999999999996</v>
      </c>
      <c r="J273" s="362">
        <f t="shared" si="192"/>
        <v>5</v>
      </c>
      <c r="K273" s="362">
        <f t="shared" si="192"/>
        <v>4.9000000000000012</v>
      </c>
      <c r="L273" s="362">
        <f t="shared" si="192"/>
        <v>1.2</v>
      </c>
      <c r="M273" s="362">
        <f t="shared" si="192"/>
        <v>0</v>
      </c>
      <c r="N273" s="362">
        <f t="shared" si="192"/>
        <v>3.3</v>
      </c>
      <c r="O273" s="362">
        <f t="shared" si="192"/>
        <v>0</v>
      </c>
      <c r="P273" s="362">
        <f t="shared" si="192"/>
        <v>0</v>
      </c>
      <c r="Q273" s="362" t="s">
        <v>534</v>
      </c>
      <c r="R273" s="362">
        <f t="shared" ca="1" si="127"/>
        <v>4.8</v>
      </c>
      <c r="S273" s="362">
        <f t="shared" ca="1" si="128"/>
        <v>0</v>
      </c>
      <c r="T273" s="323">
        <f t="shared" ca="1" si="131"/>
        <v>4.4750000000000449</v>
      </c>
      <c r="U273" s="260">
        <f t="shared" ca="1" si="167"/>
        <v>1</v>
      </c>
      <c r="V273" s="260">
        <f t="shared" ca="1" si="138"/>
        <v>1</v>
      </c>
      <c r="W273" s="260">
        <f t="shared" ca="1" si="138"/>
        <v>1</v>
      </c>
      <c r="X273" s="260">
        <f t="shared" ref="V273:Z324" ca="1" si="193">IF(OR(X$17="ABIST1_No",COUNTIF($V$2,X$18)),1,IF(AND(X$19&lt;&gt;0,OFFSET($I273,0,MATCH(X$18,$J$21:$P$21,0))=X$19),1,0))</f>
        <v>1</v>
      </c>
      <c r="Y273" s="260">
        <f t="shared" ca="1" si="193"/>
        <v>1</v>
      </c>
      <c r="Z273" s="260">
        <f t="shared" ca="1" si="193"/>
        <v>1</v>
      </c>
    </row>
    <row r="274" spans="7:26" x14ac:dyDescent="0.25">
      <c r="G274" s="362">
        <f t="shared" si="182"/>
        <v>9.1000000000000369</v>
      </c>
      <c r="H274" s="362">
        <f t="shared" ref="H274:P274" si="194">H273</f>
        <v>12</v>
      </c>
      <c r="I274" s="362">
        <f t="shared" si="194"/>
        <v>5.0999999999999996</v>
      </c>
      <c r="J274" s="362">
        <f t="shared" si="194"/>
        <v>5</v>
      </c>
      <c r="K274" s="362">
        <f t="shared" si="194"/>
        <v>4.9000000000000012</v>
      </c>
      <c r="L274" s="362">
        <f t="shared" si="194"/>
        <v>1.2</v>
      </c>
      <c r="M274" s="362">
        <f t="shared" si="194"/>
        <v>0</v>
      </c>
      <c r="N274" s="362">
        <f t="shared" si="194"/>
        <v>3.3</v>
      </c>
      <c r="O274" s="362">
        <f t="shared" si="194"/>
        <v>0</v>
      </c>
      <c r="P274" s="362">
        <f t="shared" si="194"/>
        <v>0</v>
      </c>
      <c r="Q274" s="362" t="s">
        <v>534</v>
      </c>
      <c r="R274" s="362">
        <f t="shared" ca="1" si="127"/>
        <v>4.8</v>
      </c>
      <c r="S274" s="362">
        <f t="shared" ca="1" si="128"/>
        <v>0</v>
      </c>
      <c r="T274" s="323">
        <f t="shared" ca="1" si="131"/>
        <v>4.5000000000000453</v>
      </c>
      <c r="U274" s="260">
        <f t="shared" ca="1" si="167"/>
        <v>1</v>
      </c>
      <c r="V274" s="260">
        <f t="shared" ca="1" si="193"/>
        <v>1</v>
      </c>
      <c r="W274" s="260">
        <f t="shared" ca="1" si="193"/>
        <v>1</v>
      </c>
      <c r="X274" s="260">
        <f t="shared" ca="1" si="193"/>
        <v>1</v>
      </c>
      <c r="Y274" s="260">
        <f t="shared" ca="1" si="193"/>
        <v>1</v>
      </c>
      <c r="Z274" s="260">
        <f t="shared" ca="1" si="193"/>
        <v>1</v>
      </c>
    </row>
    <row r="275" spans="7:26" x14ac:dyDescent="0.25">
      <c r="G275" s="362">
        <f t="shared" si="182"/>
        <v>9.1250000000000373</v>
      </c>
      <c r="H275" s="362">
        <f t="shared" ref="H275:P275" si="195">H274</f>
        <v>12</v>
      </c>
      <c r="I275" s="362">
        <f t="shared" si="195"/>
        <v>5.0999999999999996</v>
      </c>
      <c r="J275" s="362">
        <f t="shared" si="195"/>
        <v>5</v>
      </c>
      <c r="K275" s="362">
        <f t="shared" si="195"/>
        <v>4.9000000000000012</v>
      </c>
      <c r="L275" s="362">
        <f t="shared" si="195"/>
        <v>1.2</v>
      </c>
      <c r="M275" s="362">
        <f t="shared" si="195"/>
        <v>0</v>
      </c>
      <c r="N275" s="362">
        <f t="shared" si="195"/>
        <v>3.3</v>
      </c>
      <c r="O275" s="362">
        <f t="shared" si="195"/>
        <v>0</v>
      </c>
      <c r="P275" s="362">
        <f t="shared" si="195"/>
        <v>0</v>
      </c>
      <c r="Q275" s="362" t="s">
        <v>534</v>
      </c>
      <c r="R275" s="362">
        <f t="shared" ca="1" si="127"/>
        <v>4.8</v>
      </c>
      <c r="S275" s="362">
        <f t="shared" ca="1" si="128"/>
        <v>0</v>
      </c>
      <c r="T275" s="323">
        <f t="shared" ca="1" si="131"/>
        <v>4.5250000000000457</v>
      </c>
      <c r="U275" s="260">
        <f t="shared" ca="1" si="167"/>
        <v>1</v>
      </c>
      <c r="V275" s="260">
        <f t="shared" ca="1" si="193"/>
        <v>1</v>
      </c>
      <c r="W275" s="260">
        <f t="shared" ca="1" si="193"/>
        <v>1</v>
      </c>
      <c r="X275" s="260">
        <f t="shared" ca="1" si="193"/>
        <v>1</v>
      </c>
      <c r="Y275" s="260">
        <f t="shared" ca="1" si="193"/>
        <v>1</v>
      </c>
      <c r="Z275" s="260">
        <f t="shared" ca="1" si="193"/>
        <v>1</v>
      </c>
    </row>
    <row r="276" spans="7:26" x14ac:dyDescent="0.25">
      <c r="G276" s="362">
        <f t="shared" si="182"/>
        <v>9.1500000000000377</v>
      </c>
      <c r="H276" s="362">
        <f t="shared" ref="H276:P276" si="196">H275</f>
        <v>12</v>
      </c>
      <c r="I276" s="362">
        <f t="shared" si="196"/>
        <v>5.0999999999999996</v>
      </c>
      <c r="J276" s="362">
        <f t="shared" si="196"/>
        <v>5</v>
      </c>
      <c r="K276" s="362">
        <f t="shared" si="196"/>
        <v>4.9000000000000012</v>
      </c>
      <c r="L276" s="362">
        <f t="shared" si="196"/>
        <v>1.2</v>
      </c>
      <c r="M276" s="362">
        <f t="shared" si="196"/>
        <v>0</v>
      </c>
      <c r="N276" s="362">
        <f t="shared" si="196"/>
        <v>3.3</v>
      </c>
      <c r="O276" s="362">
        <f t="shared" si="196"/>
        <v>0</v>
      </c>
      <c r="P276" s="362">
        <f t="shared" si="196"/>
        <v>0</v>
      </c>
      <c r="Q276" s="362" t="s">
        <v>534</v>
      </c>
      <c r="R276" s="362">
        <f t="shared" ca="1" si="127"/>
        <v>4.8</v>
      </c>
      <c r="S276" s="362">
        <f t="shared" ca="1" si="128"/>
        <v>0</v>
      </c>
      <c r="T276" s="323">
        <f t="shared" ca="1" si="131"/>
        <v>4.550000000000046</v>
      </c>
      <c r="U276" s="260">
        <f t="shared" ca="1" si="167"/>
        <v>1</v>
      </c>
      <c r="V276" s="260">
        <f t="shared" ca="1" si="193"/>
        <v>1</v>
      </c>
      <c r="W276" s="260">
        <f t="shared" ca="1" si="193"/>
        <v>1</v>
      </c>
      <c r="X276" s="260">
        <f t="shared" ca="1" si="193"/>
        <v>1</v>
      </c>
      <c r="Y276" s="260">
        <f t="shared" ca="1" si="193"/>
        <v>1</v>
      </c>
      <c r="Z276" s="260">
        <f t="shared" ca="1" si="193"/>
        <v>1</v>
      </c>
    </row>
    <row r="277" spans="7:26" x14ac:dyDescent="0.25">
      <c r="G277" s="362">
        <f t="shared" si="182"/>
        <v>9.175000000000038</v>
      </c>
      <c r="H277" s="362">
        <f t="shared" ref="H277:P277" si="197">H276</f>
        <v>12</v>
      </c>
      <c r="I277" s="362">
        <f t="shared" si="197"/>
        <v>5.0999999999999996</v>
      </c>
      <c r="J277" s="362">
        <f t="shared" si="197"/>
        <v>5</v>
      </c>
      <c r="K277" s="362">
        <f t="shared" si="197"/>
        <v>4.9000000000000012</v>
      </c>
      <c r="L277" s="362">
        <f t="shared" si="197"/>
        <v>1.2</v>
      </c>
      <c r="M277" s="362">
        <f t="shared" si="197"/>
        <v>0</v>
      </c>
      <c r="N277" s="362">
        <f t="shared" si="197"/>
        <v>3.3</v>
      </c>
      <c r="O277" s="362">
        <f t="shared" si="197"/>
        <v>0</v>
      </c>
      <c r="P277" s="362">
        <f t="shared" si="197"/>
        <v>0</v>
      </c>
      <c r="Q277" s="362" t="s">
        <v>534</v>
      </c>
      <c r="R277" s="362">
        <f t="shared" ca="1" si="127"/>
        <v>4.8</v>
      </c>
      <c r="S277" s="362">
        <f t="shared" ca="1" si="128"/>
        <v>0</v>
      </c>
      <c r="T277" s="323">
        <f t="shared" ca="1" si="131"/>
        <v>4.5750000000000464</v>
      </c>
      <c r="U277" s="260">
        <f t="shared" ca="1" si="167"/>
        <v>1</v>
      </c>
      <c r="V277" s="260">
        <f t="shared" ca="1" si="193"/>
        <v>1</v>
      </c>
      <c r="W277" s="260">
        <f t="shared" ca="1" si="193"/>
        <v>1</v>
      </c>
      <c r="X277" s="260">
        <f t="shared" ca="1" si="193"/>
        <v>1</v>
      </c>
      <c r="Y277" s="260">
        <f t="shared" ca="1" si="193"/>
        <v>1</v>
      </c>
      <c r="Z277" s="260">
        <f t="shared" ca="1" si="193"/>
        <v>1</v>
      </c>
    </row>
    <row r="278" spans="7:26" x14ac:dyDescent="0.25">
      <c r="G278" s="362">
        <f t="shared" si="182"/>
        <v>9.2000000000000384</v>
      </c>
      <c r="H278" s="362">
        <f t="shared" ref="H278:P278" si="198">H277</f>
        <v>12</v>
      </c>
      <c r="I278" s="362">
        <f t="shared" si="198"/>
        <v>5.0999999999999996</v>
      </c>
      <c r="J278" s="362">
        <f t="shared" si="198"/>
        <v>5</v>
      </c>
      <c r="K278" s="362">
        <f t="shared" si="198"/>
        <v>4.9000000000000012</v>
      </c>
      <c r="L278" s="362">
        <f t="shared" si="198"/>
        <v>1.2</v>
      </c>
      <c r="M278" s="362">
        <f t="shared" si="198"/>
        <v>0</v>
      </c>
      <c r="N278" s="362">
        <f t="shared" si="198"/>
        <v>3.3</v>
      </c>
      <c r="O278" s="362">
        <f t="shared" si="198"/>
        <v>0</v>
      </c>
      <c r="P278" s="362">
        <f t="shared" si="198"/>
        <v>0</v>
      </c>
      <c r="Q278" s="362" t="s">
        <v>534</v>
      </c>
      <c r="R278" s="362">
        <f t="shared" ref="R278:R341" ca="1" si="199">IF(T278&gt;0.2+$AF$12/6+$H$1,vRST,0)</f>
        <v>4.8</v>
      </c>
      <c r="S278" s="362">
        <f t="shared" ref="S278:S341" ca="1" si="200">IF(AND(T278&gt;0,T278&lt;0.2+$AF$12/6),vABIST,0)</f>
        <v>0</v>
      </c>
      <c r="T278" s="323">
        <f t="shared" ca="1" si="131"/>
        <v>4.6000000000000467</v>
      </c>
      <c r="U278" s="260">
        <f t="shared" ca="1" si="167"/>
        <v>1</v>
      </c>
      <c r="V278" s="260">
        <f t="shared" ca="1" si="193"/>
        <v>1</v>
      </c>
      <c r="W278" s="260">
        <f t="shared" ca="1" si="193"/>
        <v>1</v>
      </c>
      <c r="X278" s="260">
        <f t="shared" ca="1" si="193"/>
        <v>1</v>
      </c>
      <c r="Y278" s="260">
        <f t="shared" ca="1" si="193"/>
        <v>1</v>
      </c>
      <c r="Z278" s="260">
        <f t="shared" ca="1" si="193"/>
        <v>1</v>
      </c>
    </row>
    <row r="279" spans="7:26" x14ac:dyDescent="0.25">
      <c r="G279" s="362">
        <f t="shared" si="182"/>
        <v>9.2250000000000387</v>
      </c>
      <c r="H279" s="362">
        <f t="shared" ref="H279:P279" si="201">H278</f>
        <v>12</v>
      </c>
      <c r="I279" s="362">
        <f t="shared" si="201"/>
        <v>5.0999999999999996</v>
      </c>
      <c r="J279" s="362">
        <f t="shared" si="201"/>
        <v>5</v>
      </c>
      <c r="K279" s="362">
        <f t="shared" si="201"/>
        <v>4.9000000000000012</v>
      </c>
      <c r="L279" s="362">
        <f t="shared" si="201"/>
        <v>1.2</v>
      </c>
      <c r="M279" s="362">
        <f t="shared" si="201"/>
        <v>0</v>
      </c>
      <c r="N279" s="362">
        <f t="shared" si="201"/>
        <v>3.3</v>
      </c>
      <c r="O279" s="362">
        <f t="shared" si="201"/>
        <v>0</v>
      </c>
      <c r="P279" s="362">
        <f t="shared" si="201"/>
        <v>0</v>
      </c>
      <c r="Q279" s="362" t="s">
        <v>534</v>
      </c>
      <c r="R279" s="362">
        <f t="shared" ca="1" si="199"/>
        <v>4.8</v>
      </c>
      <c r="S279" s="362">
        <f t="shared" ca="1" si="200"/>
        <v>0</v>
      </c>
      <c r="T279" s="323">
        <f t="shared" ca="1" si="131"/>
        <v>4.6250000000000471</v>
      </c>
      <c r="U279" s="260">
        <f t="shared" ca="1" si="167"/>
        <v>1</v>
      </c>
      <c r="V279" s="260">
        <f t="shared" ca="1" si="193"/>
        <v>1</v>
      </c>
      <c r="W279" s="260">
        <f t="shared" ca="1" si="193"/>
        <v>1</v>
      </c>
      <c r="X279" s="260">
        <f t="shared" ca="1" si="193"/>
        <v>1</v>
      </c>
      <c r="Y279" s="260">
        <f t="shared" ca="1" si="193"/>
        <v>1</v>
      </c>
      <c r="Z279" s="260">
        <f t="shared" ca="1" si="193"/>
        <v>1</v>
      </c>
    </row>
    <row r="280" spans="7:26" x14ac:dyDescent="0.25">
      <c r="G280" s="362">
        <f t="shared" si="182"/>
        <v>9.2500000000000391</v>
      </c>
      <c r="H280" s="362">
        <f t="shared" ref="H280:P280" si="202">H279</f>
        <v>12</v>
      </c>
      <c r="I280" s="362">
        <f t="shared" si="202"/>
        <v>5.0999999999999996</v>
      </c>
      <c r="J280" s="362">
        <f t="shared" si="202"/>
        <v>5</v>
      </c>
      <c r="K280" s="362">
        <f t="shared" si="202"/>
        <v>4.9000000000000012</v>
      </c>
      <c r="L280" s="362">
        <f t="shared" si="202"/>
        <v>1.2</v>
      </c>
      <c r="M280" s="362">
        <f t="shared" si="202"/>
        <v>0</v>
      </c>
      <c r="N280" s="362">
        <f t="shared" si="202"/>
        <v>3.3</v>
      </c>
      <c r="O280" s="362">
        <f t="shared" si="202"/>
        <v>0</v>
      </c>
      <c r="P280" s="362">
        <f t="shared" si="202"/>
        <v>0</v>
      </c>
      <c r="Q280" s="362" t="s">
        <v>534</v>
      </c>
      <c r="R280" s="362">
        <f t="shared" ca="1" si="199"/>
        <v>4.8</v>
      </c>
      <c r="S280" s="362">
        <f t="shared" ca="1" si="200"/>
        <v>0</v>
      </c>
      <c r="T280" s="323">
        <f t="shared" ref="T280:T343" ca="1" si="203">T279+IF(INT(AND(U280:Z280,Q279="DONE"))=0,0,G280-G279)</f>
        <v>4.6500000000000474</v>
      </c>
      <c r="U280" s="260">
        <f t="shared" ca="1" si="167"/>
        <v>1</v>
      </c>
      <c r="V280" s="260">
        <f t="shared" ca="1" si="193"/>
        <v>1</v>
      </c>
      <c r="W280" s="260">
        <f t="shared" ca="1" si="193"/>
        <v>1</v>
      </c>
      <c r="X280" s="260">
        <f t="shared" ca="1" si="193"/>
        <v>1</v>
      </c>
      <c r="Y280" s="260">
        <f t="shared" ca="1" si="193"/>
        <v>1</v>
      </c>
      <c r="Z280" s="260">
        <f t="shared" ca="1" si="193"/>
        <v>1</v>
      </c>
    </row>
    <row r="281" spans="7:26" x14ac:dyDescent="0.25">
      <c r="G281" s="362">
        <f t="shared" si="182"/>
        <v>9.2750000000000394</v>
      </c>
      <c r="H281" s="362">
        <f t="shared" ref="H281:P281" si="204">H280</f>
        <v>12</v>
      </c>
      <c r="I281" s="362">
        <f t="shared" si="204"/>
        <v>5.0999999999999996</v>
      </c>
      <c r="J281" s="362">
        <f t="shared" si="204"/>
        <v>5</v>
      </c>
      <c r="K281" s="362">
        <f t="shared" si="204"/>
        <v>4.9000000000000012</v>
      </c>
      <c r="L281" s="362">
        <f t="shared" si="204"/>
        <v>1.2</v>
      </c>
      <c r="M281" s="362">
        <f t="shared" si="204"/>
        <v>0</v>
      </c>
      <c r="N281" s="362">
        <f t="shared" si="204"/>
        <v>3.3</v>
      </c>
      <c r="O281" s="362">
        <f t="shared" si="204"/>
        <v>0</v>
      </c>
      <c r="P281" s="362">
        <f t="shared" si="204"/>
        <v>0</v>
      </c>
      <c r="Q281" s="362" t="s">
        <v>534</v>
      </c>
      <c r="R281" s="362">
        <f t="shared" ca="1" si="199"/>
        <v>4.8</v>
      </c>
      <c r="S281" s="362">
        <f t="shared" ca="1" si="200"/>
        <v>0</v>
      </c>
      <c r="T281" s="323">
        <f t="shared" ca="1" si="203"/>
        <v>4.6750000000000478</v>
      </c>
      <c r="U281" s="260">
        <f t="shared" ca="1" si="167"/>
        <v>1</v>
      </c>
      <c r="V281" s="260">
        <f t="shared" ca="1" si="193"/>
        <v>1</v>
      </c>
      <c r="W281" s="260">
        <f t="shared" ca="1" si="193"/>
        <v>1</v>
      </c>
      <c r="X281" s="260">
        <f t="shared" ca="1" si="193"/>
        <v>1</v>
      </c>
      <c r="Y281" s="260">
        <f t="shared" ca="1" si="193"/>
        <v>1</v>
      </c>
      <c r="Z281" s="260">
        <f t="shared" ca="1" si="193"/>
        <v>1</v>
      </c>
    </row>
    <row r="282" spans="7:26" x14ac:dyDescent="0.25">
      <c r="G282" s="362">
        <f t="shared" si="182"/>
        <v>9.3000000000000398</v>
      </c>
      <c r="H282" s="362">
        <f t="shared" ref="H282:P282" si="205">H281</f>
        <v>12</v>
      </c>
      <c r="I282" s="362">
        <f t="shared" si="205"/>
        <v>5.0999999999999996</v>
      </c>
      <c r="J282" s="362">
        <f t="shared" si="205"/>
        <v>5</v>
      </c>
      <c r="K282" s="362">
        <f t="shared" si="205"/>
        <v>4.9000000000000012</v>
      </c>
      <c r="L282" s="362">
        <f t="shared" si="205"/>
        <v>1.2</v>
      </c>
      <c r="M282" s="362">
        <f t="shared" si="205"/>
        <v>0</v>
      </c>
      <c r="N282" s="362">
        <f t="shared" si="205"/>
        <v>3.3</v>
      </c>
      <c r="O282" s="362">
        <f t="shared" si="205"/>
        <v>0</v>
      </c>
      <c r="P282" s="362">
        <f t="shared" si="205"/>
        <v>0</v>
      </c>
      <c r="Q282" s="362" t="s">
        <v>534</v>
      </c>
      <c r="R282" s="362">
        <f t="shared" ca="1" si="199"/>
        <v>4.8</v>
      </c>
      <c r="S282" s="362">
        <f t="shared" ca="1" si="200"/>
        <v>0</v>
      </c>
      <c r="T282" s="323">
        <f t="shared" ca="1" si="203"/>
        <v>4.7000000000000481</v>
      </c>
      <c r="U282" s="260">
        <f t="shared" ca="1" si="167"/>
        <v>1</v>
      </c>
      <c r="V282" s="260">
        <f t="shared" ca="1" si="193"/>
        <v>1</v>
      </c>
      <c r="W282" s="260">
        <f t="shared" ca="1" si="193"/>
        <v>1</v>
      </c>
      <c r="X282" s="260">
        <f t="shared" ca="1" si="193"/>
        <v>1</v>
      </c>
      <c r="Y282" s="260">
        <f t="shared" ca="1" si="193"/>
        <v>1</v>
      </c>
      <c r="Z282" s="260">
        <f t="shared" ca="1" si="193"/>
        <v>1</v>
      </c>
    </row>
    <row r="283" spans="7:26" x14ac:dyDescent="0.25">
      <c r="G283" s="362">
        <f t="shared" si="182"/>
        <v>9.3250000000000401</v>
      </c>
      <c r="H283" s="362">
        <f t="shared" ref="H283:P283" si="206">H282</f>
        <v>12</v>
      </c>
      <c r="I283" s="362">
        <f t="shared" si="206"/>
        <v>5.0999999999999996</v>
      </c>
      <c r="J283" s="362">
        <f t="shared" si="206"/>
        <v>5</v>
      </c>
      <c r="K283" s="362">
        <f t="shared" si="206"/>
        <v>4.9000000000000012</v>
      </c>
      <c r="L283" s="362">
        <f t="shared" si="206"/>
        <v>1.2</v>
      </c>
      <c r="M283" s="362">
        <f t="shared" si="206"/>
        <v>0</v>
      </c>
      <c r="N283" s="362">
        <f t="shared" si="206"/>
        <v>3.3</v>
      </c>
      <c r="O283" s="362">
        <f t="shared" si="206"/>
        <v>0</v>
      </c>
      <c r="P283" s="362">
        <f t="shared" si="206"/>
        <v>0</v>
      </c>
      <c r="Q283" s="362" t="s">
        <v>534</v>
      </c>
      <c r="R283" s="362">
        <f t="shared" ca="1" si="199"/>
        <v>4.8</v>
      </c>
      <c r="S283" s="362">
        <f t="shared" ca="1" si="200"/>
        <v>0</v>
      </c>
      <c r="T283" s="323">
        <f t="shared" ca="1" si="203"/>
        <v>4.7250000000000485</v>
      </c>
      <c r="U283" s="260">
        <f t="shared" ca="1" si="167"/>
        <v>1</v>
      </c>
      <c r="V283" s="260">
        <f t="shared" ca="1" si="193"/>
        <v>1</v>
      </c>
      <c r="W283" s="260">
        <f t="shared" ca="1" si="193"/>
        <v>1</v>
      </c>
      <c r="X283" s="260">
        <f t="shared" ca="1" si="193"/>
        <v>1</v>
      </c>
      <c r="Y283" s="260">
        <f t="shared" ca="1" si="193"/>
        <v>1</v>
      </c>
      <c r="Z283" s="260">
        <f t="shared" ca="1" si="193"/>
        <v>1</v>
      </c>
    </row>
    <row r="284" spans="7:26" x14ac:dyDescent="0.25">
      <c r="G284" s="362">
        <f t="shared" si="182"/>
        <v>9.3500000000000405</v>
      </c>
      <c r="H284" s="362">
        <f t="shared" ref="H284:P284" si="207">H283</f>
        <v>12</v>
      </c>
      <c r="I284" s="362">
        <f t="shared" si="207"/>
        <v>5.0999999999999996</v>
      </c>
      <c r="J284" s="362">
        <f t="shared" si="207"/>
        <v>5</v>
      </c>
      <c r="K284" s="362">
        <f t="shared" si="207"/>
        <v>4.9000000000000012</v>
      </c>
      <c r="L284" s="362">
        <f t="shared" si="207"/>
        <v>1.2</v>
      </c>
      <c r="M284" s="362">
        <f t="shared" si="207"/>
        <v>0</v>
      </c>
      <c r="N284" s="362">
        <f t="shared" si="207"/>
        <v>3.3</v>
      </c>
      <c r="O284" s="362">
        <f t="shared" si="207"/>
        <v>0</v>
      </c>
      <c r="P284" s="362">
        <f t="shared" si="207"/>
        <v>0</v>
      </c>
      <c r="Q284" s="362" t="s">
        <v>534</v>
      </c>
      <c r="R284" s="362">
        <f t="shared" ca="1" si="199"/>
        <v>4.8</v>
      </c>
      <c r="S284" s="362">
        <f t="shared" ca="1" si="200"/>
        <v>0</v>
      </c>
      <c r="T284" s="323">
        <f t="shared" ca="1" si="203"/>
        <v>4.7500000000000488</v>
      </c>
      <c r="U284" s="260">
        <f t="shared" ca="1" si="167"/>
        <v>1</v>
      </c>
      <c r="V284" s="260">
        <f t="shared" ca="1" si="193"/>
        <v>1</v>
      </c>
      <c r="W284" s="260">
        <f t="shared" ca="1" si="193"/>
        <v>1</v>
      </c>
      <c r="X284" s="260">
        <f t="shared" ca="1" si="193"/>
        <v>1</v>
      </c>
      <c r="Y284" s="260">
        <f t="shared" ca="1" si="193"/>
        <v>1</v>
      </c>
      <c r="Z284" s="260">
        <f t="shared" ca="1" si="193"/>
        <v>1</v>
      </c>
    </row>
    <row r="285" spans="7:26" x14ac:dyDescent="0.25">
      <c r="G285" s="362">
        <f t="shared" si="182"/>
        <v>9.3750000000000409</v>
      </c>
      <c r="H285" s="362">
        <f t="shared" ref="H285:P285" si="208">H284</f>
        <v>12</v>
      </c>
      <c r="I285" s="362">
        <f t="shared" si="208"/>
        <v>5.0999999999999996</v>
      </c>
      <c r="J285" s="362">
        <f t="shared" si="208"/>
        <v>5</v>
      </c>
      <c r="K285" s="362">
        <f t="shared" si="208"/>
        <v>4.9000000000000012</v>
      </c>
      <c r="L285" s="362">
        <f t="shared" si="208"/>
        <v>1.2</v>
      </c>
      <c r="M285" s="362">
        <f t="shared" si="208"/>
        <v>0</v>
      </c>
      <c r="N285" s="362">
        <f t="shared" si="208"/>
        <v>3.3</v>
      </c>
      <c r="O285" s="362">
        <f t="shared" si="208"/>
        <v>0</v>
      </c>
      <c r="P285" s="362">
        <f t="shared" si="208"/>
        <v>0</v>
      </c>
      <c r="Q285" s="362" t="s">
        <v>534</v>
      </c>
      <c r="R285" s="362">
        <f t="shared" ca="1" si="199"/>
        <v>4.8</v>
      </c>
      <c r="S285" s="362">
        <f t="shared" ca="1" si="200"/>
        <v>0</v>
      </c>
      <c r="T285" s="323">
        <f t="shared" ca="1" si="203"/>
        <v>4.7750000000000492</v>
      </c>
      <c r="U285" s="260">
        <f t="shared" ca="1" si="167"/>
        <v>1</v>
      </c>
      <c r="V285" s="260">
        <f t="shared" ca="1" si="193"/>
        <v>1</v>
      </c>
      <c r="W285" s="260">
        <f t="shared" ca="1" si="193"/>
        <v>1</v>
      </c>
      <c r="X285" s="260">
        <f t="shared" ca="1" si="193"/>
        <v>1</v>
      </c>
      <c r="Y285" s="260">
        <f t="shared" ca="1" si="193"/>
        <v>1</v>
      </c>
      <c r="Z285" s="260">
        <f t="shared" ca="1" si="193"/>
        <v>1</v>
      </c>
    </row>
    <row r="286" spans="7:26" x14ac:dyDescent="0.25">
      <c r="G286" s="362">
        <f t="shared" si="182"/>
        <v>9.4000000000000412</v>
      </c>
      <c r="H286" s="362">
        <f t="shared" ref="H286:P286" si="209">H285</f>
        <v>12</v>
      </c>
      <c r="I286" s="362">
        <f t="shared" si="209"/>
        <v>5.0999999999999996</v>
      </c>
      <c r="J286" s="362">
        <f t="shared" si="209"/>
        <v>5</v>
      </c>
      <c r="K286" s="362">
        <f t="shared" si="209"/>
        <v>4.9000000000000012</v>
      </c>
      <c r="L286" s="362">
        <f t="shared" si="209"/>
        <v>1.2</v>
      </c>
      <c r="M286" s="362">
        <f t="shared" si="209"/>
        <v>0</v>
      </c>
      <c r="N286" s="362">
        <f t="shared" si="209"/>
        <v>3.3</v>
      </c>
      <c r="O286" s="362">
        <f t="shared" si="209"/>
        <v>0</v>
      </c>
      <c r="P286" s="362">
        <f t="shared" si="209"/>
        <v>0</v>
      </c>
      <c r="Q286" s="362" t="s">
        <v>534</v>
      </c>
      <c r="R286" s="362">
        <f t="shared" ca="1" si="199"/>
        <v>4.8</v>
      </c>
      <c r="S286" s="362">
        <f t="shared" ca="1" si="200"/>
        <v>0</v>
      </c>
      <c r="T286" s="323">
        <f t="shared" ca="1" si="203"/>
        <v>4.8000000000000496</v>
      </c>
      <c r="U286" s="260">
        <f t="shared" ca="1" si="167"/>
        <v>1</v>
      </c>
      <c r="V286" s="260">
        <f t="shared" ca="1" si="193"/>
        <v>1</v>
      </c>
      <c r="W286" s="260">
        <f t="shared" ca="1" si="193"/>
        <v>1</v>
      </c>
      <c r="X286" s="260">
        <f t="shared" ca="1" si="193"/>
        <v>1</v>
      </c>
      <c r="Y286" s="260">
        <f t="shared" ca="1" si="193"/>
        <v>1</v>
      </c>
      <c r="Z286" s="260">
        <f t="shared" ca="1" si="193"/>
        <v>1</v>
      </c>
    </row>
    <row r="287" spans="7:26" x14ac:dyDescent="0.25">
      <c r="G287" s="362">
        <f t="shared" si="182"/>
        <v>9.4250000000000416</v>
      </c>
      <c r="H287" s="362">
        <f t="shared" ref="H287:P287" si="210">H286</f>
        <v>12</v>
      </c>
      <c r="I287" s="362">
        <f t="shared" si="210"/>
        <v>5.0999999999999996</v>
      </c>
      <c r="J287" s="362">
        <f t="shared" si="210"/>
        <v>5</v>
      </c>
      <c r="K287" s="362">
        <f t="shared" si="210"/>
        <v>4.9000000000000012</v>
      </c>
      <c r="L287" s="362">
        <f t="shared" si="210"/>
        <v>1.2</v>
      </c>
      <c r="M287" s="362">
        <f t="shared" si="210"/>
        <v>0</v>
      </c>
      <c r="N287" s="362">
        <f t="shared" si="210"/>
        <v>3.3</v>
      </c>
      <c r="O287" s="362">
        <f t="shared" si="210"/>
        <v>0</v>
      </c>
      <c r="P287" s="362">
        <f t="shared" si="210"/>
        <v>0</v>
      </c>
      <c r="Q287" s="362" t="s">
        <v>534</v>
      </c>
      <c r="R287" s="362">
        <f t="shared" ca="1" si="199"/>
        <v>4.8</v>
      </c>
      <c r="S287" s="362">
        <f t="shared" ca="1" si="200"/>
        <v>0</v>
      </c>
      <c r="T287" s="323">
        <f t="shared" ca="1" si="203"/>
        <v>4.8250000000000499</v>
      </c>
      <c r="U287" s="260">
        <f t="shared" ca="1" si="167"/>
        <v>1</v>
      </c>
      <c r="V287" s="260">
        <f t="shared" ca="1" si="193"/>
        <v>1</v>
      </c>
      <c r="W287" s="260">
        <f t="shared" ca="1" si="193"/>
        <v>1</v>
      </c>
      <c r="X287" s="260">
        <f t="shared" ca="1" si="193"/>
        <v>1</v>
      </c>
      <c r="Y287" s="260">
        <f t="shared" ca="1" si="193"/>
        <v>1</v>
      </c>
      <c r="Z287" s="260">
        <f t="shared" ca="1" si="193"/>
        <v>1</v>
      </c>
    </row>
    <row r="288" spans="7:26" x14ac:dyDescent="0.25">
      <c r="G288" s="362">
        <f t="shared" si="182"/>
        <v>9.4500000000000419</v>
      </c>
      <c r="H288" s="362">
        <f t="shared" ref="H288:P288" si="211">H287</f>
        <v>12</v>
      </c>
      <c r="I288" s="362">
        <f t="shared" si="211"/>
        <v>5.0999999999999996</v>
      </c>
      <c r="J288" s="362">
        <f t="shared" si="211"/>
        <v>5</v>
      </c>
      <c r="K288" s="362">
        <f t="shared" si="211"/>
        <v>4.9000000000000012</v>
      </c>
      <c r="L288" s="362">
        <f t="shared" si="211"/>
        <v>1.2</v>
      </c>
      <c r="M288" s="362">
        <f t="shared" si="211"/>
        <v>0</v>
      </c>
      <c r="N288" s="362">
        <f t="shared" si="211"/>
        <v>3.3</v>
      </c>
      <c r="O288" s="362">
        <f t="shared" si="211"/>
        <v>0</v>
      </c>
      <c r="P288" s="362">
        <f t="shared" si="211"/>
        <v>0</v>
      </c>
      <c r="Q288" s="362" t="s">
        <v>534</v>
      </c>
      <c r="R288" s="362">
        <f t="shared" ca="1" si="199"/>
        <v>4.8</v>
      </c>
      <c r="S288" s="362">
        <f t="shared" ca="1" si="200"/>
        <v>0</v>
      </c>
      <c r="T288" s="323">
        <f t="shared" ca="1" si="203"/>
        <v>4.8500000000000503</v>
      </c>
      <c r="U288" s="260">
        <f t="shared" ca="1" si="167"/>
        <v>1</v>
      </c>
      <c r="V288" s="260">
        <f t="shared" ca="1" si="193"/>
        <v>1</v>
      </c>
      <c r="W288" s="260">
        <f t="shared" ca="1" si="193"/>
        <v>1</v>
      </c>
      <c r="X288" s="260">
        <f t="shared" ca="1" si="193"/>
        <v>1</v>
      </c>
      <c r="Y288" s="260">
        <f t="shared" ca="1" si="193"/>
        <v>1</v>
      </c>
      <c r="Z288" s="260">
        <f t="shared" ca="1" si="193"/>
        <v>1</v>
      </c>
    </row>
    <row r="289" spans="7:26" x14ac:dyDescent="0.25">
      <c r="G289" s="362">
        <f t="shared" si="182"/>
        <v>9.4750000000000423</v>
      </c>
      <c r="H289" s="362">
        <f t="shared" ref="H289:P289" si="212">H288</f>
        <v>12</v>
      </c>
      <c r="I289" s="362">
        <f t="shared" si="212"/>
        <v>5.0999999999999996</v>
      </c>
      <c r="J289" s="362">
        <f t="shared" si="212"/>
        <v>5</v>
      </c>
      <c r="K289" s="362">
        <f t="shared" si="212"/>
        <v>4.9000000000000012</v>
      </c>
      <c r="L289" s="362">
        <f t="shared" si="212"/>
        <v>1.2</v>
      </c>
      <c r="M289" s="362">
        <f t="shared" si="212"/>
        <v>0</v>
      </c>
      <c r="N289" s="362">
        <f t="shared" si="212"/>
        <v>3.3</v>
      </c>
      <c r="O289" s="362">
        <f t="shared" si="212"/>
        <v>0</v>
      </c>
      <c r="P289" s="362">
        <f t="shared" si="212"/>
        <v>0</v>
      </c>
      <c r="Q289" s="362" t="s">
        <v>534</v>
      </c>
      <c r="R289" s="362">
        <f t="shared" ca="1" si="199"/>
        <v>4.8</v>
      </c>
      <c r="S289" s="362">
        <f t="shared" ca="1" si="200"/>
        <v>0</v>
      </c>
      <c r="T289" s="323">
        <f t="shared" ca="1" si="203"/>
        <v>4.8750000000000506</v>
      </c>
      <c r="U289" s="260">
        <f t="shared" ca="1" si="167"/>
        <v>1</v>
      </c>
      <c r="V289" s="260">
        <f t="shared" ca="1" si="193"/>
        <v>1</v>
      </c>
      <c r="W289" s="260">
        <f t="shared" ca="1" si="193"/>
        <v>1</v>
      </c>
      <c r="X289" s="260">
        <f t="shared" ca="1" si="193"/>
        <v>1</v>
      </c>
      <c r="Y289" s="260">
        <f t="shared" ca="1" si="193"/>
        <v>1</v>
      </c>
      <c r="Z289" s="260">
        <f t="shared" ca="1" si="193"/>
        <v>1</v>
      </c>
    </row>
    <row r="290" spans="7:26" x14ac:dyDescent="0.25">
      <c r="G290" s="362">
        <f t="shared" si="182"/>
        <v>9.5000000000000426</v>
      </c>
      <c r="H290" s="362">
        <f t="shared" ref="H290:P290" si="213">H289</f>
        <v>12</v>
      </c>
      <c r="I290" s="362">
        <f t="shared" si="213"/>
        <v>5.0999999999999996</v>
      </c>
      <c r="J290" s="362">
        <f t="shared" si="213"/>
        <v>5</v>
      </c>
      <c r="K290" s="362">
        <f t="shared" si="213"/>
        <v>4.9000000000000012</v>
      </c>
      <c r="L290" s="362">
        <f t="shared" si="213"/>
        <v>1.2</v>
      </c>
      <c r="M290" s="362">
        <f t="shared" si="213"/>
        <v>0</v>
      </c>
      <c r="N290" s="362">
        <f t="shared" si="213"/>
        <v>3.3</v>
      </c>
      <c r="O290" s="362">
        <f t="shared" si="213"/>
        <v>0</v>
      </c>
      <c r="P290" s="362">
        <f t="shared" si="213"/>
        <v>0</v>
      </c>
      <c r="Q290" s="362" t="s">
        <v>534</v>
      </c>
      <c r="R290" s="362">
        <f t="shared" ca="1" si="199"/>
        <v>4.8</v>
      </c>
      <c r="S290" s="362">
        <f t="shared" ca="1" si="200"/>
        <v>0</v>
      </c>
      <c r="T290" s="323">
        <f t="shared" ca="1" si="203"/>
        <v>4.900000000000051</v>
      </c>
      <c r="U290" s="260">
        <f t="shared" ca="1" si="167"/>
        <v>1</v>
      </c>
      <c r="V290" s="260">
        <f t="shared" ca="1" si="193"/>
        <v>1</v>
      </c>
      <c r="W290" s="260">
        <f t="shared" ca="1" si="193"/>
        <v>1</v>
      </c>
      <c r="X290" s="260">
        <f t="shared" ca="1" si="193"/>
        <v>1</v>
      </c>
      <c r="Y290" s="260">
        <f t="shared" ca="1" si="193"/>
        <v>1</v>
      </c>
      <c r="Z290" s="260">
        <f t="shared" ca="1" si="193"/>
        <v>1</v>
      </c>
    </row>
    <row r="291" spans="7:26" x14ac:dyDescent="0.25">
      <c r="G291" s="362">
        <f t="shared" si="182"/>
        <v>9.525000000000043</v>
      </c>
      <c r="H291" s="362">
        <f t="shared" ref="H291:P291" si="214">H290</f>
        <v>12</v>
      </c>
      <c r="I291" s="362">
        <f t="shared" si="214"/>
        <v>5.0999999999999996</v>
      </c>
      <c r="J291" s="362">
        <f t="shared" si="214"/>
        <v>5</v>
      </c>
      <c r="K291" s="362">
        <f t="shared" si="214"/>
        <v>4.9000000000000012</v>
      </c>
      <c r="L291" s="362">
        <f t="shared" si="214"/>
        <v>1.2</v>
      </c>
      <c r="M291" s="362">
        <f t="shared" si="214"/>
        <v>0</v>
      </c>
      <c r="N291" s="362">
        <f t="shared" si="214"/>
        <v>3.3</v>
      </c>
      <c r="O291" s="362">
        <f t="shared" si="214"/>
        <v>0</v>
      </c>
      <c r="P291" s="362">
        <f t="shared" si="214"/>
        <v>0</v>
      </c>
      <c r="Q291" s="362" t="s">
        <v>534</v>
      </c>
      <c r="R291" s="362">
        <f t="shared" ca="1" si="199"/>
        <v>4.8</v>
      </c>
      <c r="S291" s="362">
        <f t="shared" ca="1" si="200"/>
        <v>0</v>
      </c>
      <c r="T291" s="323">
        <f t="shared" ca="1" si="203"/>
        <v>4.9250000000000513</v>
      </c>
      <c r="U291" s="260">
        <f t="shared" ca="1" si="167"/>
        <v>1</v>
      </c>
      <c r="V291" s="260">
        <f t="shared" ca="1" si="193"/>
        <v>1</v>
      </c>
      <c r="W291" s="260">
        <f t="shared" ca="1" si="193"/>
        <v>1</v>
      </c>
      <c r="X291" s="260">
        <f t="shared" ca="1" si="193"/>
        <v>1</v>
      </c>
      <c r="Y291" s="260">
        <f t="shared" ca="1" si="193"/>
        <v>1</v>
      </c>
      <c r="Z291" s="260">
        <f t="shared" ca="1" si="193"/>
        <v>1</v>
      </c>
    </row>
    <row r="292" spans="7:26" x14ac:dyDescent="0.25">
      <c r="G292" s="362">
        <f t="shared" si="182"/>
        <v>9.5500000000000433</v>
      </c>
      <c r="H292" s="362">
        <f t="shared" ref="H292:P292" si="215">H291</f>
        <v>12</v>
      </c>
      <c r="I292" s="362">
        <f t="shared" si="215"/>
        <v>5.0999999999999996</v>
      </c>
      <c r="J292" s="362">
        <f t="shared" si="215"/>
        <v>5</v>
      </c>
      <c r="K292" s="362">
        <f t="shared" si="215"/>
        <v>4.9000000000000012</v>
      </c>
      <c r="L292" s="362">
        <f t="shared" si="215"/>
        <v>1.2</v>
      </c>
      <c r="M292" s="362">
        <f t="shared" si="215"/>
        <v>0</v>
      </c>
      <c r="N292" s="362">
        <f t="shared" si="215"/>
        <v>3.3</v>
      </c>
      <c r="O292" s="362">
        <f t="shared" si="215"/>
        <v>0</v>
      </c>
      <c r="P292" s="362">
        <f t="shared" si="215"/>
        <v>0</v>
      </c>
      <c r="Q292" s="362" t="s">
        <v>534</v>
      </c>
      <c r="R292" s="362">
        <f t="shared" ca="1" si="199"/>
        <v>4.8</v>
      </c>
      <c r="S292" s="362">
        <f t="shared" ca="1" si="200"/>
        <v>0</v>
      </c>
      <c r="T292" s="323">
        <f t="shared" ca="1" si="203"/>
        <v>4.9500000000000517</v>
      </c>
      <c r="U292" s="260">
        <f t="shared" ca="1" si="167"/>
        <v>1</v>
      </c>
      <c r="V292" s="260">
        <f t="shared" ca="1" si="193"/>
        <v>1</v>
      </c>
      <c r="W292" s="260">
        <f t="shared" ca="1" si="193"/>
        <v>1</v>
      </c>
      <c r="X292" s="260">
        <f t="shared" ca="1" si="193"/>
        <v>1</v>
      </c>
      <c r="Y292" s="260">
        <f t="shared" ca="1" si="193"/>
        <v>1</v>
      </c>
      <c r="Z292" s="260">
        <f t="shared" ca="1" si="193"/>
        <v>1</v>
      </c>
    </row>
    <row r="293" spans="7:26" x14ac:dyDescent="0.25">
      <c r="G293" s="362">
        <f t="shared" si="182"/>
        <v>9.5750000000000437</v>
      </c>
      <c r="H293" s="362">
        <f t="shared" ref="H293:P293" si="216">H292</f>
        <v>12</v>
      </c>
      <c r="I293" s="362">
        <f t="shared" si="216"/>
        <v>5.0999999999999996</v>
      </c>
      <c r="J293" s="362">
        <f t="shared" si="216"/>
        <v>5</v>
      </c>
      <c r="K293" s="362">
        <f t="shared" si="216"/>
        <v>4.9000000000000012</v>
      </c>
      <c r="L293" s="362">
        <f t="shared" si="216"/>
        <v>1.2</v>
      </c>
      <c r="M293" s="362">
        <f t="shared" si="216"/>
        <v>0</v>
      </c>
      <c r="N293" s="362">
        <f t="shared" si="216"/>
        <v>3.3</v>
      </c>
      <c r="O293" s="362">
        <f t="shared" si="216"/>
        <v>0</v>
      </c>
      <c r="P293" s="362">
        <f t="shared" si="216"/>
        <v>0</v>
      </c>
      <c r="Q293" s="362" t="s">
        <v>534</v>
      </c>
      <c r="R293" s="362">
        <f t="shared" ca="1" si="199"/>
        <v>4.8</v>
      </c>
      <c r="S293" s="362">
        <f t="shared" ca="1" si="200"/>
        <v>0</v>
      </c>
      <c r="T293" s="323">
        <f t="shared" ca="1" si="203"/>
        <v>4.975000000000052</v>
      </c>
      <c r="U293" s="260">
        <f t="shared" ca="1" si="167"/>
        <v>1</v>
      </c>
      <c r="V293" s="260">
        <f t="shared" ca="1" si="193"/>
        <v>1</v>
      </c>
      <c r="W293" s="260">
        <f t="shared" ca="1" si="193"/>
        <v>1</v>
      </c>
      <c r="X293" s="260">
        <f t="shared" ca="1" si="193"/>
        <v>1</v>
      </c>
      <c r="Y293" s="260">
        <f t="shared" ca="1" si="193"/>
        <v>1</v>
      </c>
      <c r="Z293" s="260">
        <f t="shared" ca="1" si="193"/>
        <v>1</v>
      </c>
    </row>
    <row r="294" spans="7:26" x14ac:dyDescent="0.25">
      <c r="G294" s="362">
        <f t="shared" si="182"/>
        <v>9.6000000000000441</v>
      </c>
      <c r="H294" s="362">
        <f t="shared" ref="H294:P294" si="217">H293</f>
        <v>12</v>
      </c>
      <c r="I294" s="362">
        <f t="shared" si="217"/>
        <v>5.0999999999999996</v>
      </c>
      <c r="J294" s="362">
        <f t="shared" si="217"/>
        <v>5</v>
      </c>
      <c r="K294" s="362">
        <f t="shared" si="217"/>
        <v>4.9000000000000012</v>
      </c>
      <c r="L294" s="362">
        <f t="shared" si="217"/>
        <v>1.2</v>
      </c>
      <c r="M294" s="362">
        <f t="shared" si="217"/>
        <v>0</v>
      </c>
      <c r="N294" s="362">
        <f t="shared" si="217"/>
        <v>3.3</v>
      </c>
      <c r="O294" s="362">
        <f t="shared" si="217"/>
        <v>0</v>
      </c>
      <c r="P294" s="362">
        <f t="shared" si="217"/>
        <v>0</v>
      </c>
      <c r="Q294" s="362" t="s">
        <v>534</v>
      </c>
      <c r="R294" s="362">
        <f t="shared" ca="1" si="199"/>
        <v>4.8</v>
      </c>
      <c r="S294" s="362">
        <f t="shared" ca="1" si="200"/>
        <v>0</v>
      </c>
      <c r="T294" s="323">
        <f t="shared" ca="1" si="203"/>
        <v>5.0000000000000524</v>
      </c>
      <c r="U294" s="260">
        <f t="shared" ca="1" si="167"/>
        <v>1</v>
      </c>
      <c r="V294" s="260">
        <f t="shared" ca="1" si="193"/>
        <v>1</v>
      </c>
      <c r="W294" s="260">
        <f t="shared" ca="1" si="193"/>
        <v>1</v>
      </c>
      <c r="X294" s="260">
        <f t="shared" ca="1" si="193"/>
        <v>1</v>
      </c>
      <c r="Y294" s="260">
        <f t="shared" ca="1" si="193"/>
        <v>1</v>
      </c>
      <c r="Z294" s="260">
        <f t="shared" ca="1" si="193"/>
        <v>1</v>
      </c>
    </row>
    <row r="295" spans="7:26" x14ac:dyDescent="0.25">
      <c r="G295" s="362">
        <f t="shared" si="182"/>
        <v>9.6250000000000444</v>
      </c>
      <c r="H295" s="362">
        <f t="shared" ref="H295:P295" si="218">H294</f>
        <v>12</v>
      </c>
      <c r="I295" s="362">
        <f t="shared" si="218"/>
        <v>5.0999999999999996</v>
      </c>
      <c r="J295" s="362">
        <f t="shared" si="218"/>
        <v>5</v>
      </c>
      <c r="K295" s="362">
        <f t="shared" si="218"/>
        <v>4.9000000000000012</v>
      </c>
      <c r="L295" s="362">
        <f t="shared" si="218"/>
        <v>1.2</v>
      </c>
      <c r="M295" s="362">
        <f t="shared" si="218"/>
        <v>0</v>
      </c>
      <c r="N295" s="362">
        <f t="shared" si="218"/>
        <v>3.3</v>
      </c>
      <c r="O295" s="362">
        <f t="shared" si="218"/>
        <v>0</v>
      </c>
      <c r="P295" s="362">
        <f t="shared" si="218"/>
        <v>0</v>
      </c>
      <c r="Q295" s="362" t="s">
        <v>534</v>
      </c>
      <c r="R295" s="362">
        <f t="shared" ca="1" si="199"/>
        <v>4.8</v>
      </c>
      <c r="S295" s="362">
        <f t="shared" ca="1" si="200"/>
        <v>0</v>
      </c>
      <c r="T295" s="323">
        <f t="shared" ca="1" si="203"/>
        <v>5.0250000000000528</v>
      </c>
      <c r="U295" s="260">
        <f t="shared" ca="1" si="167"/>
        <v>1</v>
      </c>
      <c r="V295" s="260">
        <f t="shared" ca="1" si="193"/>
        <v>1</v>
      </c>
      <c r="W295" s="260">
        <f t="shared" ca="1" si="193"/>
        <v>1</v>
      </c>
      <c r="X295" s="260">
        <f t="shared" ca="1" si="193"/>
        <v>1</v>
      </c>
      <c r="Y295" s="260">
        <f t="shared" ca="1" si="193"/>
        <v>1</v>
      </c>
      <c r="Z295" s="260">
        <f t="shared" ca="1" si="193"/>
        <v>1</v>
      </c>
    </row>
    <row r="296" spans="7:26" x14ac:dyDescent="0.25">
      <c r="G296" s="362">
        <f t="shared" si="182"/>
        <v>9.6500000000000448</v>
      </c>
      <c r="H296" s="362">
        <f t="shared" ref="H296:P296" si="219">H295</f>
        <v>12</v>
      </c>
      <c r="I296" s="362">
        <f t="shared" si="219"/>
        <v>5.0999999999999996</v>
      </c>
      <c r="J296" s="362">
        <f t="shared" si="219"/>
        <v>5</v>
      </c>
      <c r="K296" s="362">
        <f t="shared" si="219"/>
        <v>4.9000000000000012</v>
      </c>
      <c r="L296" s="362">
        <f t="shared" si="219"/>
        <v>1.2</v>
      </c>
      <c r="M296" s="362">
        <f t="shared" si="219"/>
        <v>0</v>
      </c>
      <c r="N296" s="362">
        <f t="shared" si="219"/>
        <v>3.3</v>
      </c>
      <c r="O296" s="362">
        <f t="shared" si="219"/>
        <v>0</v>
      </c>
      <c r="P296" s="362">
        <f t="shared" si="219"/>
        <v>0</v>
      </c>
      <c r="Q296" s="362" t="s">
        <v>534</v>
      </c>
      <c r="R296" s="362">
        <f t="shared" ca="1" si="199"/>
        <v>4.8</v>
      </c>
      <c r="S296" s="362">
        <f t="shared" ca="1" si="200"/>
        <v>0</v>
      </c>
      <c r="T296" s="323">
        <f t="shared" ca="1" si="203"/>
        <v>5.0500000000000531</v>
      </c>
      <c r="U296" s="260">
        <f t="shared" ca="1" si="167"/>
        <v>1</v>
      </c>
      <c r="V296" s="260">
        <f t="shared" ca="1" si="193"/>
        <v>1</v>
      </c>
      <c r="W296" s="260">
        <f t="shared" ca="1" si="193"/>
        <v>1</v>
      </c>
      <c r="X296" s="260">
        <f t="shared" ca="1" si="193"/>
        <v>1</v>
      </c>
      <c r="Y296" s="260">
        <f t="shared" ca="1" si="193"/>
        <v>1</v>
      </c>
      <c r="Z296" s="260">
        <f t="shared" ca="1" si="193"/>
        <v>1</v>
      </c>
    </row>
    <row r="297" spans="7:26" x14ac:dyDescent="0.25">
      <c r="G297" s="362">
        <f t="shared" si="182"/>
        <v>9.6750000000000451</v>
      </c>
      <c r="H297" s="362">
        <f t="shared" ref="H297:P297" si="220">H296</f>
        <v>12</v>
      </c>
      <c r="I297" s="362">
        <f t="shared" si="220"/>
        <v>5.0999999999999996</v>
      </c>
      <c r="J297" s="362">
        <f t="shared" si="220"/>
        <v>5</v>
      </c>
      <c r="K297" s="362">
        <f t="shared" si="220"/>
        <v>4.9000000000000012</v>
      </c>
      <c r="L297" s="362">
        <f t="shared" si="220"/>
        <v>1.2</v>
      </c>
      <c r="M297" s="362">
        <f t="shared" si="220"/>
        <v>0</v>
      </c>
      <c r="N297" s="362">
        <f t="shared" si="220"/>
        <v>3.3</v>
      </c>
      <c r="O297" s="362">
        <f t="shared" si="220"/>
        <v>0</v>
      </c>
      <c r="P297" s="362">
        <f t="shared" si="220"/>
        <v>0</v>
      </c>
      <c r="Q297" s="362" t="s">
        <v>534</v>
      </c>
      <c r="R297" s="362">
        <f t="shared" ca="1" si="199"/>
        <v>4.8</v>
      </c>
      <c r="S297" s="362">
        <f t="shared" ca="1" si="200"/>
        <v>0</v>
      </c>
      <c r="T297" s="323">
        <f t="shared" ca="1" si="203"/>
        <v>5.0750000000000535</v>
      </c>
      <c r="U297" s="260">
        <f t="shared" ca="1" si="167"/>
        <v>1</v>
      </c>
      <c r="V297" s="260">
        <f t="shared" ca="1" si="193"/>
        <v>1</v>
      </c>
      <c r="W297" s="260">
        <f t="shared" ca="1" si="193"/>
        <v>1</v>
      </c>
      <c r="X297" s="260">
        <f t="shared" ca="1" si="193"/>
        <v>1</v>
      </c>
      <c r="Y297" s="260">
        <f t="shared" ca="1" si="193"/>
        <v>1</v>
      </c>
      <c r="Z297" s="260">
        <f t="shared" ca="1" si="193"/>
        <v>1</v>
      </c>
    </row>
    <row r="298" spans="7:26" x14ac:dyDescent="0.25">
      <c r="G298" s="362">
        <f t="shared" si="182"/>
        <v>9.7000000000000455</v>
      </c>
      <c r="H298" s="362">
        <f t="shared" ref="H298:P298" si="221">H297</f>
        <v>12</v>
      </c>
      <c r="I298" s="362">
        <f t="shared" si="221"/>
        <v>5.0999999999999996</v>
      </c>
      <c r="J298" s="362">
        <f t="shared" si="221"/>
        <v>5</v>
      </c>
      <c r="K298" s="362">
        <f t="shared" si="221"/>
        <v>4.9000000000000012</v>
      </c>
      <c r="L298" s="362">
        <f t="shared" si="221"/>
        <v>1.2</v>
      </c>
      <c r="M298" s="362">
        <f t="shared" si="221"/>
        <v>0</v>
      </c>
      <c r="N298" s="362">
        <f t="shared" si="221"/>
        <v>3.3</v>
      </c>
      <c r="O298" s="362">
        <f t="shared" si="221"/>
        <v>0</v>
      </c>
      <c r="P298" s="362">
        <f t="shared" si="221"/>
        <v>0</v>
      </c>
      <c r="Q298" s="362" t="s">
        <v>534</v>
      </c>
      <c r="R298" s="362">
        <f t="shared" ca="1" si="199"/>
        <v>4.8</v>
      </c>
      <c r="S298" s="362">
        <f t="shared" ca="1" si="200"/>
        <v>0</v>
      </c>
      <c r="T298" s="323">
        <f t="shared" ca="1" si="203"/>
        <v>5.1000000000000538</v>
      </c>
      <c r="U298" s="260">
        <f t="shared" ca="1" si="167"/>
        <v>1</v>
      </c>
      <c r="V298" s="260">
        <f t="shared" ca="1" si="193"/>
        <v>1</v>
      </c>
      <c r="W298" s="260">
        <f t="shared" ca="1" si="193"/>
        <v>1</v>
      </c>
      <c r="X298" s="260">
        <f t="shared" ca="1" si="193"/>
        <v>1</v>
      </c>
      <c r="Y298" s="260">
        <f t="shared" ca="1" si="193"/>
        <v>1</v>
      </c>
      <c r="Z298" s="260">
        <f t="shared" ca="1" si="193"/>
        <v>1</v>
      </c>
    </row>
    <row r="299" spans="7:26" x14ac:dyDescent="0.25">
      <c r="G299" s="362">
        <f t="shared" si="182"/>
        <v>9.7250000000000458</v>
      </c>
      <c r="H299" s="362">
        <f t="shared" ref="H299:P299" si="222">H298</f>
        <v>12</v>
      </c>
      <c r="I299" s="362">
        <f t="shared" si="222"/>
        <v>5.0999999999999996</v>
      </c>
      <c r="J299" s="362">
        <f t="shared" si="222"/>
        <v>5</v>
      </c>
      <c r="K299" s="362">
        <f t="shared" si="222"/>
        <v>4.9000000000000012</v>
      </c>
      <c r="L299" s="362">
        <f t="shared" si="222"/>
        <v>1.2</v>
      </c>
      <c r="M299" s="362">
        <f t="shared" si="222"/>
        <v>0</v>
      </c>
      <c r="N299" s="362">
        <f t="shared" si="222"/>
        <v>3.3</v>
      </c>
      <c r="O299" s="362">
        <f t="shared" si="222"/>
        <v>0</v>
      </c>
      <c r="P299" s="362">
        <f t="shared" si="222"/>
        <v>0</v>
      </c>
      <c r="Q299" s="362" t="s">
        <v>534</v>
      </c>
      <c r="R299" s="362">
        <f t="shared" ca="1" si="199"/>
        <v>4.8</v>
      </c>
      <c r="S299" s="362">
        <f t="shared" ca="1" si="200"/>
        <v>0</v>
      </c>
      <c r="T299" s="323">
        <f t="shared" ca="1" si="203"/>
        <v>5.1250000000000542</v>
      </c>
      <c r="U299" s="260">
        <f t="shared" ca="1" si="167"/>
        <v>1</v>
      </c>
      <c r="V299" s="260">
        <f t="shared" ca="1" si="193"/>
        <v>1</v>
      </c>
      <c r="W299" s="260">
        <f t="shared" ca="1" si="193"/>
        <v>1</v>
      </c>
      <c r="X299" s="260">
        <f t="shared" ca="1" si="193"/>
        <v>1</v>
      </c>
      <c r="Y299" s="260">
        <f t="shared" ca="1" si="193"/>
        <v>1</v>
      </c>
      <c r="Z299" s="260">
        <f t="shared" ca="1" si="193"/>
        <v>1</v>
      </c>
    </row>
    <row r="300" spans="7:26" x14ac:dyDescent="0.25">
      <c r="G300" s="362">
        <f t="shared" si="182"/>
        <v>9.7500000000000462</v>
      </c>
      <c r="H300" s="362">
        <f t="shared" ref="H300:P300" si="223">H299</f>
        <v>12</v>
      </c>
      <c r="I300" s="362">
        <f t="shared" si="223"/>
        <v>5.0999999999999996</v>
      </c>
      <c r="J300" s="362">
        <f t="shared" si="223"/>
        <v>5</v>
      </c>
      <c r="K300" s="362">
        <f t="shared" si="223"/>
        <v>4.9000000000000012</v>
      </c>
      <c r="L300" s="362">
        <f t="shared" si="223"/>
        <v>1.2</v>
      </c>
      <c r="M300" s="362">
        <f t="shared" si="223"/>
        <v>0</v>
      </c>
      <c r="N300" s="362">
        <f t="shared" si="223"/>
        <v>3.3</v>
      </c>
      <c r="O300" s="362">
        <f t="shared" si="223"/>
        <v>0</v>
      </c>
      <c r="P300" s="362">
        <f t="shared" si="223"/>
        <v>0</v>
      </c>
      <c r="Q300" s="362" t="s">
        <v>534</v>
      </c>
      <c r="R300" s="362">
        <f t="shared" ca="1" si="199"/>
        <v>4.8</v>
      </c>
      <c r="S300" s="362">
        <f t="shared" ca="1" si="200"/>
        <v>0</v>
      </c>
      <c r="T300" s="323">
        <f t="shared" ca="1" si="203"/>
        <v>5.1500000000000545</v>
      </c>
      <c r="U300" s="260">
        <f t="shared" ca="1" si="167"/>
        <v>1</v>
      </c>
      <c r="V300" s="260">
        <f t="shared" ca="1" si="193"/>
        <v>1</v>
      </c>
      <c r="W300" s="260">
        <f t="shared" ca="1" si="193"/>
        <v>1</v>
      </c>
      <c r="X300" s="260">
        <f t="shared" ca="1" si="193"/>
        <v>1</v>
      </c>
      <c r="Y300" s="260">
        <f t="shared" ca="1" si="193"/>
        <v>1</v>
      </c>
      <c r="Z300" s="260">
        <f t="shared" ca="1" si="193"/>
        <v>1</v>
      </c>
    </row>
    <row r="301" spans="7:26" x14ac:dyDescent="0.25">
      <c r="G301" s="362">
        <f t="shared" si="182"/>
        <v>9.7750000000000465</v>
      </c>
      <c r="H301" s="362">
        <f t="shared" ref="H301:P301" si="224">H300</f>
        <v>12</v>
      </c>
      <c r="I301" s="362">
        <f t="shared" si="224"/>
        <v>5.0999999999999996</v>
      </c>
      <c r="J301" s="362">
        <f t="shared" si="224"/>
        <v>5</v>
      </c>
      <c r="K301" s="362">
        <f t="shared" si="224"/>
        <v>4.9000000000000012</v>
      </c>
      <c r="L301" s="362">
        <f t="shared" si="224"/>
        <v>1.2</v>
      </c>
      <c r="M301" s="362">
        <f t="shared" si="224"/>
        <v>0</v>
      </c>
      <c r="N301" s="362">
        <f t="shared" si="224"/>
        <v>3.3</v>
      </c>
      <c r="O301" s="362">
        <f t="shared" si="224"/>
        <v>0</v>
      </c>
      <c r="P301" s="362">
        <f t="shared" si="224"/>
        <v>0</v>
      </c>
      <c r="Q301" s="362" t="s">
        <v>534</v>
      </c>
      <c r="R301" s="362">
        <f t="shared" ca="1" si="199"/>
        <v>4.8</v>
      </c>
      <c r="S301" s="362">
        <f t="shared" ca="1" si="200"/>
        <v>0</v>
      </c>
      <c r="T301" s="323">
        <f t="shared" ca="1" si="203"/>
        <v>5.1750000000000549</v>
      </c>
      <c r="U301" s="260">
        <f t="shared" ca="1" si="167"/>
        <v>1</v>
      </c>
      <c r="V301" s="260">
        <f t="shared" ca="1" si="193"/>
        <v>1</v>
      </c>
      <c r="W301" s="260">
        <f t="shared" ca="1" si="193"/>
        <v>1</v>
      </c>
      <c r="X301" s="260">
        <f t="shared" ca="1" si="193"/>
        <v>1</v>
      </c>
      <c r="Y301" s="260">
        <f t="shared" ca="1" si="193"/>
        <v>1</v>
      </c>
      <c r="Z301" s="260">
        <f t="shared" ca="1" si="193"/>
        <v>1</v>
      </c>
    </row>
    <row r="302" spans="7:26" x14ac:dyDescent="0.25">
      <c r="G302" s="362">
        <f t="shared" si="182"/>
        <v>9.8000000000000469</v>
      </c>
      <c r="H302" s="362">
        <f t="shared" ref="H302:P302" si="225">H301</f>
        <v>12</v>
      </c>
      <c r="I302" s="362">
        <f t="shared" si="225"/>
        <v>5.0999999999999996</v>
      </c>
      <c r="J302" s="362">
        <f t="shared" si="225"/>
        <v>5</v>
      </c>
      <c r="K302" s="362">
        <f t="shared" si="225"/>
        <v>4.9000000000000012</v>
      </c>
      <c r="L302" s="362">
        <f t="shared" si="225"/>
        <v>1.2</v>
      </c>
      <c r="M302" s="362">
        <f t="shared" si="225"/>
        <v>0</v>
      </c>
      <c r="N302" s="362">
        <f t="shared" si="225"/>
        <v>3.3</v>
      </c>
      <c r="O302" s="362">
        <f t="shared" si="225"/>
        <v>0</v>
      </c>
      <c r="P302" s="362">
        <f t="shared" si="225"/>
        <v>0</v>
      </c>
      <c r="Q302" s="362" t="s">
        <v>534</v>
      </c>
      <c r="R302" s="362">
        <f t="shared" ca="1" si="199"/>
        <v>4.8</v>
      </c>
      <c r="S302" s="362">
        <f t="shared" ca="1" si="200"/>
        <v>0</v>
      </c>
      <c r="T302" s="323">
        <f t="shared" ca="1" si="203"/>
        <v>5.2000000000000552</v>
      </c>
      <c r="U302" s="260">
        <f t="shared" ca="1" si="167"/>
        <v>1</v>
      </c>
      <c r="V302" s="260">
        <f t="shared" ca="1" si="193"/>
        <v>1</v>
      </c>
      <c r="W302" s="260">
        <f t="shared" ca="1" si="193"/>
        <v>1</v>
      </c>
      <c r="X302" s="260">
        <f t="shared" ca="1" si="193"/>
        <v>1</v>
      </c>
      <c r="Y302" s="260">
        <f t="shared" ca="1" si="193"/>
        <v>1</v>
      </c>
      <c r="Z302" s="260">
        <f t="shared" ca="1" si="193"/>
        <v>1</v>
      </c>
    </row>
    <row r="303" spans="7:26" x14ac:dyDescent="0.25">
      <c r="G303" s="362">
        <f t="shared" si="182"/>
        <v>9.8250000000000473</v>
      </c>
      <c r="H303" s="362">
        <f t="shared" ref="H303:P303" si="226">H302</f>
        <v>12</v>
      </c>
      <c r="I303" s="362">
        <f t="shared" si="226"/>
        <v>5.0999999999999996</v>
      </c>
      <c r="J303" s="362">
        <f t="shared" si="226"/>
        <v>5</v>
      </c>
      <c r="K303" s="362">
        <f t="shared" si="226"/>
        <v>4.9000000000000012</v>
      </c>
      <c r="L303" s="362">
        <f t="shared" si="226"/>
        <v>1.2</v>
      </c>
      <c r="M303" s="362">
        <f t="shared" si="226"/>
        <v>0</v>
      </c>
      <c r="N303" s="362">
        <f t="shared" si="226"/>
        <v>3.3</v>
      </c>
      <c r="O303" s="362">
        <f t="shared" si="226"/>
        <v>0</v>
      </c>
      <c r="P303" s="362">
        <f t="shared" si="226"/>
        <v>0</v>
      </c>
      <c r="Q303" s="362" t="s">
        <v>534</v>
      </c>
      <c r="R303" s="362">
        <f t="shared" ca="1" si="199"/>
        <v>4.8</v>
      </c>
      <c r="S303" s="362">
        <f t="shared" ca="1" si="200"/>
        <v>0</v>
      </c>
      <c r="T303" s="323">
        <f t="shared" ca="1" si="203"/>
        <v>5.2250000000000556</v>
      </c>
      <c r="U303" s="260">
        <f t="shared" ca="1" si="167"/>
        <v>1</v>
      </c>
      <c r="V303" s="260">
        <f t="shared" ca="1" si="193"/>
        <v>1</v>
      </c>
      <c r="W303" s="260">
        <f t="shared" ca="1" si="193"/>
        <v>1</v>
      </c>
      <c r="X303" s="260">
        <f t="shared" ca="1" si="193"/>
        <v>1</v>
      </c>
      <c r="Y303" s="260">
        <f t="shared" ca="1" si="193"/>
        <v>1</v>
      </c>
      <c r="Z303" s="260">
        <f t="shared" ca="1" si="193"/>
        <v>1</v>
      </c>
    </row>
    <row r="304" spans="7:26" x14ac:dyDescent="0.25">
      <c r="G304" s="362">
        <f t="shared" si="182"/>
        <v>9.8500000000000476</v>
      </c>
      <c r="H304" s="362">
        <f t="shared" ref="H304:P304" si="227">H303</f>
        <v>12</v>
      </c>
      <c r="I304" s="362">
        <f t="shared" si="227"/>
        <v>5.0999999999999996</v>
      </c>
      <c r="J304" s="362">
        <f t="shared" si="227"/>
        <v>5</v>
      </c>
      <c r="K304" s="362">
        <f t="shared" si="227"/>
        <v>4.9000000000000012</v>
      </c>
      <c r="L304" s="362">
        <f t="shared" si="227"/>
        <v>1.2</v>
      </c>
      <c r="M304" s="362">
        <f t="shared" si="227"/>
        <v>0</v>
      </c>
      <c r="N304" s="362">
        <f t="shared" si="227"/>
        <v>3.3</v>
      </c>
      <c r="O304" s="362">
        <f t="shared" si="227"/>
        <v>0</v>
      </c>
      <c r="P304" s="362">
        <f t="shared" si="227"/>
        <v>0</v>
      </c>
      <c r="Q304" s="362" t="s">
        <v>534</v>
      </c>
      <c r="R304" s="362">
        <f t="shared" ca="1" si="199"/>
        <v>4.8</v>
      </c>
      <c r="S304" s="362">
        <f t="shared" ca="1" si="200"/>
        <v>0</v>
      </c>
      <c r="T304" s="323">
        <f t="shared" ca="1" si="203"/>
        <v>5.250000000000056</v>
      </c>
      <c r="U304" s="260">
        <f t="shared" ca="1" si="167"/>
        <v>1</v>
      </c>
      <c r="V304" s="260">
        <f t="shared" ca="1" si="193"/>
        <v>1</v>
      </c>
      <c r="W304" s="260">
        <f t="shared" ca="1" si="193"/>
        <v>1</v>
      </c>
      <c r="X304" s="260">
        <f t="shared" ca="1" si="193"/>
        <v>1</v>
      </c>
      <c r="Y304" s="260">
        <f t="shared" ca="1" si="193"/>
        <v>1</v>
      </c>
      <c r="Z304" s="260">
        <f t="shared" ca="1" si="193"/>
        <v>1</v>
      </c>
    </row>
    <row r="305" spans="7:26" x14ac:dyDescent="0.25">
      <c r="G305" s="362">
        <f t="shared" si="182"/>
        <v>9.875000000000048</v>
      </c>
      <c r="H305" s="362">
        <f t="shared" ref="H305:P305" si="228">H304</f>
        <v>12</v>
      </c>
      <c r="I305" s="362">
        <f t="shared" si="228"/>
        <v>5.0999999999999996</v>
      </c>
      <c r="J305" s="362">
        <f t="shared" si="228"/>
        <v>5</v>
      </c>
      <c r="K305" s="362">
        <f t="shared" si="228"/>
        <v>4.9000000000000012</v>
      </c>
      <c r="L305" s="362">
        <f t="shared" si="228"/>
        <v>1.2</v>
      </c>
      <c r="M305" s="362">
        <f t="shared" si="228"/>
        <v>0</v>
      </c>
      <c r="N305" s="362">
        <f t="shared" si="228"/>
        <v>3.3</v>
      </c>
      <c r="O305" s="362">
        <f t="shared" si="228"/>
        <v>0</v>
      </c>
      <c r="P305" s="362">
        <f t="shared" si="228"/>
        <v>0</v>
      </c>
      <c r="Q305" s="362" t="s">
        <v>534</v>
      </c>
      <c r="R305" s="362">
        <f t="shared" ca="1" si="199"/>
        <v>4.8</v>
      </c>
      <c r="S305" s="362">
        <f t="shared" ca="1" si="200"/>
        <v>0</v>
      </c>
      <c r="T305" s="323">
        <f t="shared" ca="1" si="203"/>
        <v>5.2750000000000563</v>
      </c>
      <c r="U305" s="260">
        <f t="shared" ca="1" si="167"/>
        <v>1</v>
      </c>
      <c r="V305" s="260">
        <f t="shared" ca="1" si="193"/>
        <v>1</v>
      </c>
      <c r="W305" s="260">
        <f t="shared" ca="1" si="193"/>
        <v>1</v>
      </c>
      <c r="X305" s="260">
        <f t="shared" ca="1" si="193"/>
        <v>1</v>
      </c>
      <c r="Y305" s="260">
        <f t="shared" ca="1" si="193"/>
        <v>1</v>
      </c>
      <c r="Z305" s="260">
        <f t="shared" ca="1" si="193"/>
        <v>1</v>
      </c>
    </row>
    <row r="306" spans="7:26" x14ac:dyDescent="0.25">
      <c r="G306" s="362">
        <f t="shared" si="182"/>
        <v>9.9000000000000483</v>
      </c>
      <c r="H306" s="362">
        <f t="shared" ref="H306:P306" si="229">H305</f>
        <v>12</v>
      </c>
      <c r="I306" s="362">
        <f t="shared" si="229"/>
        <v>5.0999999999999996</v>
      </c>
      <c r="J306" s="362">
        <f t="shared" si="229"/>
        <v>5</v>
      </c>
      <c r="K306" s="362">
        <f t="shared" si="229"/>
        <v>4.9000000000000012</v>
      </c>
      <c r="L306" s="362">
        <f t="shared" si="229"/>
        <v>1.2</v>
      </c>
      <c r="M306" s="362">
        <f t="shared" si="229"/>
        <v>0</v>
      </c>
      <c r="N306" s="362">
        <f t="shared" si="229"/>
        <v>3.3</v>
      </c>
      <c r="O306" s="362">
        <f t="shared" si="229"/>
        <v>0</v>
      </c>
      <c r="P306" s="362">
        <f t="shared" si="229"/>
        <v>0</v>
      </c>
      <c r="Q306" s="362" t="s">
        <v>534</v>
      </c>
      <c r="R306" s="362">
        <f t="shared" ca="1" si="199"/>
        <v>4.8</v>
      </c>
      <c r="S306" s="362">
        <f t="shared" ca="1" si="200"/>
        <v>0</v>
      </c>
      <c r="T306" s="323">
        <f t="shared" ca="1" si="203"/>
        <v>5.3000000000000567</v>
      </c>
      <c r="U306" s="260">
        <f t="shared" ca="1" si="167"/>
        <v>1</v>
      </c>
      <c r="V306" s="260">
        <f t="shared" ca="1" si="193"/>
        <v>1</v>
      </c>
      <c r="W306" s="260">
        <f t="shared" ca="1" si="193"/>
        <v>1</v>
      </c>
      <c r="X306" s="260">
        <f t="shared" ca="1" si="193"/>
        <v>1</v>
      </c>
      <c r="Y306" s="260">
        <f t="shared" ca="1" si="193"/>
        <v>1</v>
      </c>
      <c r="Z306" s="260">
        <f t="shared" ca="1" si="193"/>
        <v>1</v>
      </c>
    </row>
    <row r="307" spans="7:26" x14ac:dyDescent="0.25">
      <c r="G307" s="362">
        <f t="shared" si="182"/>
        <v>9.9250000000000487</v>
      </c>
      <c r="H307" s="362">
        <f t="shared" ref="H307:P307" si="230">H306</f>
        <v>12</v>
      </c>
      <c r="I307" s="362">
        <f t="shared" si="230"/>
        <v>5.0999999999999996</v>
      </c>
      <c r="J307" s="362">
        <f t="shared" si="230"/>
        <v>5</v>
      </c>
      <c r="K307" s="362">
        <f t="shared" si="230"/>
        <v>4.9000000000000012</v>
      </c>
      <c r="L307" s="362">
        <f t="shared" si="230"/>
        <v>1.2</v>
      </c>
      <c r="M307" s="362">
        <f t="shared" si="230"/>
        <v>0</v>
      </c>
      <c r="N307" s="362">
        <f t="shared" si="230"/>
        <v>3.3</v>
      </c>
      <c r="O307" s="362">
        <f t="shared" si="230"/>
        <v>0</v>
      </c>
      <c r="P307" s="362">
        <f t="shared" si="230"/>
        <v>0</v>
      </c>
      <c r="Q307" s="362" t="s">
        <v>534</v>
      </c>
      <c r="R307" s="362">
        <f t="shared" ca="1" si="199"/>
        <v>4.8</v>
      </c>
      <c r="S307" s="362">
        <f t="shared" ca="1" si="200"/>
        <v>0</v>
      </c>
      <c r="T307" s="323">
        <f t="shared" ca="1" si="203"/>
        <v>5.325000000000057</v>
      </c>
      <c r="U307" s="260">
        <f t="shared" ca="1" si="167"/>
        <v>1</v>
      </c>
      <c r="V307" s="260">
        <f t="shared" ca="1" si="193"/>
        <v>1</v>
      </c>
      <c r="W307" s="260">
        <f t="shared" ca="1" si="193"/>
        <v>1</v>
      </c>
      <c r="X307" s="260">
        <f t="shared" ca="1" si="193"/>
        <v>1</v>
      </c>
      <c r="Y307" s="260">
        <f t="shared" ca="1" si="193"/>
        <v>1</v>
      </c>
      <c r="Z307" s="260">
        <f t="shared" ca="1" si="193"/>
        <v>1</v>
      </c>
    </row>
    <row r="308" spans="7:26" x14ac:dyDescent="0.25">
      <c r="G308" s="362">
        <f t="shared" si="182"/>
        <v>9.950000000000049</v>
      </c>
      <c r="H308" s="362">
        <f t="shared" ref="H308:P308" si="231">H307</f>
        <v>12</v>
      </c>
      <c r="I308" s="362">
        <f t="shared" si="231"/>
        <v>5.0999999999999996</v>
      </c>
      <c r="J308" s="362">
        <f t="shared" si="231"/>
        <v>5</v>
      </c>
      <c r="K308" s="362">
        <f t="shared" si="231"/>
        <v>4.9000000000000012</v>
      </c>
      <c r="L308" s="362">
        <f t="shared" si="231"/>
        <v>1.2</v>
      </c>
      <c r="M308" s="362">
        <f t="shared" si="231"/>
        <v>0</v>
      </c>
      <c r="N308" s="362">
        <f t="shared" si="231"/>
        <v>3.3</v>
      </c>
      <c r="O308" s="362">
        <f t="shared" si="231"/>
        <v>0</v>
      </c>
      <c r="P308" s="362">
        <f t="shared" si="231"/>
        <v>0</v>
      </c>
      <c r="Q308" s="362" t="s">
        <v>534</v>
      </c>
      <c r="R308" s="362">
        <f t="shared" ca="1" si="199"/>
        <v>4.8</v>
      </c>
      <c r="S308" s="362">
        <f t="shared" ca="1" si="200"/>
        <v>0</v>
      </c>
      <c r="T308" s="323">
        <f t="shared" ca="1" si="203"/>
        <v>5.3500000000000574</v>
      </c>
      <c r="U308" s="260">
        <f t="shared" ca="1" si="167"/>
        <v>1</v>
      </c>
      <c r="V308" s="260">
        <f t="shared" ca="1" si="193"/>
        <v>1</v>
      </c>
      <c r="W308" s="260">
        <f t="shared" ca="1" si="193"/>
        <v>1</v>
      </c>
      <c r="X308" s="260">
        <f t="shared" ca="1" si="193"/>
        <v>1</v>
      </c>
      <c r="Y308" s="260">
        <f t="shared" ca="1" si="193"/>
        <v>1</v>
      </c>
      <c r="Z308" s="260">
        <f t="shared" ca="1" si="193"/>
        <v>1</v>
      </c>
    </row>
    <row r="309" spans="7:26" x14ac:dyDescent="0.25">
      <c r="G309" s="362">
        <f t="shared" si="182"/>
        <v>9.9750000000000494</v>
      </c>
      <c r="H309" s="362">
        <f t="shared" ref="H309:P309" si="232">H308</f>
        <v>12</v>
      </c>
      <c r="I309" s="362">
        <f t="shared" si="232"/>
        <v>5.0999999999999996</v>
      </c>
      <c r="J309" s="362">
        <f t="shared" si="232"/>
        <v>5</v>
      </c>
      <c r="K309" s="362">
        <f t="shared" si="232"/>
        <v>4.9000000000000012</v>
      </c>
      <c r="L309" s="362">
        <f t="shared" si="232"/>
        <v>1.2</v>
      </c>
      <c r="M309" s="362">
        <f t="shared" si="232"/>
        <v>0</v>
      </c>
      <c r="N309" s="362">
        <f t="shared" si="232"/>
        <v>3.3</v>
      </c>
      <c r="O309" s="362">
        <f t="shared" si="232"/>
        <v>0</v>
      </c>
      <c r="P309" s="362">
        <f t="shared" si="232"/>
        <v>0</v>
      </c>
      <c r="Q309" s="362" t="s">
        <v>534</v>
      </c>
      <c r="R309" s="362">
        <f t="shared" ca="1" si="199"/>
        <v>4.8</v>
      </c>
      <c r="S309" s="362">
        <f t="shared" ca="1" si="200"/>
        <v>0</v>
      </c>
      <c r="T309" s="323">
        <f t="shared" ca="1" si="203"/>
        <v>5.3750000000000577</v>
      </c>
      <c r="U309" s="260">
        <f t="shared" ca="1" si="167"/>
        <v>1</v>
      </c>
      <c r="V309" s="260">
        <f t="shared" ca="1" si="193"/>
        <v>1</v>
      </c>
      <c r="W309" s="260">
        <f t="shared" ca="1" si="193"/>
        <v>1</v>
      </c>
      <c r="X309" s="260">
        <f t="shared" ca="1" si="193"/>
        <v>1</v>
      </c>
      <c r="Y309" s="260">
        <f t="shared" ca="1" si="193"/>
        <v>1</v>
      </c>
      <c r="Z309" s="260">
        <f t="shared" ca="1" si="193"/>
        <v>1</v>
      </c>
    </row>
    <row r="310" spans="7:26" x14ac:dyDescent="0.25">
      <c r="G310" s="362">
        <f t="shared" si="182"/>
        <v>10.00000000000005</v>
      </c>
      <c r="H310" s="362">
        <f t="shared" ref="H310:P310" si="233">H309</f>
        <v>12</v>
      </c>
      <c r="I310" s="362">
        <f t="shared" si="233"/>
        <v>5.0999999999999996</v>
      </c>
      <c r="J310" s="362">
        <f t="shared" si="233"/>
        <v>5</v>
      </c>
      <c r="K310" s="362">
        <f t="shared" si="233"/>
        <v>4.9000000000000012</v>
      </c>
      <c r="L310" s="362">
        <f t="shared" si="233"/>
        <v>1.2</v>
      </c>
      <c r="M310" s="362">
        <f t="shared" si="233"/>
        <v>0</v>
      </c>
      <c r="N310" s="362">
        <f t="shared" si="233"/>
        <v>3.3</v>
      </c>
      <c r="O310" s="362">
        <f t="shared" si="233"/>
        <v>0</v>
      </c>
      <c r="P310" s="362">
        <f t="shared" si="233"/>
        <v>0</v>
      </c>
      <c r="Q310" s="362" t="s">
        <v>534</v>
      </c>
      <c r="R310" s="362">
        <f t="shared" ca="1" si="199"/>
        <v>4.8</v>
      </c>
      <c r="S310" s="362">
        <f t="shared" ca="1" si="200"/>
        <v>0</v>
      </c>
      <c r="T310" s="323">
        <f t="shared" ca="1" si="203"/>
        <v>5.4000000000000581</v>
      </c>
      <c r="U310" s="260">
        <f t="shared" ca="1" si="167"/>
        <v>1</v>
      </c>
      <c r="V310" s="260">
        <f t="shared" ca="1" si="193"/>
        <v>1</v>
      </c>
      <c r="W310" s="260">
        <f t="shared" ca="1" si="193"/>
        <v>1</v>
      </c>
      <c r="X310" s="260">
        <f t="shared" ca="1" si="193"/>
        <v>1</v>
      </c>
      <c r="Y310" s="260">
        <f t="shared" ca="1" si="193"/>
        <v>1</v>
      </c>
      <c r="Z310" s="260">
        <f t="shared" ca="1" si="193"/>
        <v>1</v>
      </c>
    </row>
    <row r="311" spans="7:26" x14ac:dyDescent="0.25">
      <c r="G311" s="362">
        <f t="shared" ref="G311:G365" si="234">G310+0.1</f>
        <v>10.100000000000049</v>
      </c>
      <c r="H311" s="362">
        <f t="shared" ref="H311:P311" si="235">H310</f>
        <v>12</v>
      </c>
      <c r="I311" s="362">
        <f t="shared" si="235"/>
        <v>5.0999999999999996</v>
      </c>
      <c r="J311" s="362">
        <f t="shared" si="235"/>
        <v>5</v>
      </c>
      <c r="K311" s="362">
        <f t="shared" si="235"/>
        <v>4.9000000000000012</v>
      </c>
      <c r="L311" s="362">
        <f t="shared" si="235"/>
        <v>1.2</v>
      </c>
      <c r="M311" s="362">
        <f t="shared" si="235"/>
        <v>0</v>
      </c>
      <c r="N311" s="362">
        <f t="shared" si="235"/>
        <v>3.3</v>
      </c>
      <c r="O311" s="362">
        <f t="shared" si="235"/>
        <v>0</v>
      </c>
      <c r="P311" s="362">
        <f t="shared" si="235"/>
        <v>0</v>
      </c>
      <c r="Q311" s="362" t="s">
        <v>534</v>
      </c>
      <c r="R311" s="362">
        <f t="shared" ca="1" si="199"/>
        <v>4.8</v>
      </c>
      <c r="S311" s="362">
        <f t="shared" ca="1" si="200"/>
        <v>0</v>
      </c>
      <c r="T311" s="323">
        <f t="shared" ca="1" si="203"/>
        <v>5.5000000000000577</v>
      </c>
      <c r="U311" s="260">
        <f t="shared" ca="1" si="167"/>
        <v>1</v>
      </c>
      <c r="V311" s="260">
        <f t="shared" ca="1" si="193"/>
        <v>1</v>
      </c>
      <c r="W311" s="260">
        <f t="shared" ca="1" si="193"/>
        <v>1</v>
      </c>
      <c r="X311" s="260">
        <f t="shared" ca="1" si="193"/>
        <v>1</v>
      </c>
      <c r="Y311" s="260">
        <f t="shared" ca="1" si="193"/>
        <v>1</v>
      </c>
      <c r="Z311" s="260">
        <f t="shared" ca="1" si="193"/>
        <v>1</v>
      </c>
    </row>
    <row r="312" spans="7:26" x14ac:dyDescent="0.25">
      <c r="G312" s="362">
        <f t="shared" si="234"/>
        <v>10.200000000000049</v>
      </c>
      <c r="H312" s="362">
        <f t="shared" ref="H312:P312" si="236">H311</f>
        <v>12</v>
      </c>
      <c r="I312" s="362">
        <f t="shared" si="236"/>
        <v>5.0999999999999996</v>
      </c>
      <c r="J312" s="362">
        <f t="shared" si="236"/>
        <v>5</v>
      </c>
      <c r="K312" s="362">
        <f t="shared" si="236"/>
        <v>4.9000000000000012</v>
      </c>
      <c r="L312" s="362">
        <f t="shared" si="236"/>
        <v>1.2</v>
      </c>
      <c r="M312" s="362">
        <f t="shared" si="236"/>
        <v>0</v>
      </c>
      <c r="N312" s="362">
        <f t="shared" si="236"/>
        <v>3.3</v>
      </c>
      <c r="O312" s="362">
        <f t="shared" si="236"/>
        <v>0</v>
      </c>
      <c r="P312" s="362">
        <f t="shared" si="236"/>
        <v>0</v>
      </c>
      <c r="Q312" s="362" t="s">
        <v>534</v>
      </c>
      <c r="R312" s="362">
        <f t="shared" ca="1" si="199"/>
        <v>4.8</v>
      </c>
      <c r="S312" s="362">
        <f t="shared" ca="1" si="200"/>
        <v>0</v>
      </c>
      <c r="T312" s="323">
        <f t="shared" ca="1" si="203"/>
        <v>5.6000000000000574</v>
      </c>
      <c r="U312" s="260">
        <f t="shared" ca="1" si="167"/>
        <v>1</v>
      </c>
      <c r="V312" s="260">
        <f t="shared" ca="1" si="193"/>
        <v>1</v>
      </c>
      <c r="W312" s="260">
        <f t="shared" ca="1" si="193"/>
        <v>1</v>
      </c>
      <c r="X312" s="260">
        <f t="shared" ca="1" si="193"/>
        <v>1</v>
      </c>
      <c r="Y312" s="260">
        <f t="shared" ca="1" si="193"/>
        <v>1</v>
      </c>
      <c r="Z312" s="260">
        <f t="shared" ca="1" si="193"/>
        <v>1</v>
      </c>
    </row>
    <row r="313" spans="7:26" x14ac:dyDescent="0.25">
      <c r="G313" s="362">
        <f t="shared" si="234"/>
        <v>10.300000000000049</v>
      </c>
      <c r="H313" s="362">
        <f t="shared" ref="H313:P313" si="237">H312</f>
        <v>12</v>
      </c>
      <c r="I313" s="362">
        <f t="shared" si="237"/>
        <v>5.0999999999999996</v>
      </c>
      <c r="J313" s="362">
        <f t="shared" si="237"/>
        <v>5</v>
      </c>
      <c r="K313" s="362">
        <f t="shared" si="237"/>
        <v>4.9000000000000012</v>
      </c>
      <c r="L313" s="362">
        <f t="shared" si="237"/>
        <v>1.2</v>
      </c>
      <c r="M313" s="362">
        <f t="shared" si="237"/>
        <v>0</v>
      </c>
      <c r="N313" s="362">
        <f t="shared" si="237"/>
        <v>3.3</v>
      </c>
      <c r="O313" s="362">
        <f t="shared" si="237"/>
        <v>0</v>
      </c>
      <c r="P313" s="362">
        <f t="shared" si="237"/>
        <v>0</v>
      </c>
      <c r="Q313" s="362" t="s">
        <v>534</v>
      </c>
      <c r="R313" s="362">
        <f t="shared" ca="1" si="199"/>
        <v>4.8</v>
      </c>
      <c r="S313" s="362">
        <f t="shared" ca="1" si="200"/>
        <v>0</v>
      </c>
      <c r="T313" s="323">
        <f t="shared" ca="1" si="203"/>
        <v>5.700000000000057</v>
      </c>
      <c r="U313" s="260">
        <f t="shared" ref="U313:U372" ca="1" si="238">IF(OR(U$17="ABIST1_No",COUNTIF($V$2,U$18)),1,IF(AND(U$19&lt;&gt;0,OFFSET($I313,0,MATCH(U$18,$J$21:$P$21,0))=U$19),1,0))</f>
        <v>1</v>
      </c>
      <c r="V313" s="260">
        <f t="shared" ca="1" si="193"/>
        <v>1</v>
      </c>
      <c r="W313" s="260">
        <f t="shared" ca="1" si="193"/>
        <v>1</v>
      </c>
      <c r="X313" s="260">
        <f t="shared" ca="1" si="193"/>
        <v>1</v>
      </c>
      <c r="Y313" s="260">
        <f t="shared" ca="1" si="193"/>
        <v>1</v>
      </c>
      <c r="Z313" s="260">
        <f t="shared" ca="1" si="193"/>
        <v>1</v>
      </c>
    </row>
    <row r="314" spans="7:26" x14ac:dyDescent="0.25">
      <c r="G314" s="362">
        <f t="shared" si="234"/>
        <v>10.400000000000048</v>
      </c>
      <c r="H314" s="362">
        <f t="shared" ref="H314:P314" si="239">H313</f>
        <v>12</v>
      </c>
      <c r="I314" s="362">
        <f t="shared" si="239"/>
        <v>5.0999999999999996</v>
      </c>
      <c r="J314" s="362">
        <f t="shared" si="239"/>
        <v>5</v>
      </c>
      <c r="K314" s="362">
        <f t="shared" si="239"/>
        <v>4.9000000000000012</v>
      </c>
      <c r="L314" s="362">
        <f t="shared" si="239"/>
        <v>1.2</v>
      </c>
      <c r="M314" s="362">
        <f t="shared" si="239"/>
        <v>0</v>
      </c>
      <c r="N314" s="362">
        <f t="shared" si="239"/>
        <v>3.3</v>
      </c>
      <c r="O314" s="362">
        <f t="shared" si="239"/>
        <v>0</v>
      </c>
      <c r="P314" s="362">
        <f t="shared" si="239"/>
        <v>0</v>
      </c>
      <c r="Q314" s="362" t="s">
        <v>534</v>
      </c>
      <c r="R314" s="362">
        <f t="shared" ca="1" si="199"/>
        <v>4.8</v>
      </c>
      <c r="S314" s="362">
        <f t="shared" ca="1" si="200"/>
        <v>0</v>
      </c>
      <c r="T314" s="323">
        <f t="shared" ca="1" si="203"/>
        <v>5.8000000000000567</v>
      </c>
      <c r="U314" s="260">
        <f t="shared" ca="1" si="238"/>
        <v>1</v>
      </c>
      <c r="V314" s="260">
        <f t="shared" ca="1" si="193"/>
        <v>1</v>
      </c>
      <c r="W314" s="260">
        <f t="shared" ca="1" si="193"/>
        <v>1</v>
      </c>
      <c r="X314" s="260">
        <f t="shared" ca="1" si="193"/>
        <v>1</v>
      </c>
      <c r="Y314" s="260">
        <f t="shared" ca="1" si="193"/>
        <v>1</v>
      </c>
      <c r="Z314" s="260">
        <f t="shared" ca="1" si="193"/>
        <v>1</v>
      </c>
    </row>
    <row r="315" spans="7:26" x14ac:dyDescent="0.25">
      <c r="G315" s="362">
        <f t="shared" si="234"/>
        <v>10.500000000000048</v>
      </c>
      <c r="H315" s="362">
        <f t="shared" ref="H315:P315" si="240">H314</f>
        <v>12</v>
      </c>
      <c r="I315" s="362">
        <f t="shared" si="240"/>
        <v>5.0999999999999996</v>
      </c>
      <c r="J315" s="362">
        <f t="shared" si="240"/>
        <v>5</v>
      </c>
      <c r="K315" s="362">
        <f t="shared" si="240"/>
        <v>4.9000000000000012</v>
      </c>
      <c r="L315" s="362">
        <f t="shared" si="240"/>
        <v>1.2</v>
      </c>
      <c r="M315" s="362">
        <f t="shared" si="240"/>
        <v>0</v>
      </c>
      <c r="N315" s="362">
        <f t="shared" si="240"/>
        <v>3.3</v>
      </c>
      <c r="O315" s="362">
        <f t="shared" si="240"/>
        <v>0</v>
      </c>
      <c r="P315" s="362">
        <f t="shared" si="240"/>
        <v>0</v>
      </c>
      <c r="Q315" s="362" t="s">
        <v>534</v>
      </c>
      <c r="R315" s="362">
        <f t="shared" ca="1" si="199"/>
        <v>4.8</v>
      </c>
      <c r="S315" s="362">
        <f t="shared" ca="1" si="200"/>
        <v>0</v>
      </c>
      <c r="T315" s="323">
        <f t="shared" ca="1" si="203"/>
        <v>5.9000000000000563</v>
      </c>
      <c r="U315" s="260">
        <f t="shared" ca="1" si="238"/>
        <v>1</v>
      </c>
      <c r="V315" s="260">
        <f t="shared" ca="1" si="193"/>
        <v>1</v>
      </c>
      <c r="W315" s="260">
        <f t="shared" ca="1" si="193"/>
        <v>1</v>
      </c>
      <c r="X315" s="260">
        <f t="shared" ca="1" si="193"/>
        <v>1</v>
      </c>
      <c r="Y315" s="260">
        <f t="shared" ca="1" si="193"/>
        <v>1</v>
      </c>
      <c r="Z315" s="260">
        <f t="shared" ca="1" si="193"/>
        <v>1</v>
      </c>
    </row>
    <row r="316" spans="7:26" x14ac:dyDescent="0.25">
      <c r="G316" s="362">
        <f t="shared" si="234"/>
        <v>10.600000000000048</v>
      </c>
      <c r="H316" s="362">
        <f t="shared" ref="H316:P316" si="241">H315</f>
        <v>12</v>
      </c>
      <c r="I316" s="362">
        <f t="shared" si="241"/>
        <v>5.0999999999999996</v>
      </c>
      <c r="J316" s="362">
        <f t="shared" si="241"/>
        <v>5</v>
      </c>
      <c r="K316" s="362">
        <f t="shared" si="241"/>
        <v>4.9000000000000012</v>
      </c>
      <c r="L316" s="362">
        <f t="shared" si="241"/>
        <v>1.2</v>
      </c>
      <c r="M316" s="362">
        <f t="shared" si="241"/>
        <v>0</v>
      </c>
      <c r="N316" s="362">
        <f t="shared" si="241"/>
        <v>3.3</v>
      </c>
      <c r="O316" s="362">
        <f t="shared" si="241"/>
        <v>0</v>
      </c>
      <c r="P316" s="362">
        <f t="shared" si="241"/>
        <v>0</v>
      </c>
      <c r="Q316" s="362" t="s">
        <v>534</v>
      </c>
      <c r="R316" s="362">
        <f t="shared" ca="1" si="199"/>
        <v>4.8</v>
      </c>
      <c r="S316" s="362">
        <f t="shared" ca="1" si="200"/>
        <v>0</v>
      </c>
      <c r="T316" s="323">
        <f t="shared" ca="1" si="203"/>
        <v>6.000000000000056</v>
      </c>
      <c r="U316" s="260">
        <f t="shared" ca="1" si="238"/>
        <v>1</v>
      </c>
      <c r="V316" s="260">
        <f t="shared" ca="1" si="193"/>
        <v>1</v>
      </c>
      <c r="W316" s="260">
        <f t="shared" ca="1" si="193"/>
        <v>1</v>
      </c>
      <c r="X316" s="260">
        <f t="shared" ca="1" si="193"/>
        <v>1</v>
      </c>
      <c r="Y316" s="260">
        <f t="shared" ca="1" si="193"/>
        <v>1</v>
      </c>
      <c r="Z316" s="260">
        <f t="shared" ca="1" si="193"/>
        <v>1</v>
      </c>
    </row>
    <row r="317" spans="7:26" x14ac:dyDescent="0.25">
      <c r="G317" s="362">
        <f t="shared" si="234"/>
        <v>10.700000000000047</v>
      </c>
      <c r="H317" s="362">
        <f t="shared" ref="H317:P317" si="242">H316</f>
        <v>12</v>
      </c>
      <c r="I317" s="362">
        <f t="shared" si="242"/>
        <v>5.0999999999999996</v>
      </c>
      <c r="J317" s="362">
        <f t="shared" si="242"/>
        <v>5</v>
      </c>
      <c r="K317" s="362">
        <f t="shared" si="242"/>
        <v>4.9000000000000012</v>
      </c>
      <c r="L317" s="362">
        <f t="shared" si="242"/>
        <v>1.2</v>
      </c>
      <c r="M317" s="362">
        <f t="shared" si="242"/>
        <v>0</v>
      </c>
      <c r="N317" s="362">
        <f t="shared" si="242"/>
        <v>3.3</v>
      </c>
      <c r="O317" s="362">
        <f t="shared" si="242"/>
        <v>0</v>
      </c>
      <c r="P317" s="362">
        <f t="shared" si="242"/>
        <v>0</v>
      </c>
      <c r="Q317" s="362" t="s">
        <v>534</v>
      </c>
      <c r="R317" s="362">
        <f t="shared" ca="1" si="199"/>
        <v>4.8</v>
      </c>
      <c r="S317" s="362">
        <f t="shared" ca="1" si="200"/>
        <v>0</v>
      </c>
      <c r="T317" s="323">
        <f t="shared" ca="1" si="203"/>
        <v>6.1000000000000556</v>
      </c>
      <c r="U317" s="260">
        <f t="shared" ca="1" si="238"/>
        <v>1</v>
      </c>
      <c r="V317" s="260">
        <f t="shared" ca="1" si="193"/>
        <v>1</v>
      </c>
      <c r="W317" s="260">
        <f t="shared" ca="1" si="193"/>
        <v>1</v>
      </c>
      <c r="X317" s="260">
        <f t="shared" ca="1" si="193"/>
        <v>1</v>
      </c>
      <c r="Y317" s="260">
        <f t="shared" ca="1" si="193"/>
        <v>1</v>
      </c>
      <c r="Z317" s="260">
        <f t="shared" ca="1" si="193"/>
        <v>1</v>
      </c>
    </row>
    <row r="318" spans="7:26" x14ac:dyDescent="0.25">
      <c r="G318" s="362">
        <f t="shared" si="234"/>
        <v>10.800000000000047</v>
      </c>
      <c r="H318" s="362">
        <f t="shared" ref="H318:P318" si="243">H317</f>
        <v>12</v>
      </c>
      <c r="I318" s="362">
        <f t="shared" si="243"/>
        <v>5.0999999999999996</v>
      </c>
      <c r="J318" s="362">
        <f t="shared" si="243"/>
        <v>5</v>
      </c>
      <c r="K318" s="362">
        <f t="shared" si="243"/>
        <v>4.9000000000000012</v>
      </c>
      <c r="L318" s="362">
        <f t="shared" si="243"/>
        <v>1.2</v>
      </c>
      <c r="M318" s="362">
        <f t="shared" si="243"/>
        <v>0</v>
      </c>
      <c r="N318" s="362">
        <f t="shared" si="243"/>
        <v>3.3</v>
      </c>
      <c r="O318" s="362">
        <f t="shared" si="243"/>
        <v>0</v>
      </c>
      <c r="P318" s="362">
        <f t="shared" si="243"/>
        <v>0</v>
      </c>
      <c r="Q318" s="362" t="s">
        <v>534</v>
      </c>
      <c r="R318" s="362">
        <f t="shared" ca="1" si="199"/>
        <v>4.8</v>
      </c>
      <c r="S318" s="362">
        <f t="shared" ca="1" si="200"/>
        <v>0</v>
      </c>
      <c r="T318" s="323">
        <f t="shared" ca="1" si="203"/>
        <v>6.2000000000000552</v>
      </c>
      <c r="U318" s="260">
        <f t="shared" ca="1" si="238"/>
        <v>1</v>
      </c>
      <c r="V318" s="260">
        <f t="shared" ca="1" si="193"/>
        <v>1</v>
      </c>
      <c r="W318" s="260">
        <f t="shared" ca="1" si="193"/>
        <v>1</v>
      </c>
      <c r="X318" s="260">
        <f t="shared" ca="1" si="193"/>
        <v>1</v>
      </c>
      <c r="Y318" s="260">
        <f t="shared" ca="1" si="193"/>
        <v>1</v>
      </c>
      <c r="Z318" s="260">
        <f t="shared" ca="1" si="193"/>
        <v>1</v>
      </c>
    </row>
    <row r="319" spans="7:26" x14ac:dyDescent="0.25">
      <c r="G319" s="362">
        <f t="shared" si="234"/>
        <v>10.900000000000047</v>
      </c>
      <c r="H319" s="362">
        <f t="shared" ref="H319:P319" si="244">H318</f>
        <v>12</v>
      </c>
      <c r="I319" s="362">
        <f t="shared" si="244"/>
        <v>5.0999999999999996</v>
      </c>
      <c r="J319" s="362">
        <f t="shared" si="244"/>
        <v>5</v>
      </c>
      <c r="K319" s="362">
        <f t="shared" si="244"/>
        <v>4.9000000000000012</v>
      </c>
      <c r="L319" s="362">
        <f t="shared" si="244"/>
        <v>1.2</v>
      </c>
      <c r="M319" s="362">
        <f t="shared" si="244"/>
        <v>0</v>
      </c>
      <c r="N319" s="362">
        <f t="shared" si="244"/>
        <v>3.3</v>
      </c>
      <c r="O319" s="362">
        <f t="shared" si="244"/>
        <v>0</v>
      </c>
      <c r="P319" s="362">
        <f t="shared" si="244"/>
        <v>0</v>
      </c>
      <c r="Q319" s="362" t="s">
        <v>534</v>
      </c>
      <c r="R319" s="362">
        <f t="shared" ca="1" si="199"/>
        <v>4.8</v>
      </c>
      <c r="S319" s="362">
        <f t="shared" ca="1" si="200"/>
        <v>0</v>
      </c>
      <c r="T319" s="323">
        <f t="shared" ca="1" si="203"/>
        <v>6.3000000000000549</v>
      </c>
      <c r="U319" s="260">
        <f t="shared" ca="1" si="238"/>
        <v>1</v>
      </c>
      <c r="V319" s="260">
        <f t="shared" ca="1" si="193"/>
        <v>1</v>
      </c>
      <c r="W319" s="260">
        <f t="shared" ca="1" si="193"/>
        <v>1</v>
      </c>
      <c r="X319" s="260">
        <f t="shared" ca="1" si="193"/>
        <v>1</v>
      </c>
      <c r="Y319" s="260">
        <f t="shared" ca="1" si="193"/>
        <v>1</v>
      </c>
      <c r="Z319" s="260">
        <f t="shared" ca="1" si="193"/>
        <v>1</v>
      </c>
    </row>
    <row r="320" spans="7:26" x14ac:dyDescent="0.25">
      <c r="G320" s="362">
        <f t="shared" si="234"/>
        <v>11.000000000000046</v>
      </c>
      <c r="H320" s="362">
        <f t="shared" ref="H320:P320" si="245">H319</f>
        <v>12</v>
      </c>
      <c r="I320" s="362">
        <f t="shared" si="245"/>
        <v>5.0999999999999996</v>
      </c>
      <c r="J320" s="362">
        <f t="shared" si="245"/>
        <v>5</v>
      </c>
      <c r="K320" s="362">
        <f t="shared" si="245"/>
        <v>4.9000000000000012</v>
      </c>
      <c r="L320" s="362">
        <f t="shared" si="245"/>
        <v>1.2</v>
      </c>
      <c r="M320" s="362">
        <f t="shared" si="245"/>
        <v>0</v>
      </c>
      <c r="N320" s="362">
        <f t="shared" si="245"/>
        <v>3.3</v>
      </c>
      <c r="O320" s="362">
        <f t="shared" si="245"/>
        <v>0</v>
      </c>
      <c r="P320" s="362">
        <f t="shared" si="245"/>
        <v>0</v>
      </c>
      <c r="Q320" s="362" t="s">
        <v>534</v>
      </c>
      <c r="R320" s="362">
        <f t="shared" ca="1" si="199"/>
        <v>4.8</v>
      </c>
      <c r="S320" s="362">
        <f t="shared" ca="1" si="200"/>
        <v>0</v>
      </c>
      <c r="T320" s="323">
        <f t="shared" ca="1" si="203"/>
        <v>6.4000000000000545</v>
      </c>
      <c r="U320" s="260">
        <f t="shared" ca="1" si="238"/>
        <v>1</v>
      </c>
      <c r="V320" s="260">
        <f t="shared" ca="1" si="193"/>
        <v>1</v>
      </c>
      <c r="W320" s="260">
        <f t="shared" ca="1" si="193"/>
        <v>1</v>
      </c>
      <c r="X320" s="260">
        <f t="shared" ca="1" si="193"/>
        <v>1</v>
      </c>
      <c r="Y320" s="260">
        <f t="shared" ca="1" si="193"/>
        <v>1</v>
      </c>
      <c r="Z320" s="260">
        <f t="shared" ca="1" si="193"/>
        <v>1</v>
      </c>
    </row>
    <row r="321" spans="7:26" x14ac:dyDescent="0.25">
      <c r="G321" s="362">
        <f t="shared" si="234"/>
        <v>11.100000000000046</v>
      </c>
      <c r="H321" s="362">
        <f t="shared" ref="H321:P321" si="246">H320</f>
        <v>12</v>
      </c>
      <c r="I321" s="362">
        <f t="shared" si="246"/>
        <v>5.0999999999999996</v>
      </c>
      <c r="J321" s="362">
        <f t="shared" si="246"/>
        <v>5</v>
      </c>
      <c r="K321" s="362">
        <f t="shared" si="246"/>
        <v>4.9000000000000012</v>
      </c>
      <c r="L321" s="362">
        <f t="shared" si="246"/>
        <v>1.2</v>
      </c>
      <c r="M321" s="362">
        <f t="shared" si="246"/>
        <v>0</v>
      </c>
      <c r="N321" s="362">
        <f t="shared" si="246"/>
        <v>3.3</v>
      </c>
      <c r="O321" s="362">
        <f t="shared" si="246"/>
        <v>0</v>
      </c>
      <c r="P321" s="362">
        <f t="shared" si="246"/>
        <v>0</v>
      </c>
      <c r="Q321" s="362" t="s">
        <v>534</v>
      </c>
      <c r="R321" s="362">
        <f t="shared" ca="1" si="199"/>
        <v>4.8</v>
      </c>
      <c r="S321" s="362">
        <f t="shared" ca="1" si="200"/>
        <v>0</v>
      </c>
      <c r="T321" s="323">
        <f t="shared" ca="1" si="203"/>
        <v>6.5000000000000542</v>
      </c>
      <c r="U321" s="260">
        <f t="shared" ca="1" si="238"/>
        <v>1</v>
      </c>
      <c r="V321" s="260">
        <f t="shared" ca="1" si="193"/>
        <v>1</v>
      </c>
      <c r="W321" s="260">
        <f t="shared" ca="1" si="193"/>
        <v>1</v>
      </c>
      <c r="X321" s="260">
        <f t="shared" ca="1" si="193"/>
        <v>1</v>
      </c>
      <c r="Y321" s="260">
        <f t="shared" ca="1" si="193"/>
        <v>1</v>
      </c>
      <c r="Z321" s="260">
        <f t="shared" ca="1" si="193"/>
        <v>1</v>
      </c>
    </row>
    <row r="322" spans="7:26" x14ac:dyDescent="0.25">
      <c r="G322" s="362">
        <f t="shared" si="234"/>
        <v>11.200000000000045</v>
      </c>
      <c r="H322" s="362">
        <f t="shared" ref="H322:P322" si="247">H321</f>
        <v>12</v>
      </c>
      <c r="I322" s="362">
        <f t="shared" si="247"/>
        <v>5.0999999999999996</v>
      </c>
      <c r="J322" s="362">
        <f t="shared" si="247"/>
        <v>5</v>
      </c>
      <c r="K322" s="362">
        <f t="shared" si="247"/>
        <v>4.9000000000000012</v>
      </c>
      <c r="L322" s="362">
        <f t="shared" si="247"/>
        <v>1.2</v>
      </c>
      <c r="M322" s="362">
        <f t="shared" si="247"/>
        <v>0</v>
      </c>
      <c r="N322" s="362">
        <f t="shared" si="247"/>
        <v>3.3</v>
      </c>
      <c r="O322" s="362">
        <f t="shared" si="247"/>
        <v>0</v>
      </c>
      <c r="P322" s="362">
        <f t="shared" si="247"/>
        <v>0</v>
      </c>
      <c r="Q322" s="362" t="s">
        <v>534</v>
      </c>
      <c r="R322" s="362">
        <f t="shared" ca="1" si="199"/>
        <v>4.8</v>
      </c>
      <c r="S322" s="362">
        <f t="shared" ca="1" si="200"/>
        <v>0</v>
      </c>
      <c r="T322" s="323">
        <f t="shared" ca="1" si="203"/>
        <v>6.6000000000000538</v>
      </c>
      <c r="U322" s="260">
        <f t="shared" ca="1" si="238"/>
        <v>1</v>
      </c>
      <c r="V322" s="260">
        <f t="shared" ca="1" si="193"/>
        <v>1</v>
      </c>
      <c r="W322" s="260">
        <f t="shared" ca="1" si="193"/>
        <v>1</v>
      </c>
      <c r="X322" s="260">
        <f t="shared" ca="1" si="193"/>
        <v>1</v>
      </c>
      <c r="Y322" s="260">
        <f t="shared" ca="1" si="193"/>
        <v>1</v>
      </c>
      <c r="Z322" s="260">
        <f t="shared" ca="1" si="193"/>
        <v>1</v>
      </c>
    </row>
    <row r="323" spans="7:26" x14ac:dyDescent="0.25">
      <c r="G323" s="362">
        <f t="shared" si="234"/>
        <v>11.300000000000045</v>
      </c>
      <c r="H323" s="362">
        <f t="shared" ref="H323:P323" si="248">H322</f>
        <v>12</v>
      </c>
      <c r="I323" s="362">
        <f t="shared" si="248"/>
        <v>5.0999999999999996</v>
      </c>
      <c r="J323" s="362">
        <f t="shared" si="248"/>
        <v>5</v>
      </c>
      <c r="K323" s="362">
        <f t="shared" si="248"/>
        <v>4.9000000000000012</v>
      </c>
      <c r="L323" s="362">
        <f t="shared" si="248"/>
        <v>1.2</v>
      </c>
      <c r="M323" s="362">
        <f t="shared" si="248"/>
        <v>0</v>
      </c>
      <c r="N323" s="362">
        <f t="shared" si="248"/>
        <v>3.3</v>
      </c>
      <c r="O323" s="362">
        <f t="shared" si="248"/>
        <v>0</v>
      </c>
      <c r="P323" s="362">
        <f t="shared" si="248"/>
        <v>0</v>
      </c>
      <c r="Q323" s="362" t="s">
        <v>534</v>
      </c>
      <c r="R323" s="362">
        <f t="shared" ca="1" si="199"/>
        <v>4.8</v>
      </c>
      <c r="S323" s="362">
        <f t="shared" ca="1" si="200"/>
        <v>0</v>
      </c>
      <c r="T323" s="323">
        <f t="shared" ca="1" si="203"/>
        <v>6.7000000000000535</v>
      </c>
      <c r="U323" s="260">
        <f t="shared" ca="1" si="238"/>
        <v>1</v>
      </c>
      <c r="V323" s="260">
        <f t="shared" ca="1" si="193"/>
        <v>1</v>
      </c>
      <c r="W323" s="260">
        <f t="shared" ca="1" si="193"/>
        <v>1</v>
      </c>
      <c r="X323" s="260">
        <f t="shared" ca="1" si="193"/>
        <v>1</v>
      </c>
      <c r="Y323" s="260">
        <f t="shared" ca="1" si="193"/>
        <v>1</v>
      </c>
      <c r="Z323" s="260">
        <f t="shared" ca="1" si="193"/>
        <v>1</v>
      </c>
    </row>
    <row r="324" spans="7:26" x14ac:dyDescent="0.25">
      <c r="G324" s="362">
        <f t="shared" si="234"/>
        <v>11.400000000000045</v>
      </c>
      <c r="H324" s="362">
        <f t="shared" ref="H324:P324" si="249">H323</f>
        <v>12</v>
      </c>
      <c r="I324" s="362">
        <f t="shared" si="249"/>
        <v>5.0999999999999996</v>
      </c>
      <c r="J324" s="362">
        <f t="shared" si="249"/>
        <v>5</v>
      </c>
      <c r="K324" s="362">
        <f t="shared" si="249"/>
        <v>4.9000000000000012</v>
      </c>
      <c r="L324" s="362">
        <f t="shared" si="249"/>
        <v>1.2</v>
      </c>
      <c r="M324" s="362">
        <f t="shared" si="249"/>
        <v>0</v>
      </c>
      <c r="N324" s="362">
        <f t="shared" si="249"/>
        <v>3.3</v>
      </c>
      <c r="O324" s="362">
        <f t="shared" si="249"/>
        <v>0</v>
      </c>
      <c r="P324" s="362">
        <f t="shared" si="249"/>
        <v>0</v>
      </c>
      <c r="Q324" s="362" t="s">
        <v>534</v>
      </c>
      <c r="R324" s="362">
        <f t="shared" ca="1" si="199"/>
        <v>4.8</v>
      </c>
      <c r="S324" s="362">
        <f t="shared" ca="1" si="200"/>
        <v>0</v>
      </c>
      <c r="T324" s="323">
        <f t="shared" ca="1" si="203"/>
        <v>6.8000000000000531</v>
      </c>
      <c r="U324" s="260">
        <f t="shared" ca="1" si="238"/>
        <v>1</v>
      </c>
      <c r="V324" s="260">
        <f t="shared" ca="1" si="193"/>
        <v>1</v>
      </c>
      <c r="W324" s="260">
        <f t="shared" ca="1" si="193"/>
        <v>1</v>
      </c>
      <c r="X324" s="260">
        <f t="shared" ref="V324:Z372" ca="1" si="250">IF(OR(X$17="ABIST1_No",COUNTIF($V$2,X$18)),1,IF(AND(X$19&lt;&gt;0,OFFSET($I324,0,MATCH(X$18,$J$21:$P$21,0))=X$19),1,0))</f>
        <v>1</v>
      </c>
      <c r="Y324" s="260">
        <f t="shared" ca="1" si="250"/>
        <v>1</v>
      </c>
      <c r="Z324" s="260">
        <f t="shared" ca="1" si="250"/>
        <v>1</v>
      </c>
    </row>
    <row r="325" spans="7:26" x14ac:dyDescent="0.25">
      <c r="G325" s="362">
        <f t="shared" si="234"/>
        <v>11.500000000000044</v>
      </c>
      <c r="H325" s="362">
        <f t="shared" ref="H325:P325" si="251">H324</f>
        <v>12</v>
      </c>
      <c r="I325" s="362">
        <f t="shared" si="251"/>
        <v>5.0999999999999996</v>
      </c>
      <c r="J325" s="362">
        <f t="shared" si="251"/>
        <v>5</v>
      </c>
      <c r="K325" s="362">
        <f t="shared" si="251"/>
        <v>4.9000000000000012</v>
      </c>
      <c r="L325" s="362">
        <f t="shared" si="251"/>
        <v>1.2</v>
      </c>
      <c r="M325" s="362">
        <f t="shared" si="251"/>
        <v>0</v>
      </c>
      <c r="N325" s="362">
        <f t="shared" si="251"/>
        <v>3.3</v>
      </c>
      <c r="O325" s="362">
        <f t="shared" si="251"/>
        <v>0</v>
      </c>
      <c r="P325" s="362">
        <f t="shared" si="251"/>
        <v>0</v>
      </c>
      <c r="Q325" s="362" t="s">
        <v>534</v>
      </c>
      <c r="R325" s="362">
        <f t="shared" ca="1" si="199"/>
        <v>4.8</v>
      </c>
      <c r="S325" s="362">
        <f t="shared" ca="1" si="200"/>
        <v>0</v>
      </c>
      <c r="T325" s="323">
        <f t="shared" ca="1" si="203"/>
        <v>6.9000000000000528</v>
      </c>
      <c r="U325" s="260">
        <f t="shared" ca="1" si="238"/>
        <v>1</v>
      </c>
      <c r="V325" s="260">
        <f t="shared" ca="1" si="250"/>
        <v>1</v>
      </c>
      <c r="W325" s="260">
        <f t="shared" ca="1" si="250"/>
        <v>1</v>
      </c>
      <c r="X325" s="260">
        <f t="shared" ca="1" si="250"/>
        <v>1</v>
      </c>
      <c r="Y325" s="260">
        <f t="shared" ca="1" si="250"/>
        <v>1</v>
      </c>
      <c r="Z325" s="260">
        <f t="shared" ca="1" si="250"/>
        <v>1</v>
      </c>
    </row>
    <row r="326" spans="7:26" x14ac:dyDescent="0.25">
      <c r="G326" s="362">
        <f t="shared" si="234"/>
        <v>11.600000000000044</v>
      </c>
      <c r="H326" s="362">
        <f t="shared" ref="H326:P326" si="252">H325</f>
        <v>12</v>
      </c>
      <c r="I326" s="362">
        <f t="shared" si="252"/>
        <v>5.0999999999999996</v>
      </c>
      <c r="J326" s="362">
        <f t="shared" si="252"/>
        <v>5</v>
      </c>
      <c r="K326" s="362">
        <f t="shared" si="252"/>
        <v>4.9000000000000012</v>
      </c>
      <c r="L326" s="362">
        <f t="shared" si="252"/>
        <v>1.2</v>
      </c>
      <c r="M326" s="362">
        <f t="shared" si="252"/>
        <v>0</v>
      </c>
      <c r="N326" s="362">
        <f t="shared" si="252"/>
        <v>3.3</v>
      </c>
      <c r="O326" s="362">
        <f t="shared" si="252"/>
        <v>0</v>
      </c>
      <c r="P326" s="362">
        <f t="shared" si="252"/>
        <v>0</v>
      </c>
      <c r="Q326" s="362" t="s">
        <v>534</v>
      </c>
      <c r="R326" s="362">
        <f t="shared" ca="1" si="199"/>
        <v>4.8</v>
      </c>
      <c r="S326" s="362">
        <f t="shared" ca="1" si="200"/>
        <v>0</v>
      </c>
      <c r="T326" s="323">
        <f t="shared" ca="1" si="203"/>
        <v>7.0000000000000524</v>
      </c>
      <c r="U326" s="260">
        <f t="shared" ca="1" si="238"/>
        <v>1</v>
      </c>
      <c r="V326" s="260">
        <f t="shared" ca="1" si="250"/>
        <v>1</v>
      </c>
      <c r="W326" s="260">
        <f t="shared" ca="1" si="250"/>
        <v>1</v>
      </c>
      <c r="X326" s="260">
        <f t="shared" ca="1" si="250"/>
        <v>1</v>
      </c>
      <c r="Y326" s="260">
        <f t="shared" ca="1" si="250"/>
        <v>1</v>
      </c>
      <c r="Z326" s="260">
        <f t="shared" ca="1" si="250"/>
        <v>1</v>
      </c>
    </row>
    <row r="327" spans="7:26" x14ac:dyDescent="0.25">
      <c r="G327" s="362">
        <f t="shared" si="234"/>
        <v>11.700000000000044</v>
      </c>
      <c r="H327" s="362">
        <f t="shared" ref="H327:P327" si="253">H326</f>
        <v>12</v>
      </c>
      <c r="I327" s="362">
        <f t="shared" si="253"/>
        <v>5.0999999999999996</v>
      </c>
      <c r="J327" s="362">
        <f t="shared" si="253"/>
        <v>5</v>
      </c>
      <c r="K327" s="362">
        <f t="shared" si="253"/>
        <v>4.9000000000000012</v>
      </c>
      <c r="L327" s="362">
        <f t="shared" si="253"/>
        <v>1.2</v>
      </c>
      <c r="M327" s="362">
        <f t="shared" si="253"/>
        <v>0</v>
      </c>
      <c r="N327" s="362">
        <f t="shared" si="253"/>
        <v>3.3</v>
      </c>
      <c r="O327" s="362">
        <f t="shared" si="253"/>
        <v>0</v>
      </c>
      <c r="P327" s="362">
        <f t="shared" si="253"/>
        <v>0</v>
      </c>
      <c r="Q327" s="362" t="s">
        <v>534</v>
      </c>
      <c r="R327" s="362">
        <f t="shared" ca="1" si="199"/>
        <v>4.8</v>
      </c>
      <c r="S327" s="362">
        <f t="shared" ca="1" si="200"/>
        <v>0</v>
      </c>
      <c r="T327" s="323">
        <f t="shared" ca="1" si="203"/>
        <v>7.100000000000052</v>
      </c>
      <c r="U327" s="260">
        <f t="shared" ca="1" si="238"/>
        <v>1</v>
      </c>
      <c r="V327" s="260">
        <f t="shared" ca="1" si="250"/>
        <v>1</v>
      </c>
      <c r="W327" s="260">
        <f t="shared" ca="1" si="250"/>
        <v>1</v>
      </c>
      <c r="X327" s="260">
        <f t="shared" ca="1" si="250"/>
        <v>1</v>
      </c>
      <c r="Y327" s="260">
        <f t="shared" ca="1" si="250"/>
        <v>1</v>
      </c>
      <c r="Z327" s="260">
        <f t="shared" ca="1" si="250"/>
        <v>1</v>
      </c>
    </row>
    <row r="328" spans="7:26" x14ac:dyDescent="0.25">
      <c r="G328" s="362">
        <f t="shared" si="234"/>
        <v>11.800000000000043</v>
      </c>
      <c r="H328" s="362">
        <f t="shared" ref="H328:P328" si="254">H327</f>
        <v>12</v>
      </c>
      <c r="I328" s="362">
        <f t="shared" si="254"/>
        <v>5.0999999999999996</v>
      </c>
      <c r="J328" s="362">
        <f t="shared" si="254"/>
        <v>5</v>
      </c>
      <c r="K328" s="362">
        <f t="shared" si="254"/>
        <v>4.9000000000000012</v>
      </c>
      <c r="L328" s="362">
        <f t="shared" si="254"/>
        <v>1.2</v>
      </c>
      <c r="M328" s="362">
        <f t="shared" si="254"/>
        <v>0</v>
      </c>
      <c r="N328" s="362">
        <f t="shared" si="254"/>
        <v>3.3</v>
      </c>
      <c r="O328" s="362">
        <f t="shared" si="254"/>
        <v>0</v>
      </c>
      <c r="P328" s="362">
        <f t="shared" si="254"/>
        <v>0</v>
      </c>
      <c r="Q328" s="362" t="s">
        <v>534</v>
      </c>
      <c r="R328" s="362">
        <f t="shared" ca="1" si="199"/>
        <v>4.8</v>
      </c>
      <c r="S328" s="362">
        <f t="shared" ca="1" si="200"/>
        <v>0</v>
      </c>
      <c r="T328" s="323">
        <f t="shared" ca="1" si="203"/>
        <v>7.2000000000000517</v>
      </c>
      <c r="U328" s="260">
        <f t="shared" ca="1" si="238"/>
        <v>1</v>
      </c>
      <c r="V328" s="260">
        <f t="shared" ca="1" si="250"/>
        <v>1</v>
      </c>
      <c r="W328" s="260">
        <f t="shared" ca="1" si="250"/>
        <v>1</v>
      </c>
      <c r="X328" s="260">
        <f t="shared" ca="1" si="250"/>
        <v>1</v>
      </c>
      <c r="Y328" s="260">
        <f t="shared" ca="1" si="250"/>
        <v>1</v>
      </c>
      <c r="Z328" s="260">
        <f t="shared" ca="1" si="250"/>
        <v>1</v>
      </c>
    </row>
    <row r="329" spans="7:26" x14ac:dyDescent="0.25">
      <c r="G329" s="362">
        <f t="shared" si="234"/>
        <v>11.900000000000043</v>
      </c>
      <c r="H329" s="362">
        <f t="shared" ref="H329:P329" si="255">H328</f>
        <v>12</v>
      </c>
      <c r="I329" s="362">
        <f t="shared" si="255"/>
        <v>5.0999999999999996</v>
      </c>
      <c r="J329" s="362">
        <f t="shared" si="255"/>
        <v>5</v>
      </c>
      <c r="K329" s="362">
        <f t="shared" si="255"/>
        <v>4.9000000000000012</v>
      </c>
      <c r="L329" s="362">
        <f t="shared" si="255"/>
        <v>1.2</v>
      </c>
      <c r="M329" s="362">
        <f t="shared" si="255"/>
        <v>0</v>
      </c>
      <c r="N329" s="362">
        <f t="shared" si="255"/>
        <v>3.3</v>
      </c>
      <c r="O329" s="362">
        <f t="shared" si="255"/>
        <v>0</v>
      </c>
      <c r="P329" s="362">
        <f t="shared" si="255"/>
        <v>0</v>
      </c>
      <c r="Q329" s="362" t="s">
        <v>534</v>
      </c>
      <c r="R329" s="362">
        <f t="shared" ca="1" si="199"/>
        <v>4.8</v>
      </c>
      <c r="S329" s="362">
        <f t="shared" ca="1" si="200"/>
        <v>0</v>
      </c>
      <c r="T329" s="323">
        <f t="shared" ca="1" si="203"/>
        <v>7.3000000000000513</v>
      </c>
      <c r="U329" s="260">
        <f t="shared" ca="1" si="238"/>
        <v>1</v>
      </c>
      <c r="V329" s="260">
        <f t="shared" ca="1" si="250"/>
        <v>1</v>
      </c>
      <c r="W329" s="260">
        <f t="shared" ca="1" si="250"/>
        <v>1</v>
      </c>
      <c r="X329" s="260">
        <f t="shared" ca="1" si="250"/>
        <v>1</v>
      </c>
      <c r="Y329" s="260">
        <f t="shared" ca="1" si="250"/>
        <v>1</v>
      </c>
      <c r="Z329" s="260">
        <f t="shared" ca="1" si="250"/>
        <v>1</v>
      </c>
    </row>
    <row r="330" spans="7:26" x14ac:dyDescent="0.25">
      <c r="G330" s="362">
        <f t="shared" si="234"/>
        <v>12.000000000000043</v>
      </c>
      <c r="H330" s="362">
        <f t="shared" ref="H330:P330" si="256">H329</f>
        <v>12</v>
      </c>
      <c r="I330" s="362">
        <f t="shared" si="256"/>
        <v>5.0999999999999996</v>
      </c>
      <c r="J330" s="362">
        <f t="shared" si="256"/>
        <v>5</v>
      </c>
      <c r="K330" s="362">
        <f t="shared" si="256"/>
        <v>4.9000000000000012</v>
      </c>
      <c r="L330" s="362">
        <f t="shared" si="256"/>
        <v>1.2</v>
      </c>
      <c r="M330" s="362">
        <f t="shared" si="256"/>
        <v>0</v>
      </c>
      <c r="N330" s="362">
        <f t="shared" si="256"/>
        <v>3.3</v>
      </c>
      <c r="O330" s="362">
        <f t="shared" si="256"/>
        <v>0</v>
      </c>
      <c r="P330" s="362">
        <f t="shared" si="256"/>
        <v>0</v>
      </c>
      <c r="Q330" s="362" t="s">
        <v>534</v>
      </c>
      <c r="R330" s="362">
        <f t="shared" ca="1" si="199"/>
        <v>4.8</v>
      </c>
      <c r="S330" s="362">
        <f t="shared" ca="1" si="200"/>
        <v>0</v>
      </c>
      <c r="T330" s="323">
        <f t="shared" ca="1" si="203"/>
        <v>7.400000000000051</v>
      </c>
      <c r="U330" s="260">
        <f t="shared" ca="1" si="238"/>
        <v>1</v>
      </c>
      <c r="V330" s="260">
        <f t="shared" ca="1" si="250"/>
        <v>1</v>
      </c>
      <c r="W330" s="260">
        <f t="shared" ca="1" si="250"/>
        <v>1</v>
      </c>
      <c r="X330" s="260">
        <f t="shared" ca="1" si="250"/>
        <v>1</v>
      </c>
      <c r="Y330" s="260">
        <f t="shared" ca="1" si="250"/>
        <v>1</v>
      </c>
      <c r="Z330" s="260">
        <f t="shared" ca="1" si="250"/>
        <v>1</v>
      </c>
    </row>
    <row r="331" spans="7:26" x14ac:dyDescent="0.25">
      <c r="G331" s="362">
        <f t="shared" si="234"/>
        <v>12.100000000000042</v>
      </c>
      <c r="H331" s="362">
        <f t="shared" ref="H331:P331" si="257">H330</f>
        <v>12</v>
      </c>
      <c r="I331" s="362">
        <f t="shared" si="257"/>
        <v>5.0999999999999996</v>
      </c>
      <c r="J331" s="362">
        <f t="shared" si="257"/>
        <v>5</v>
      </c>
      <c r="K331" s="362">
        <f t="shared" si="257"/>
        <v>4.9000000000000012</v>
      </c>
      <c r="L331" s="362">
        <f t="shared" si="257"/>
        <v>1.2</v>
      </c>
      <c r="M331" s="362">
        <f t="shared" si="257"/>
        <v>0</v>
      </c>
      <c r="N331" s="362">
        <f t="shared" si="257"/>
        <v>3.3</v>
      </c>
      <c r="O331" s="362">
        <f t="shared" si="257"/>
        <v>0</v>
      </c>
      <c r="P331" s="362">
        <f t="shared" si="257"/>
        <v>0</v>
      </c>
      <c r="Q331" s="362" t="s">
        <v>534</v>
      </c>
      <c r="R331" s="362">
        <f t="shared" ca="1" si="199"/>
        <v>4.8</v>
      </c>
      <c r="S331" s="362">
        <f t="shared" ca="1" si="200"/>
        <v>0</v>
      </c>
      <c r="T331" s="323">
        <f t="shared" ca="1" si="203"/>
        <v>7.5000000000000506</v>
      </c>
      <c r="U331" s="260">
        <f t="shared" ca="1" si="238"/>
        <v>1</v>
      </c>
      <c r="V331" s="260">
        <f t="shared" ca="1" si="250"/>
        <v>1</v>
      </c>
      <c r="W331" s="260">
        <f t="shared" ca="1" si="250"/>
        <v>1</v>
      </c>
      <c r="X331" s="260">
        <f t="shared" ca="1" si="250"/>
        <v>1</v>
      </c>
      <c r="Y331" s="260">
        <f t="shared" ca="1" si="250"/>
        <v>1</v>
      </c>
      <c r="Z331" s="260">
        <f t="shared" ca="1" si="250"/>
        <v>1</v>
      </c>
    </row>
    <row r="332" spans="7:26" x14ac:dyDescent="0.25">
      <c r="G332" s="362">
        <f t="shared" si="234"/>
        <v>12.200000000000042</v>
      </c>
      <c r="H332" s="362">
        <f t="shared" ref="H332:P332" si="258">H331</f>
        <v>12</v>
      </c>
      <c r="I332" s="362">
        <f t="shared" si="258"/>
        <v>5.0999999999999996</v>
      </c>
      <c r="J332" s="362">
        <f t="shared" si="258"/>
        <v>5</v>
      </c>
      <c r="K332" s="362">
        <f t="shared" si="258"/>
        <v>4.9000000000000012</v>
      </c>
      <c r="L332" s="362">
        <f t="shared" si="258"/>
        <v>1.2</v>
      </c>
      <c r="M332" s="362">
        <f t="shared" si="258"/>
        <v>0</v>
      </c>
      <c r="N332" s="362">
        <f t="shared" si="258"/>
        <v>3.3</v>
      </c>
      <c r="O332" s="362">
        <f t="shared" si="258"/>
        <v>0</v>
      </c>
      <c r="P332" s="362">
        <f t="shared" si="258"/>
        <v>0</v>
      </c>
      <c r="Q332" s="362" t="s">
        <v>534</v>
      </c>
      <c r="R332" s="362">
        <f t="shared" ca="1" si="199"/>
        <v>4.8</v>
      </c>
      <c r="S332" s="362">
        <f t="shared" ca="1" si="200"/>
        <v>0</v>
      </c>
      <c r="T332" s="323">
        <f t="shared" ca="1" si="203"/>
        <v>7.6000000000000503</v>
      </c>
      <c r="U332" s="260">
        <f t="shared" ca="1" si="238"/>
        <v>1</v>
      </c>
      <c r="V332" s="260">
        <f t="shared" ca="1" si="250"/>
        <v>1</v>
      </c>
      <c r="W332" s="260">
        <f t="shared" ca="1" si="250"/>
        <v>1</v>
      </c>
      <c r="X332" s="260">
        <f t="shared" ca="1" si="250"/>
        <v>1</v>
      </c>
      <c r="Y332" s="260">
        <f t="shared" ca="1" si="250"/>
        <v>1</v>
      </c>
      <c r="Z332" s="260">
        <f t="shared" ca="1" si="250"/>
        <v>1</v>
      </c>
    </row>
    <row r="333" spans="7:26" x14ac:dyDescent="0.25">
      <c r="G333" s="362">
        <f t="shared" si="234"/>
        <v>12.300000000000042</v>
      </c>
      <c r="H333" s="362">
        <f t="shared" ref="H333:P333" si="259">H332</f>
        <v>12</v>
      </c>
      <c r="I333" s="362">
        <f t="shared" si="259"/>
        <v>5.0999999999999996</v>
      </c>
      <c r="J333" s="362">
        <f t="shared" si="259"/>
        <v>5</v>
      </c>
      <c r="K333" s="362">
        <f t="shared" si="259"/>
        <v>4.9000000000000012</v>
      </c>
      <c r="L333" s="362">
        <f t="shared" si="259"/>
        <v>1.2</v>
      </c>
      <c r="M333" s="362">
        <f t="shared" si="259"/>
        <v>0</v>
      </c>
      <c r="N333" s="362">
        <f t="shared" si="259"/>
        <v>3.3</v>
      </c>
      <c r="O333" s="362">
        <f t="shared" si="259"/>
        <v>0</v>
      </c>
      <c r="P333" s="362">
        <f t="shared" si="259"/>
        <v>0</v>
      </c>
      <c r="Q333" s="362" t="s">
        <v>534</v>
      </c>
      <c r="R333" s="362">
        <f t="shared" ca="1" si="199"/>
        <v>4.8</v>
      </c>
      <c r="S333" s="362">
        <f t="shared" ca="1" si="200"/>
        <v>0</v>
      </c>
      <c r="T333" s="323">
        <f t="shared" ca="1" si="203"/>
        <v>7.7000000000000499</v>
      </c>
      <c r="U333" s="260">
        <f t="shared" ca="1" si="238"/>
        <v>1</v>
      </c>
      <c r="V333" s="260">
        <f t="shared" ca="1" si="250"/>
        <v>1</v>
      </c>
      <c r="W333" s="260">
        <f t="shared" ca="1" si="250"/>
        <v>1</v>
      </c>
      <c r="X333" s="260">
        <f t="shared" ca="1" si="250"/>
        <v>1</v>
      </c>
      <c r="Y333" s="260">
        <f t="shared" ca="1" si="250"/>
        <v>1</v>
      </c>
      <c r="Z333" s="260">
        <f t="shared" ca="1" si="250"/>
        <v>1</v>
      </c>
    </row>
    <row r="334" spans="7:26" x14ac:dyDescent="0.25">
      <c r="G334" s="362">
        <f t="shared" si="234"/>
        <v>12.400000000000041</v>
      </c>
      <c r="H334" s="362">
        <f t="shared" ref="H334:P334" si="260">H333</f>
        <v>12</v>
      </c>
      <c r="I334" s="362">
        <f t="shared" si="260"/>
        <v>5.0999999999999996</v>
      </c>
      <c r="J334" s="362">
        <f t="shared" si="260"/>
        <v>5</v>
      </c>
      <c r="K334" s="362">
        <f t="shared" si="260"/>
        <v>4.9000000000000012</v>
      </c>
      <c r="L334" s="362">
        <f t="shared" si="260"/>
        <v>1.2</v>
      </c>
      <c r="M334" s="362">
        <f t="shared" si="260"/>
        <v>0</v>
      </c>
      <c r="N334" s="362">
        <f t="shared" si="260"/>
        <v>3.3</v>
      </c>
      <c r="O334" s="362">
        <f t="shared" si="260"/>
        <v>0</v>
      </c>
      <c r="P334" s="362">
        <f t="shared" si="260"/>
        <v>0</v>
      </c>
      <c r="Q334" s="362" t="s">
        <v>534</v>
      </c>
      <c r="R334" s="362">
        <f t="shared" ca="1" si="199"/>
        <v>4.8</v>
      </c>
      <c r="S334" s="362">
        <f t="shared" ca="1" si="200"/>
        <v>0</v>
      </c>
      <c r="T334" s="323">
        <f t="shared" ca="1" si="203"/>
        <v>7.8000000000000496</v>
      </c>
      <c r="U334" s="260">
        <f t="shared" ca="1" si="238"/>
        <v>1</v>
      </c>
      <c r="V334" s="260">
        <f t="shared" ca="1" si="250"/>
        <v>1</v>
      </c>
      <c r="W334" s="260">
        <f t="shared" ca="1" si="250"/>
        <v>1</v>
      </c>
      <c r="X334" s="260">
        <f t="shared" ca="1" si="250"/>
        <v>1</v>
      </c>
      <c r="Y334" s="260">
        <f t="shared" ca="1" si="250"/>
        <v>1</v>
      </c>
      <c r="Z334" s="260">
        <f t="shared" ca="1" si="250"/>
        <v>1</v>
      </c>
    </row>
    <row r="335" spans="7:26" x14ac:dyDescent="0.25">
      <c r="G335" s="362">
        <f t="shared" si="234"/>
        <v>12.500000000000041</v>
      </c>
      <c r="H335" s="362">
        <f t="shared" ref="H335:P335" si="261">H334</f>
        <v>12</v>
      </c>
      <c r="I335" s="362">
        <f t="shared" si="261"/>
        <v>5.0999999999999996</v>
      </c>
      <c r="J335" s="362">
        <f t="shared" si="261"/>
        <v>5</v>
      </c>
      <c r="K335" s="362">
        <f t="shared" si="261"/>
        <v>4.9000000000000012</v>
      </c>
      <c r="L335" s="362">
        <f t="shared" si="261"/>
        <v>1.2</v>
      </c>
      <c r="M335" s="362">
        <f t="shared" si="261"/>
        <v>0</v>
      </c>
      <c r="N335" s="362">
        <f t="shared" si="261"/>
        <v>3.3</v>
      </c>
      <c r="O335" s="362">
        <f t="shared" si="261"/>
        <v>0</v>
      </c>
      <c r="P335" s="362">
        <f t="shared" si="261"/>
        <v>0</v>
      </c>
      <c r="Q335" s="362" t="s">
        <v>534</v>
      </c>
      <c r="R335" s="362">
        <f t="shared" ca="1" si="199"/>
        <v>4.8</v>
      </c>
      <c r="S335" s="362">
        <f t="shared" ca="1" si="200"/>
        <v>0</v>
      </c>
      <c r="T335" s="323">
        <f t="shared" ca="1" si="203"/>
        <v>7.9000000000000492</v>
      </c>
      <c r="U335" s="260">
        <f t="shared" ca="1" si="238"/>
        <v>1</v>
      </c>
      <c r="V335" s="260">
        <f t="shared" ca="1" si="250"/>
        <v>1</v>
      </c>
      <c r="W335" s="260">
        <f t="shared" ca="1" si="250"/>
        <v>1</v>
      </c>
      <c r="X335" s="260">
        <f t="shared" ca="1" si="250"/>
        <v>1</v>
      </c>
      <c r="Y335" s="260">
        <f t="shared" ca="1" si="250"/>
        <v>1</v>
      </c>
      <c r="Z335" s="260">
        <f t="shared" ca="1" si="250"/>
        <v>1</v>
      </c>
    </row>
    <row r="336" spans="7:26" x14ac:dyDescent="0.25">
      <c r="G336" s="362">
        <f t="shared" si="234"/>
        <v>12.600000000000041</v>
      </c>
      <c r="H336" s="362">
        <f t="shared" ref="H336:P336" si="262">H335</f>
        <v>12</v>
      </c>
      <c r="I336" s="362">
        <f t="shared" si="262"/>
        <v>5.0999999999999996</v>
      </c>
      <c r="J336" s="362">
        <f t="shared" si="262"/>
        <v>5</v>
      </c>
      <c r="K336" s="362">
        <f t="shared" si="262"/>
        <v>4.9000000000000012</v>
      </c>
      <c r="L336" s="362">
        <f t="shared" si="262"/>
        <v>1.2</v>
      </c>
      <c r="M336" s="362">
        <f t="shared" si="262"/>
        <v>0</v>
      </c>
      <c r="N336" s="362">
        <f t="shared" si="262"/>
        <v>3.3</v>
      </c>
      <c r="O336" s="362">
        <f t="shared" si="262"/>
        <v>0</v>
      </c>
      <c r="P336" s="362">
        <f t="shared" si="262"/>
        <v>0</v>
      </c>
      <c r="Q336" s="362" t="s">
        <v>534</v>
      </c>
      <c r="R336" s="362">
        <f t="shared" ca="1" si="199"/>
        <v>4.8</v>
      </c>
      <c r="S336" s="362">
        <f t="shared" ca="1" si="200"/>
        <v>0</v>
      </c>
      <c r="T336" s="323">
        <f t="shared" ca="1" si="203"/>
        <v>8.0000000000000497</v>
      </c>
      <c r="U336" s="260">
        <f t="shared" ca="1" si="238"/>
        <v>1</v>
      </c>
      <c r="V336" s="260">
        <f t="shared" ca="1" si="250"/>
        <v>1</v>
      </c>
      <c r="W336" s="260">
        <f t="shared" ca="1" si="250"/>
        <v>1</v>
      </c>
      <c r="X336" s="260">
        <f t="shared" ca="1" si="250"/>
        <v>1</v>
      </c>
      <c r="Y336" s="260">
        <f t="shared" ca="1" si="250"/>
        <v>1</v>
      </c>
      <c r="Z336" s="260">
        <f t="shared" ca="1" si="250"/>
        <v>1</v>
      </c>
    </row>
    <row r="337" spans="7:26" x14ac:dyDescent="0.25">
      <c r="G337" s="362">
        <f t="shared" si="234"/>
        <v>12.70000000000004</v>
      </c>
      <c r="H337" s="362">
        <f t="shared" ref="H337:P337" si="263">H336</f>
        <v>12</v>
      </c>
      <c r="I337" s="362">
        <f t="shared" si="263"/>
        <v>5.0999999999999996</v>
      </c>
      <c r="J337" s="362">
        <f t="shared" si="263"/>
        <v>5</v>
      </c>
      <c r="K337" s="362">
        <f t="shared" si="263"/>
        <v>4.9000000000000012</v>
      </c>
      <c r="L337" s="362">
        <f t="shared" si="263"/>
        <v>1.2</v>
      </c>
      <c r="M337" s="362">
        <f t="shared" si="263"/>
        <v>0</v>
      </c>
      <c r="N337" s="362">
        <f t="shared" si="263"/>
        <v>3.3</v>
      </c>
      <c r="O337" s="362">
        <f t="shared" si="263"/>
        <v>0</v>
      </c>
      <c r="P337" s="362">
        <f t="shared" si="263"/>
        <v>0</v>
      </c>
      <c r="Q337" s="362" t="s">
        <v>534</v>
      </c>
      <c r="R337" s="362">
        <f t="shared" ca="1" si="199"/>
        <v>4.8</v>
      </c>
      <c r="S337" s="362">
        <f t="shared" ca="1" si="200"/>
        <v>0</v>
      </c>
      <c r="T337" s="323">
        <f t="shared" ca="1" si="203"/>
        <v>8.1000000000000494</v>
      </c>
      <c r="U337" s="260">
        <f t="shared" ca="1" si="238"/>
        <v>1</v>
      </c>
      <c r="V337" s="260">
        <f t="shared" ca="1" si="250"/>
        <v>1</v>
      </c>
      <c r="W337" s="260">
        <f t="shared" ca="1" si="250"/>
        <v>1</v>
      </c>
      <c r="X337" s="260">
        <f t="shared" ca="1" si="250"/>
        <v>1</v>
      </c>
      <c r="Y337" s="260">
        <f t="shared" ca="1" si="250"/>
        <v>1</v>
      </c>
      <c r="Z337" s="260">
        <f t="shared" ca="1" si="250"/>
        <v>1</v>
      </c>
    </row>
    <row r="338" spans="7:26" x14ac:dyDescent="0.25">
      <c r="G338" s="362">
        <f t="shared" si="234"/>
        <v>12.80000000000004</v>
      </c>
      <c r="H338" s="362">
        <f t="shared" ref="H338:P338" si="264">H337</f>
        <v>12</v>
      </c>
      <c r="I338" s="362">
        <f t="shared" si="264"/>
        <v>5.0999999999999996</v>
      </c>
      <c r="J338" s="362">
        <f t="shared" si="264"/>
        <v>5</v>
      </c>
      <c r="K338" s="362">
        <f t="shared" si="264"/>
        <v>4.9000000000000012</v>
      </c>
      <c r="L338" s="362">
        <f t="shared" si="264"/>
        <v>1.2</v>
      </c>
      <c r="M338" s="362">
        <f t="shared" si="264"/>
        <v>0</v>
      </c>
      <c r="N338" s="362">
        <f t="shared" si="264"/>
        <v>3.3</v>
      </c>
      <c r="O338" s="362">
        <f t="shared" si="264"/>
        <v>0</v>
      </c>
      <c r="P338" s="362">
        <f t="shared" si="264"/>
        <v>0</v>
      </c>
      <c r="Q338" s="362" t="s">
        <v>534</v>
      </c>
      <c r="R338" s="362">
        <f t="shared" ca="1" si="199"/>
        <v>4.8</v>
      </c>
      <c r="S338" s="362">
        <f t="shared" ca="1" si="200"/>
        <v>0</v>
      </c>
      <c r="T338" s="323">
        <f t="shared" ca="1" si="203"/>
        <v>8.200000000000049</v>
      </c>
      <c r="U338" s="260">
        <f t="shared" ca="1" si="238"/>
        <v>1</v>
      </c>
      <c r="V338" s="260">
        <f t="shared" ca="1" si="250"/>
        <v>1</v>
      </c>
      <c r="W338" s="260">
        <f t="shared" ca="1" si="250"/>
        <v>1</v>
      </c>
      <c r="X338" s="260">
        <f t="shared" ca="1" si="250"/>
        <v>1</v>
      </c>
      <c r="Y338" s="260">
        <f t="shared" ca="1" si="250"/>
        <v>1</v>
      </c>
      <c r="Z338" s="260">
        <f t="shared" ca="1" si="250"/>
        <v>1</v>
      </c>
    </row>
    <row r="339" spans="7:26" x14ac:dyDescent="0.25">
      <c r="G339" s="362">
        <f t="shared" si="234"/>
        <v>12.900000000000039</v>
      </c>
      <c r="H339" s="362">
        <f t="shared" ref="H339:P339" si="265">H338</f>
        <v>12</v>
      </c>
      <c r="I339" s="362">
        <f t="shared" si="265"/>
        <v>5.0999999999999996</v>
      </c>
      <c r="J339" s="362">
        <f t="shared" si="265"/>
        <v>5</v>
      </c>
      <c r="K339" s="362">
        <f t="shared" si="265"/>
        <v>4.9000000000000012</v>
      </c>
      <c r="L339" s="362">
        <f t="shared" si="265"/>
        <v>1.2</v>
      </c>
      <c r="M339" s="362">
        <f t="shared" si="265"/>
        <v>0</v>
      </c>
      <c r="N339" s="362">
        <f t="shared" si="265"/>
        <v>3.3</v>
      </c>
      <c r="O339" s="362">
        <f t="shared" si="265"/>
        <v>0</v>
      </c>
      <c r="P339" s="362">
        <f t="shared" si="265"/>
        <v>0</v>
      </c>
      <c r="Q339" s="362" t="s">
        <v>534</v>
      </c>
      <c r="R339" s="362">
        <f t="shared" ca="1" si="199"/>
        <v>4.8</v>
      </c>
      <c r="S339" s="362">
        <f t="shared" ca="1" si="200"/>
        <v>0</v>
      </c>
      <c r="T339" s="323">
        <f t="shared" ca="1" si="203"/>
        <v>8.3000000000000487</v>
      </c>
      <c r="U339" s="260">
        <f t="shared" ca="1" si="238"/>
        <v>1</v>
      </c>
      <c r="V339" s="260">
        <f t="shared" ca="1" si="250"/>
        <v>1</v>
      </c>
      <c r="W339" s="260">
        <f t="shared" ca="1" si="250"/>
        <v>1</v>
      </c>
      <c r="X339" s="260">
        <f t="shared" ca="1" si="250"/>
        <v>1</v>
      </c>
      <c r="Y339" s="260">
        <f t="shared" ca="1" si="250"/>
        <v>1</v>
      </c>
      <c r="Z339" s="260">
        <f t="shared" ca="1" si="250"/>
        <v>1</v>
      </c>
    </row>
    <row r="340" spans="7:26" x14ac:dyDescent="0.25">
      <c r="G340" s="362">
        <f t="shared" si="234"/>
        <v>13.000000000000039</v>
      </c>
      <c r="H340" s="362">
        <f t="shared" ref="H340:P340" si="266">H339</f>
        <v>12</v>
      </c>
      <c r="I340" s="362">
        <f t="shared" si="266"/>
        <v>5.0999999999999996</v>
      </c>
      <c r="J340" s="362">
        <f t="shared" si="266"/>
        <v>5</v>
      </c>
      <c r="K340" s="362">
        <f t="shared" si="266"/>
        <v>4.9000000000000012</v>
      </c>
      <c r="L340" s="362">
        <f t="shared" si="266"/>
        <v>1.2</v>
      </c>
      <c r="M340" s="362">
        <f t="shared" si="266"/>
        <v>0</v>
      </c>
      <c r="N340" s="362">
        <f t="shared" si="266"/>
        <v>3.3</v>
      </c>
      <c r="O340" s="362">
        <f t="shared" si="266"/>
        <v>0</v>
      </c>
      <c r="P340" s="362">
        <f t="shared" si="266"/>
        <v>0</v>
      </c>
      <c r="Q340" s="362" t="s">
        <v>534</v>
      </c>
      <c r="R340" s="362">
        <f t="shared" ca="1" si="199"/>
        <v>4.8</v>
      </c>
      <c r="S340" s="362">
        <f t="shared" ca="1" si="200"/>
        <v>0</v>
      </c>
      <c r="T340" s="323">
        <f t="shared" ca="1" si="203"/>
        <v>8.4000000000000483</v>
      </c>
      <c r="U340" s="260">
        <f t="shared" ca="1" si="238"/>
        <v>1</v>
      </c>
      <c r="V340" s="260">
        <f t="shared" ca="1" si="250"/>
        <v>1</v>
      </c>
      <c r="W340" s="260">
        <f t="shared" ca="1" si="250"/>
        <v>1</v>
      </c>
      <c r="X340" s="260">
        <f t="shared" ca="1" si="250"/>
        <v>1</v>
      </c>
      <c r="Y340" s="260">
        <f t="shared" ca="1" si="250"/>
        <v>1</v>
      </c>
      <c r="Z340" s="260">
        <f t="shared" ca="1" si="250"/>
        <v>1</v>
      </c>
    </row>
    <row r="341" spans="7:26" x14ac:dyDescent="0.25">
      <c r="G341" s="362">
        <f t="shared" si="234"/>
        <v>13.100000000000039</v>
      </c>
      <c r="H341" s="362">
        <f t="shared" ref="H341:P341" si="267">H340</f>
        <v>12</v>
      </c>
      <c r="I341" s="362">
        <f t="shared" si="267"/>
        <v>5.0999999999999996</v>
      </c>
      <c r="J341" s="362">
        <f t="shared" si="267"/>
        <v>5</v>
      </c>
      <c r="K341" s="362">
        <f t="shared" si="267"/>
        <v>4.9000000000000012</v>
      </c>
      <c r="L341" s="362">
        <f t="shared" si="267"/>
        <v>1.2</v>
      </c>
      <c r="M341" s="362">
        <f t="shared" si="267"/>
        <v>0</v>
      </c>
      <c r="N341" s="362">
        <f t="shared" si="267"/>
        <v>3.3</v>
      </c>
      <c r="O341" s="362">
        <f t="shared" si="267"/>
        <v>0</v>
      </c>
      <c r="P341" s="362">
        <f t="shared" si="267"/>
        <v>0</v>
      </c>
      <c r="Q341" s="362" t="s">
        <v>534</v>
      </c>
      <c r="R341" s="362">
        <f t="shared" ca="1" si="199"/>
        <v>4.8</v>
      </c>
      <c r="S341" s="362">
        <f t="shared" ca="1" si="200"/>
        <v>0</v>
      </c>
      <c r="T341" s="323">
        <f t="shared" ca="1" si="203"/>
        <v>8.500000000000048</v>
      </c>
      <c r="U341" s="260">
        <f t="shared" ca="1" si="238"/>
        <v>1</v>
      </c>
      <c r="V341" s="260">
        <f t="shared" ca="1" si="250"/>
        <v>1</v>
      </c>
      <c r="W341" s="260">
        <f t="shared" ca="1" si="250"/>
        <v>1</v>
      </c>
      <c r="X341" s="260">
        <f t="shared" ca="1" si="250"/>
        <v>1</v>
      </c>
      <c r="Y341" s="260">
        <f t="shared" ca="1" si="250"/>
        <v>1</v>
      </c>
      <c r="Z341" s="260">
        <f t="shared" ca="1" si="250"/>
        <v>1</v>
      </c>
    </row>
    <row r="342" spans="7:26" x14ac:dyDescent="0.25">
      <c r="G342" s="362">
        <f t="shared" si="234"/>
        <v>13.200000000000038</v>
      </c>
      <c r="H342" s="362">
        <f t="shared" ref="H342:P342" si="268">H341</f>
        <v>12</v>
      </c>
      <c r="I342" s="362">
        <f t="shared" si="268"/>
        <v>5.0999999999999996</v>
      </c>
      <c r="J342" s="362">
        <f t="shared" si="268"/>
        <v>5</v>
      </c>
      <c r="K342" s="362">
        <f t="shared" si="268"/>
        <v>4.9000000000000012</v>
      </c>
      <c r="L342" s="362">
        <f t="shared" si="268"/>
        <v>1.2</v>
      </c>
      <c r="M342" s="362">
        <f t="shared" si="268"/>
        <v>0</v>
      </c>
      <c r="N342" s="362">
        <f t="shared" si="268"/>
        <v>3.3</v>
      </c>
      <c r="O342" s="362">
        <f t="shared" si="268"/>
        <v>0</v>
      </c>
      <c r="P342" s="362">
        <f t="shared" si="268"/>
        <v>0</v>
      </c>
      <c r="Q342" s="362" t="s">
        <v>534</v>
      </c>
      <c r="R342" s="362">
        <f t="shared" ref="R342:R371" ca="1" si="269">IF(T342&gt;0.2+$AF$12/6+$H$1,vRST,0)</f>
        <v>4.8</v>
      </c>
      <c r="S342" s="362">
        <f t="shared" ref="S342:S371" ca="1" si="270">IF(AND(T342&gt;0,T342&lt;0.2+$AF$12/6),vABIST,0)</f>
        <v>0</v>
      </c>
      <c r="T342" s="323">
        <f t="shared" ca="1" si="203"/>
        <v>8.6000000000000476</v>
      </c>
      <c r="U342" s="260">
        <f t="shared" ca="1" si="238"/>
        <v>1</v>
      </c>
      <c r="V342" s="260">
        <f t="shared" ca="1" si="250"/>
        <v>1</v>
      </c>
      <c r="W342" s="260">
        <f t="shared" ca="1" si="250"/>
        <v>1</v>
      </c>
      <c r="X342" s="260">
        <f t="shared" ca="1" si="250"/>
        <v>1</v>
      </c>
      <c r="Y342" s="260">
        <f t="shared" ca="1" si="250"/>
        <v>1</v>
      </c>
      <c r="Z342" s="260">
        <f t="shared" ca="1" si="250"/>
        <v>1</v>
      </c>
    </row>
    <row r="343" spans="7:26" x14ac:dyDescent="0.25">
      <c r="G343" s="362">
        <f t="shared" si="234"/>
        <v>13.300000000000038</v>
      </c>
      <c r="H343" s="362">
        <f t="shared" ref="H343:P343" si="271">H342</f>
        <v>12</v>
      </c>
      <c r="I343" s="362">
        <f t="shared" si="271"/>
        <v>5.0999999999999996</v>
      </c>
      <c r="J343" s="362">
        <f t="shared" si="271"/>
        <v>5</v>
      </c>
      <c r="K343" s="362">
        <f t="shared" si="271"/>
        <v>4.9000000000000012</v>
      </c>
      <c r="L343" s="362">
        <f t="shared" si="271"/>
        <v>1.2</v>
      </c>
      <c r="M343" s="362">
        <f t="shared" si="271"/>
        <v>0</v>
      </c>
      <c r="N343" s="362">
        <f t="shared" si="271"/>
        <v>3.3</v>
      </c>
      <c r="O343" s="362">
        <f t="shared" si="271"/>
        <v>0</v>
      </c>
      <c r="P343" s="362">
        <f t="shared" si="271"/>
        <v>0</v>
      </c>
      <c r="Q343" s="362" t="s">
        <v>534</v>
      </c>
      <c r="R343" s="362">
        <f t="shared" ca="1" si="269"/>
        <v>4.8</v>
      </c>
      <c r="S343" s="362">
        <f t="shared" ca="1" si="270"/>
        <v>0</v>
      </c>
      <c r="T343" s="323">
        <f t="shared" ca="1" si="203"/>
        <v>8.7000000000000473</v>
      </c>
      <c r="U343" s="260">
        <f t="shared" ca="1" si="238"/>
        <v>1</v>
      </c>
      <c r="V343" s="260">
        <f t="shared" ca="1" si="250"/>
        <v>1</v>
      </c>
      <c r="W343" s="260">
        <f t="shared" ca="1" si="250"/>
        <v>1</v>
      </c>
      <c r="X343" s="260">
        <f t="shared" ca="1" si="250"/>
        <v>1</v>
      </c>
      <c r="Y343" s="260">
        <f t="shared" ca="1" si="250"/>
        <v>1</v>
      </c>
      <c r="Z343" s="260">
        <f t="shared" ca="1" si="250"/>
        <v>1</v>
      </c>
    </row>
    <row r="344" spans="7:26" x14ac:dyDescent="0.25">
      <c r="G344" s="362">
        <f t="shared" si="234"/>
        <v>13.400000000000038</v>
      </c>
      <c r="H344" s="362">
        <f t="shared" ref="H344:P344" si="272">H343</f>
        <v>12</v>
      </c>
      <c r="I344" s="362">
        <f t="shared" si="272"/>
        <v>5.0999999999999996</v>
      </c>
      <c r="J344" s="362">
        <f t="shared" si="272"/>
        <v>5</v>
      </c>
      <c r="K344" s="362">
        <f t="shared" si="272"/>
        <v>4.9000000000000012</v>
      </c>
      <c r="L344" s="362">
        <f t="shared" si="272"/>
        <v>1.2</v>
      </c>
      <c r="M344" s="362">
        <f t="shared" si="272"/>
        <v>0</v>
      </c>
      <c r="N344" s="362">
        <f t="shared" si="272"/>
        <v>3.3</v>
      </c>
      <c r="O344" s="362">
        <f t="shared" si="272"/>
        <v>0</v>
      </c>
      <c r="P344" s="362">
        <f t="shared" si="272"/>
        <v>0</v>
      </c>
      <c r="Q344" s="362" t="s">
        <v>534</v>
      </c>
      <c r="R344" s="362">
        <f t="shared" ca="1" si="269"/>
        <v>4.8</v>
      </c>
      <c r="S344" s="362">
        <f t="shared" ca="1" si="270"/>
        <v>0</v>
      </c>
      <c r="T344" s="323">
        <f t="shared" ref="T344:T372" ca="1" si="273">T343+IF(INT(AND(U344:Z344,Q343="DONE"))=0,0,G344-G343)</f>
        <v>8.8000000000000469</v>
      </c>
      <c r="U344" s="260">
        <f t="shared" ca="1" si="238"/>
        <v>1</v>
      </c>
      <c r="V344" s="260">
        <f t="shared" ca="1" si="250"/>
        <v>1</v>
      </c>
      <c r="W344" s="260">
        <f t="shared" ca="1" si="250"/>
        <v>1</v>
      </c>
      <c r="X344" s="260">
        <f t="shared" ca="1" si="250"/>
        <v>1</v>
      </c>
      <c r="Y344" s="260">
        <f t="shared" ca="1" si="250"/>
        <v>1</v>
      </c>
      <c r="Z344" s="260">
        <f t="shared" ca="1" si="250"/>
        <v>1</v>
      </c>
    </row>
    <row r="345" spans="7:26" x14ac:dyDescent="0.25">
      <c r="G345" s="362">
        <f t="shared" si="234"/>
        <v>13.500000000000037</v>
      </c>
      <c r="H345" s="362">
        <f t="shared" ref="H345:P345" si="274">H344</f>
        <v>12</v>
      </c>
      <c r="I345" s="362">
        <f t="shared" si="274"/>
        <v>5.0999999999999996</v>
      </c>
      <c r="J345" s="362">
        <f t="shared" si="274"/>
        <v>5</v>
      </c>
      <c r="K345" s="362">
        <f t="shared" si="274"/>
        <v>4.9000000000000012</v>
      </c>
      <c r="L345" s="362">
        <f t="shared" si="274"/>
        <v>1.2</v>
      </c>
      <c r="M345" s="362">
        <f t="shared" si="274"/>
        <v>0</v>
      </c>
      <c r="N345" s="362">
        <f t="shared" si="274"/>
        <v>3.3</v>
      </c>
      <c r="O345" s="362">
        <f t="shared" si="274"/>
        <v>0</v>
      </c>
      <c r="P345" s="362">
        <f t="shared" si="274"/>
        <v>0</v>
      </c>
      <c r="Q345" s="362" t="s">
        <v>534</v>
      </c>
      <c r="R345" s="362">
        <f t="shared" ca="1" si="269"/>
        <v>4.8</v>
      </c>
      <c r="S345" s="362">
        <f t="shared" ca="1" si="270"/>
        <v>0</v>
      </c>
      <c r="T345" s="323">
        <f t="shared" ca="1" si="273"/>
        <v>8.9000000000000465</v>
      </c>
      <c r="U345" s="260">
        <f t="shared" ca="1" si="238"/>
        <v>1</v>
      </c>
      <c r="V345" s="260">
        <f t="shared" ca="1" si="250"/>
        <v>1</v>
      </c>
      <c r="W345" s="260">
        <f t="shared" ca="1" si="250"/>
        <v>1</v>
      </c>
      <c r="X345" s="260">
        <f t="shared" ca="1" si="250"/>
        <v>1</v>
      </c>
      <c r="Y345" s="260">
        <f t="shared" ca="1" si="250"/>
        <v>1</v>
      </c>
      <c r="Z345" s="260">
        <f t="shared" ca="1" si="250"/>
        <v>1</v>
      </c>
    </row>
    <row r="346" spans="7:26" x14ac:dyDescent="0.25">
      <c r="G346" s="362">
        <f t="shared" si="234"/>
        <v>13.600000000000037</v>
      </c>
      <c r="H346" s="362">
        <f t="shared" ref="H346:P346" si="275">H345</f>
        <v>12</v>
      </c>
      <c r="I346" s="362">
        <f t="shared" si="275"/>
        <v>5.0999999999999996</v>
      </c>
      <c r="J346" s="362">
        <f t="shared" si="275"/>
        <v>5</v>
      </c>
      <c r="K346" s="362">
        <f t="shared" si="275"/>
        <v>4.9000000000000012</v>
      </c>
      <c r="L346" s="362">
        <f t="shared" si="275"/>
        <v>1.2</v>
      </c>
      <c r="M346" s="362">
        <f t="shared" si="275"/>
        <v>0</v>
      </c>
      <c r="N346" s="362">
        <f t="shared" si="275"/>
        <v>3.3</v>
      </c>
      <c r="O346" s="362">
        <f t="shared" si="275"/>
        <v>0</v>
      </c>
      <c r="P346" s="362">
        <f t="shared" si="275"/>
        <v>0</v>
      </c>
      <c r="Q346" s="362" t="s">
        <v>534</v>
      </c>
      <c r="R346" s="362">
        <f t="shared" ca="1" si="269"/>
        <v>4.8</v>
      </c>
      <c r="S346" s="362">
        <f t="shared" ca="1" si="270"/>
        <v>0</v>
      </c>
      <c r="T346" s="323">
        <f t="shared" ca="1" si="273"/>
        <v>9.0000000000000462</v>
      </c>
      <c r="U346" s="260">
        <f t="shared" ca="1" si="238"/>
        <v>1</v>
      </c>
      <c r="V346" s="260">
        <f t="shared" ca="1" si="250"/>
        <v>1</v>
      </c>
      <c r="W346" s="260">
        <f t="shared" ca="1" si="250"/>
        <v>1</v>
      </c>
      <c r="X346" s="260">
        <f t="shared" ca="1" si="250"/>
        <v>1</v>
      </c>
      <c r="Y346" s="260">
        <f t="shared" ca="1" si="250"/>
        <v>1</v>
      </c>
      <c r="Z346" s="260">
        <f t="shared" ca="1" si="250"/>
        <v>1</v>
      </c>
    </row>
    <row r="347" spans="7:26" x14ac:dyDescent="0.25">
      <c r="G347" s="362">
        <f t="shared" si="234"/>
        <v>13.700000000000037</v>
      </c>
      <c r="H347" s="362">
        <f t="shared" ref="H347:P347" si="276">H346</f>
        <v>12</v>
      </c>
      <c r="I347" s="362">
        <f t="shared" si="276"/>
        <v>5.0999999999999996</v>
      </c>
      <c r="J347" s="362">
        <f t="shared" si="276"/>
        <v>5</v>
      </c>
      <c r="K347" s="362">
        <f t="shared" si="276"/>
        <v>4.9000000000000012</v>
      </c>
      <c r="L347" s="362">
        <f t="shared" si="276"/>
        <v>1.2</v>
      </c>
      <c r="M347" s="362">
        <f t="shared" si="276"/>
        <v>0</v>
      </c>
      <c r="N347" s="362">
        <f t="shared" si="276"/>
        <v>3.3</v>
      </c>
      <c r="O347" s="362">
        <f t="shared" si="276"/>
        <v>0</v>
      </c>
      <c r="P347" s="362">
        <f t="shared" si="276"/>
        <v>0</v>
      </c>
      <c r="Q347" s="362" t="s">
        <v>534</v>
      </c>
      <c r="R347" s="362">
        <f t="shared" ca="1" si="269"/>
        <v>4.8</v>
      </c>
      <c r="S347" s="362">
        <f t="shared" ca="1" si="270"/>
        <v>0</v>
      </c>
      <c r="T347" s="323">
        <f t="shared" ca="1" si="273"/>
        <v>9.1000000000000458</v>
      </c>
      <c r="U347" s="260">
        <f t="shared" ca="1" si="238"/>
        <v>1</v>
      </c>
      <c r="V347" s="260">
        <f t="shared" ca="1" si="250"/>
        <v>1</v>
      </c>
      <c r="W347" s="260">
        <f t="shared" ca="1" si="250"/>
        <v>1</v>
      </c>
      <c r="X347" s="260">
        <f t="shared" ca="1" si="250"/>
        <v>1</v>
      </c>
      <c r="Y347" s="260">
        <f t="shared" ca="1" si="250"/>
        <v>1</v>
      </c>
      <c r="Z347" s="260">
        <f t="shared" ca="1" si="250"/>
        <v>1</v>
      </c>
    </row>
    <row r="348" spans="7:26" x14ac:dyDescent="0.25">
      <c r="G348" s="362">
        <f t="shared" si="234"/>
        <v>13.800000000000036</v>
      </c>
      <c r="H348" s="362">
        <f t="shared" ref="H348:P348" si="277">H347</f>
        <v>12</v>
      </c>
      <c r="I348" s="362">
        <f t="shared" si="277"/>
        <v>5.0999999999999996</v>
      </c>
      <c r="J348" s="362">
        <f t="shared" si="277"/>
        <v>5</v>
      </c>
      <c r="K348" s="362">
        <f t="shared" si="277"/>
        <v>4.9000000000000012</v>
      </c>
      <c r="L348" s="362">
        <f t="shared" si="277"/>
        <v>1.2</v>
      </c>
      <c r="M348" s="362">
        <f t="shared" si="277"/>
        <v>0</v>
      </c>
      <c r="N348" s="362">
        <f t="shared" si="277"/>
        <v>3.3</v>
      </c>
      <c r="O348" s="362">
        <f t="shared" si="277"/>
        <v>0</v>
      </c>
      <c r="P348" s="362">
        <f t="shared" si="277"/>
        <v>0</v>
      </c>
      <c r="Q348" s="362" t="s">
        <v>534</v>
      </c>
      <c r="R348" s="362">
        <f t="shared" ca="1" si="269"/>
        <v>4.8</v>
      </c>
      <c r="S348" s="362">
        <f t="shared" ca="1" si="270"/>
        <v>0</v>
      </c>
      <c r="T348" s="323">
        <f t="shared" ca="1" si="273"/>
        <v>9.2000000000000455</v>
      </c>
      <c r="U348" s="260">
        <f t="shared" ca="1" si="238"/>
        <v>1</v>
      </c>
      <c r="V348" s="260">
        <f t="shared" ca="1" si="250"/>
        <v>1</v>
      </c>
      <c r="W348" s="260">
        <f t="shared" ca="1" si="250"/>
        <v>1</v>
      </c>
      <c r="X348" s="260">
        <f t="shared" ca="1" si="250"/>
        <v>1</v>
      </c>
      <c r="Y348" s="260">
        <f t="shared" ca="1" si="250"/>
        <v>1</v>
      </c>
      <c r="Z348" s="260">
        <f t="shared" ca="1" si="250"/>
        <v>1</v>
      </c>
    </row>
    <row r="349" spans="7:26" x14ac:dyDescent="0.25">
      <c r="G349" s="362">
        <f t="shared" si="234"/>
        <v>13.900000000000036</v>
      </c>
      <c r="H349" s="362">
        <f t="shared" ref="H349:P349" si="278">H348</f>
        <v>12</v>
      </c>
      <c r="I349" s="362">
        <f t="shared" si="278"/>
        <v>5.0999999999999996</v>
      </c>
      <c r="J349" s="362">
        <f t="shared" si="278"/>
        <v>5</v>
      </c>
      <c r="K349" s="362">
        <f t="shared" si="278"/>
        <v>4.9000000000000012</v>
      </c>
      <c r="L349" s="362">
        <f t="shared" si="278"/>
        <v>1.2</v>
      </c>
      <c r="M349" s="362">
        <f t="shared" si="278"/>
        <v>0</v>
      </c>
      <c r="N349" s="362">
        <f t="shared" si="278"/>
        <v>3.3</v>
      </c>
      <c r="O349" s="362">
        <f t="shared" si="278"/>
        <v>0</v>
      </c>
      <c r="P349" s="362">
        <f t="shared" si="278"/>
        <v>0</v>
      </c>
      <c r="Q349" s="362" t="s">
        <v>534</v>
      </c>
      <c r="R349" s="362">
        <f t="shared" ca="1" si="269"/>
        <v>4.8</v>
      </c>
      <c r="S349" s="362">
        <f t="shared" ca="1" si="270"/>
        <v>0</v>
      </c>
      <c r="T349" s="323">
        <f t="shared" ca="1" si="273"/>
        <v>9.3000000000000451</v>
      </c>
      <c r="U349" s="260">
        <f t="shared" ca="1" si="238"/>
        <v>1</v>
      </c>
      <c r="V349" s="260">
        <f t="shared" ca="1" si="250"/>
        <v>1</v>
      </c>
      <c r="W349" s="260">
        <f t="shared" ca="1" si="250"/>
        <v>1</v>
      </c>
      <c r="X349" s="260">
        <f t="shared" ca="1" si="250"/>
        <v>1</v>
      </c>
      <c r="Y349" s="260">
        <f t="shared" ca="1" si="250"/>
        <v>1</v>
      </c>
      <c r="Z349" s="260">
        <f t="shared" ca="1" si="250"/>
        <v>1</v>
      </c>
    </row>
    <row r="350" spans="7:26" x14ac:dyDescent="0.25">
      <c r="G350" s="362">
        <f t="shared" si="234"/>
        <v>14.000000000000036</v>
      </c>
      <c r="H350" s="362">
        <f t="shared" ref="H350:P350" si="279">H349</f>
        <v>12</v>
      </c>
      <c r="I350" s="362">
        <f t="shared" si="279"/>
        <v>5.0999999999999996</v>
      </c>
      <c r="J350" s="362">
        <f t="shared" si="279"/>
        <v>5</v>
      </c>
      <c r="K350" s="362">
        <f t="shared" si="279"/>
        <v>4.9000000000000012</v>
      </c>
      <c r="L350" s="362">
        <f t="shared" si="279"/>
        <v>1.2</v>
      </c>
      <c r="M350" s="362">
        <f t="shared" si="279"/>
        <v>0</v>
      </c>
      <c r="N350" s="362">
        <f t="shared" si="279"/>
        <v>3.3</v>
      </c>
      <c r="O350" s="362">
        <f t="shared" si="279"/>
        <v>0</v>
      </c>
      <c r="P350" s="362">
        <f t="shared" si="279"/>
        <v>0</v>
      </c>
      <c r="Q350" s="362" t="s">
        <v>534</v>
      </c>
      <c r="R350" s="362">
        <f t="shared" ca="1" si="269"/>
        <v>4.8</v>
      </c>
      <c r="S350" s="362">
        <f t="shared" ca="1" si="270"/>
        <v>0</v>
      </c>
      <c r="T350" s="323">
        <f t="shared" ca="1" si="273"/>
        <v>9.4000000000000448</v>
      </c>
      <c r="U350" s="260">
        <f t="shared" ca="1" si="238"/>
        <v>1</v>
      </c>
      <c r="V350" s="260">
        <f t="shared" ca="1" si="250"/>
        <v>1</v>
      </c>
      <c r="W350" s="260">
        <f t="shared" ca="1" si="250"/>
        <v>1</v>
      </c>
      <c r="X350" s="260">
        <f t="shared" ca="1" si="250"/>
        <v>1</v>
      </c>
      <c r="Y350" s="260">
        <f t="shared" ca="1" si="250"/>
        <v>1</v>
      </c>
      <c r="Z350" s="260">
        <f t="shared" ca="1" si="250"/>
        <v>1</v>
      </c>
    </row>
    <row r="351" spans="7:26" x14ac:dyDescent="0.25">
      <c r="G351" s="362">
        <f t="shared" si="234"/>
        <v>14.100000000000035</v>
      </c>
      <c r="H351" s="362">
        <f t="shared" ref="H351:P351" si="280">H350</f>
        <v>12</v>
      </c>
      <c r="I351" s="362">
        <f t="shared" si="280"/>
        <v>5.0999999999999996</v>
      </c>
      <c r="J351" s="362">
        <f t="shared" si="280"/>
        <v>5</v>
      </c>
      <c r="K351" s="362">
        <f t="shared" si="280"/>
        <v>4.9000000000000012</v>
      </c>
      <c r="L351" s="362">
        <f t="shared" si="280"/>
        <v>1.2</v>
      </c>
      <c r="M351" s="362">
        <f t="shared" si="280"/>
        <v>0</v>
      </c>
      <c r="N351" s="362">
        <f t="shared" si="280"/>
        <v>3.3</v>
      </c>
      <c r="O351" s="362">
        <f t="shared" si="280"/>
        <v>0</v>
      </c>
      <c r="P351" s="362">
        <f t="shared" si="280"/>
        <v>0</v>
      </c>
      <c r="Q351" s="362" t="s">
        <v>534</v>
      </c>
      <c r="R351" s="362">
        <f t="shared" ca="1" si="269"/>
        <v>4.8</v>
      </c>
      <c r="S351" s="362">
        <f t="shared" ca="1" si="270"/>
        <v>0</v>
      </c>
      <c r="T351" s="323">
        <f t="shared" ca="1" si="273"/>
        <v>9.5000000000000444</v>
      </c>
      <c r="U351" s="260">
        <f t="shared" ca="1" si="238"/>
        <v>1</v>
      </c>
      <c r="V351" s="260">
        <f t="shared" ca="1" si="250"/>
        <v>1</v>
      </c>
      <c r="W351" s="260">
        <f t="shared" ca="1" si="250"/>
        <v>1</v>
      </c>
      <c r="X351" s="260">
        <f t="shared" ca="1" si="250"/>
        <v>1</v>
      </c>
      <c r="Y351" s="260">
        <f t="shared" ca="1" si="250"/>
        <v>1</v>
      </c>
      <c r="Z351" s="260">
        <f t="shared" ca="1" si="250"/>
        <v>1</v>
      </c>
    </row>
    <row r="352" spans="7:26" x14ac:dyDescent="0.25">
      <c r="G352" s="362">
        <f t="shared" si="234"/>
        <v>14.200000000000035</v>
      </c>
      <c r="H352" s="362">
        <f t="shared" ref="H352:P352" si="281">H351</f>
        <v>12</v>
      </c>
      <c r="I352" s="362">
        <f t="shared" si="281"/>
        <v>5.0999999999999996</v>
      </c>
      <c r="J352" s="362">
        <f t="shared" si="281"/>
        <v>5</v>
      </c>
      <c r="K352" s="362">
        <f t="shared" si="281"/>
        <v>4.9000000000000012</v>
      </c>
      <c r="L352" s="362">
        <f t="shared" si="281"/>
        <v>1.2</v>
      </c>
      <c r="M352" s="362">
        <f t="shared" si="281"/>
        <v>0</v>
      </c>
      <c r="N352" s="362">
        <f t="shared" si="281"/>
        <v>3.3</v>
      </c>
      <c r="O352" s="362">
        <f t="shared" si="281"/>
        <v>0</v>
      </c>
      <c r="P352" s="362">
        <f t="shared" si="281"/>
        <v>0</v>
      </c>
      <c r="Q352" s="362" t="s">
        <v>534</v>
      </c>
      <c r="R352" s="362">
        <f t="shared" ca="1" si="269"/>
        <v>4.8</v>
      </c>
      <c r="S352" s="362">
        <f t="shared" ca="1" si="270"/>
        <v>0</v>
      </c>
      <c r="T352" s="323">
        <f t="shared" ca="1" si="273"/>
        <v>9.6000000000000441</v>
      </c>
      <c r="U352" s="260">
        <f t="shared" ca="1" si="238"/>
        <v>1</v>
      </c>
      <c r="V352" s="260">
        <f t="shared" ca="1" si="250"/>
        <v>1</v>
      </c>
      <c r="W352" s="260">
        <f t="shared" ca="1" si="250"/>
        <v>1</v>
      </c>
      <c r="X352" s="260">
        <f t="shared" ca="1" si="250"/>
        <v>1</v>
      </c>
      <c r="Y352" s="260">
        <f t="shared" ca="1" si="250"/>
        <v>1</v>
      </c>
      <c r="Z352" s="260">
        <f t="shared" ca="1" si="250"/>
        <v>1</v>
      </c>
    </row>
    <row r="353" spans="7:26" x14ac:dyDescent="0.25">
      <c r="G353" s="362">
        <f t="shared" si="234"/>
        <v>14.300000000000034</v>
      </c>
      <c r="H353" s="362">
        <f t="shared" ref="H353:P353" si="282">H352</f>
        <v>12</v>
      </c>
      <c r="I353" s="362">
        <f t="shared" si="282"/>
        <v>5.0999999999999996</v>
      </c>
      <c r="J353" s="362">
        <f t="shared" si="282"/>
        <v>5</v>
      </c>
      <c r="K353" s="362">
        <f t="shared" si="282"/>
        <v>4.9000000000000012</v>
      </c>
      <c r="L353" s="362">
        <f t="shared" si="282"/>
        <v>1.2</v>
      </c>
      <c r="M353" s="362">
        <f t="shared" si="282"/>
        <v>0</v>
      </c>
      <c r="N353" s="362">
        <f t="shared" si="282"/>
        <v>3.3</v>
      </c>
      <c r="O353" s="362">
        <f t="shared" si="282"/>
        <v>0</v>
      </c>
      <c r="P353" s="362">
        <f t="shared" si="282"/>
        <v>0</v>
      </c>
      <c r="Q353" s="362" t="s">
        <v>534</v>
      </c>
      <c r="R353" s="362">
        <f t="shared" ca="1" si="269"/>
        <v>4.8</v>
      </c>
      <c r="S353" s="362">
        <f t="shared" ca="1" si="270"/>
        <v>0</v>
      </c>
      <c r="T353" s="323">
        <f t="shared" ca="1" si="273"/>
        <v>9.7000000000000437</v>
      </c>
      <c r="U353" s="260">
        <f t="shared" ca="1" si="238"/>
        <v>1</v>
      </c>
      <c r="V353" s="260">
        <f t="shared" ca="1" si="250"/>
        <v>1</v>
      </c>
      <c r="W353" s="260">
        <f t="shared" ca="1" si="250"/>
        <v>1</v>
      </c>
      <c r="X353" s="260">
        <f t="shared" ca="1" si="250"/>
        <v>1</v>
      </c>
      <c r="Y353" s="260">
        <f t="shared" ca="1" si="250"/>
        <v>1</v>
      </c>
      <c r="Z353" s="260">
        <f t="shared" ca="1" si="250"/>
        <v>1</v>
      </c>
    </row>
    <row r="354" spans="7:26" x14ac:dyDescent="0.25">
      <c r="G354" s="362">
        <f t="shared" si="234"/>
        <v>14.400000000000034</v>
      </c>
      <c r="H354" s="362">
        <f t="shared" ref="H354:P354" si="283">H353</f>
        <v>12</v>
      </c>
      <c r="I354" s="362">
        <f t="shared" si="283"/>
        <v>5.0999999999999996</v>
      </c>
      <c r="J354" s="362">
        <f t="shared" si="283"/>
        <v>5</v>
      </c>
      <c r="K354" s="362">
        <f t="shared" si="283"/>
        <v>4.9000000000000012</v>
      </c>
      <c r="L354" s="362">
        <f t="shared" si="283"/>
        <v>1.2</v>
      </c>
      <c r="M354" s="362">
        <f t="shared" si="283"/>
        <v>0</v>
      </c>
      <c r="N354" s="362">
        <f t="shared" si="283"/>
        <v>3.3</v>
      </c>
      <c r="O354" s="362">
        <f t="shared" si="283"/>
        <v>0</v>
      </c>
      <c r="P354" s="362">
        <f t="shared" si="283"/>
        <v>0</v>
      </c>
      <c r="Q354" s="362" t="s">
        <v>534</v>
      </c>
      <c r="R354" s="362">
        <f t="shared" ca="1" si="269"/>
        <v>4.8</v>
      </c>
      <c r="S354" s="362">
        <f t="shared" ca="1" si="270"/>
        <v>0</v>
      </c>
      <c r="T354" s="323">
        <f t="shared" ca="1" si="273"/>
        <v>9.8000000000000433</v>
      </c>
      <c r="U354" s="260">
        <f t="shared" ca="1" si="238"/>
        <v>1</v>
      </c>
      <c r="V354" s="260">
        <f t="shared" ca="1" si="250"/>
        <v>1</v>
      </c>
      <c r="W354" s="260">
        <f t="shared" ca="1" si="250"/>
        <v>1</v>
      </c>
      <c r="X354" s="260">
        <f t="shared" ca="1" si="250"/>
        <v>1</v>
      </c>
      <c r="Y354" s="260">
        <f t="shared" ca="1" si="250"/>
        <v>1</v>
      </c>
      <c r="Z354" s="260">
        <f t="shared" ca="1" si="250"/>
        <v>1</v>
      </c>
    </row>
    <row r="355" spans="7:26" x14ac:dyDescent="0.25">
      <c r="G355" s="362">
        <f t="shared" si="234"/>
        <v>14.500000000000034</v>
      </c>
      <c r="H355" s="362">
        <f t="shared" ref="H355:P355" si="284">H354</f>
        <v>12</v>
      </c>
      <c r="I355" s="362">
        <f t="shared" si="284"/>
        <v>5.0999999999999996</v>
      </c>
      <c r="J355" s="362">
        <f t="shared" si="284"/>
        <v>5</v>
      </c>
      <c r="K355" s="362">
        <f t="shared" si="284"/>
        <v>4.9000000000000012</v>
      </c>
      <c r="L355" s="362">
        <f t="shared" si="284"/>
        <v>1.2</v>
      </c>
      <c r="M355" s="362">
        <f t="shared" si="284"/>
        <v>0</v>
      </c>
      <c r="N355" s="362">
        <f t="shared" si="284"/>
        <v>3.3</v>
      </c>
      <c r="O355" s="362">
        <f t="shared" si="284"/>
        <v>0</v>
      </c>
      <c r="P355" s="362">
        <f t="shared" si="284"/>
        <v>0</v>
      </c>
      <c r="Q355" s="362" t="s">
        <v>534</v>
      </c>
      <c r="R355" s="362">
        <f t="shared" ca="1" si="269"/>
        <v>4.8</v>
      </c>
      <c r="S355" s="362">
        <f t="shared" ca="1" si="270"/>
        <v>0</v>
      </c>
      <c r="T355" s="323">
        <f t="shared" ca="1" si="273"/>
        <v>9.900000000000043</v>
      </c>
      <c r="U355" s="260">
        <f t="shared" ca="1" si="238"/>
        <v>1</v>
      </c>
      <c r="V355" s="260">
        <f t="shared" ca="1" si="250"/>
        <v>1</v>
      </c>
      <c r="W355" s="260">
        <f t="shared" ca="1" si="250"/>
        <v>1</v>
      </c>
      <c r="X355" s="260">
        <f t="shared" ca="1" si="250"/>
        <v>1</v>
      </c>
      <c r="Y355" s="260">
        <f t="shared" ca="1" si="250"/>
        <v>1</v>
      </c>
      <c r="Z355" s="260">
        <f t="shared" ca="1" si="250"/>
        <v>1</v>
      </c>
    </row>
    <row r="356" spans="7:26" x14ac:dyDescent="0.25">
      <c r="G356" s="362">
        <f t="shared" si="234"/>
        <v>14.600000000000033</v>
      </c>
      <c r="H356" s="362">
        <f t="shared" ref="H356:P356" si="285">H355</f>
        <v>12</v>
      </c>
      <c r="I356" s="362">
        <f t="shared" si="285"/>
        <v>5.0999999999999996</v>
      </c>
      <c r="J356" s="362">
        <f t="shared" si="285"/>
        <v>5</v>
      </c>
      <c r="K356" s="362">
        <f t="shared" si="285"/>
        <v>4.9000000000000012</v>
      </c>
      <c r="L356" s="362">
        <f t="shared" si="285"/>
        <v>1.2</v>
      </c>
      <c r="M356" s="362">
        <f t="shared" si="285"/>
        <v>0</v>
      </c>
      <c r="N356" s="362">
        <f t="shared" si="285"/>
        <v>3.3</v>
      </c>
      <c r="O356" s="362">
        <f t="shared" si="285"/>
        <v>0</v>
      </c>
      <c r="P356" s="362">
        <f t="shared" si="285"/>
        <v>0</v>
      </c>
      <c r="Q356" s="362" t="s">
        <v>534</v>
      </c>
      <c r="R356" s="362">
        <f t="shared" ca="1" si="269"/>
        <v>4.8</v>
      </c>
      <c r="S356" s="362">
        <f t="shared" ca="1" si="270"/>
        <v>0</v>
      </c>
      <c r="T356" s="323">
        <f t="shared" ca="1" si="273"/>
        <v>10.000000000000043</v>
      </c>
      <c r="U356" s="260">
        <f t="shared" ca="1" si="238"/>
        <v>1</v>
      </c>
      <c r="V356" s="260">
        <f t="shared" ca="1" si="250"/>
        <v>1</v>
      </c>
      <c r="W356" s="260">
        <f t="shared" ca="1" si="250"/>
        <v>1</v>
      </c>
      <c r="X356" s="260">
        <f t="shared" ca="1" si="250"/>
        <v>1</v>
      </c>
      <c r="Y356" s="260">
        <f t="shared" ca="1" si="250"/>
        <v>1</v>
      </c>
      <c r="Z356" s="260">
        <f t="shared" ca="1" si="250"/>
        <v>1</v>
      </c>
    </row>
    <row r="357" spans="7:26" x14ac:dyDescent="0.25">
      <c r="G357" s="362">
        <f t="shared" si="234"/>
        <v>14.700000000000033</v>
      </c>
      <c r="H357" s="362">
        <f t="shared" ref="H357:P357" si="286">H356</f>
        <v>12</v>
      </c>
      <c r="I357" s="362">
        <f t="shared" si="286"/>
        <v>5.0999999999999996</v>
      </c>
      <c r="J357" s="362">
        <f t="shared" si="286"/>
        <v>5</v>
      </c>
      <c r="K357" s="362">
        <f t="shared" si="286"/>
        <v>4.9000000000000012</v>
      </c>
      <c r="L357" s="362">
        <f t="shared" si="286"/>
        <v>1.2</v>
      </c>
      <c r="M357" s="362">
        <f t="shared" si="286"/>
        <v>0</v>
      </c>
      <c r="N357" s="362">
        <f t="shared" si="286"/>
        <v>3.3</v>
      </c>
      <c r="O357" s="362">
        <f t="shared" si="286"/>
        <v>0</v>
      </c>
      <c r="P357" s="362">
        <f t="shared" si="286"/>
        <v>0</v>
      </c>
      <c r="Q357" s="362" t="s">
        <v>534</v>
      </c>
      <c r="R357" s="362">
        <f t="shared" ca="1" si="269"/>
        <v>4.8</v>
      </c>
      <c r="S357" s="362">
        <f t="shared" ca="1" si="270"/>
        <v>0</v>
      </c>
      <c r="T357" s="323">
        <f t="shared" ca="1" si="273"/>
        <v>10.100000000000042</v>
      </c>
      <c r="U357" s="260">
        <f t="shared" ca="1" si="238"/>
        <v>1</v>
      </c>
      <c r="V357" s="260">
        <f t="shared" ca="1" si="250"/>
        <v>1</v>
      </c>
      <c r="W357" s="260">
        <f t="shared" ca="1" si="250"/>
        <v>1</v>
      </c>
      <c r="X357" s="260">
        <f t="shared" ca="1" si="250"/>
        <v>1</v>
      </c>
      <c r="Y357" s="260">
        <f t="shared" ca="1" si="250"/>
        <v>1</v>
      </c>
      <c r="Z357" s="260">
        <f t="shared" ca="1" si="250"/>
        <v>1</v>
      </c>
    </row>
    <row r="358" spans="7:26" x14ac:dyDescent="0.25">
      <c r="G358" s="362">
        <f t="shared" si="234"/>
        <v>14.800000000000033</v>
      </c>
      <c r="H358" s="362">
        <f t="shared" ref="H358:P358" si="287">H357</f>
        <v>12</v>
      </c>
      <c r="I358" s="362">
        <f t="shared" si="287"/>
        <v>5.0999999999999996</v>
      </c>
      <c r="J358" s="362">
        <f t="shared" si="287"/>
        <v>5</v>
      </c>
      <c r="K358" s="362">
        <f t="shared" si="287"/>
        <v>4.9000000000000012</v>
      </c>
      <c r="L358" s="362">
        <f t="shared" si="287"/>
        <v>1.2</v>
      </c>
      <c r="M358" s="362">
        <f t="shared" si="287"/>
        <v>0</v>
      </c>
      <c r="N358" s="362">
        <f t="shared" si="287"/>
        <v>3.3</v>
      </c>
      <c r="O358" s="362">
        <f t="shared" si="287"/>
        <v>0</v>
      </c>
      <c r="P358" s="362">
        <f t="shared" si="287"/>
        <v>0</v>
      </c>
      <c r="Q358" s="362" t="s">
        <v>534</v>
      </c>
      <c r="R358" s="362">
        <f t="shared" ca="1" si="269"/>
        <v>4.8</v>
      </c>
      <c r="S358" s="362">
        <f t="shared" ca="1" si="270"/>
        <v>0</v>
      </c>
      <c r="T358" s="323">
        <f t="shared" ca="1" si="273"/>
        <v>10.200000000000042</v>
      </c>
      <c r="U358" s="260">
        <f t="shared" ca="1" si="238"/>
        <v>1</v>
      </c>
      <c r="V358" s="260">
        <f t="shared" ca="1" si="250"/>
        <v>1</v>
      </c>
      <c r="W358" s="260">
        <f t="shared" ca="1" si="250"/>
        <v>1</v>
      </c>
      <c r="X358" s="260">
        <f t="shared" ca="1" si="250"/>
        <v>1</v>
      </c>
      <c r="Y358" s="260">
        <f t="shared" ca="1" si="250"/>
        <v>1</v>
      </c>
      <c r="Z358" s="260">
        <f t="shared" ca="1" si="250"/>
        <v>1</v>
      </c>
    </row>
    <row r="359" spans="7:26" x14ac:dyDescent="0.25">
      <c r="G359" s="362">
        <f t="shared" si="234"/>
        <v>14.900000000000032</v>
      </c>
      <c r="H359" s="362">
        <f t="shared" ref="H359:P359" si="288">H358</f>
        <v>12</v>
      </c>
      <c r="I359" s="362">
        <f t="shared" si="288"/>
        <v>5.0999999999999996</v>
      </c>
      <c r="J359" s="362">
        <f t="shared" si="288"/>
        <v>5</v>
      </c>
      <c r="K359" s="362">
        <f t="shared" si="288"/>
        <v>4.9000000000000012</v>
      </c>
      <c r="L359" s="362">
        <f t="shared" si="288"/>
        <v>1.2</v>
      </c>
      <c r="M359" s="362">
        <f t="shared" si="288"/>
        <v>0</v>
      </c>
      <c r="N359" s="362">
        <f t="shared" si="288"/>
        <v>3.3</v>
      </c>
      <c r="O359" s="362">
        <f t="shared" si="288"/>
        <v>0</v>
      </c>
      <c r="P359" s="362">
        <f t="shared" si="288"/>
        <v>0</v>
      </c>
      <c r="Q359" s="362" t="s">
        <v>534</v>
      </c>
      <c r="R359" s="362">
        <f t="shared" ca="1" si="269"/>
        <v>4.8</v>
      </c>
      <c r="S359" s="362">
        <f t="shared" ca="1" si="270"/>
        <v>0</v>
      </c>
      <c r="T359" s="323">
        <f t="shared" ca="1" si="273"/>
        <v>10.300000000000042</v>
      </c>
      <c r="U359" s="260">
        <f t="shared" ca="1" si="238"/>
        <v>1</v>
      </c>
      <c r="V359" s="260">
        <f t="shared" ca="1" si="250"/>
        <v>1</v>
      </c>
      <c r="W359" s="260">
        <f t="shared" ca="1" si="250"/>
        <v>1</v>
      </c>
      <c r="X359" s="260">
        <f t="shared" ca="1" si="250"/>
        <v>1</v>
      </c>
      <c r="Y359" s="260">
        <f t="shared" ca="1" si="250"/>
        <v>1</v>
      </c>
      <c r="Z359" s="260">
        <f t="shared" ca="1" si="250"/>
        <v>1</v>
      </c>
    </row>
    <row r="360" spans="7:26" x14ac:dyDescent="0.25">
      <c r="G360" s="362">
        <f t="shared" si="234"/>
        <v>15.000000000000032</v>
      </c>
      <c r="H360" s="362">
        <f t="shared" ref="H360:P360" si="289">H359</f>
        <v>12</v>
      </c>
      <c r="I360" s="362">
        <f t="shared" si="289"/>
        <v>5.0999999999999996</v>
      </c>
      <c r="J360" s="362">
        <f t="shared" si="289"/>
        <v>5</v>
      </c>
      <c r="K360" s="362">
        <f t="shared" si="289"/>
        <v>4.9000000000000012</v>
      </c>
      <c r="L360" s="362">
        <f t="shared" si="289"/>
        <v>1.2</v>
      </c>
      <c r="M360" s="362">
        <f t="shared" si="289"/>
        <v>0</v>
      </c>
      <c r="N360" s="362">
        <f t="shared" si="289"/>
        <v>3.3</v>
      </c>
      <c r="O360" s="362">
        <f t="shared" si="289"/>
        <v>0</v>
      </c>
      <c r="P360" s="362">
        <f t="shared" si="289"/>
        <v>0</v>
      </c>
      <c r="Q360" s="362" t="s">
        <v>534</v>
      </c>
      <c r="R360" s="362">
        <f t="shared" ca="1" si="269"/>
        <v>4.8</v>
      </c>
      <c r="S360" s="362">
        <f t="shared" ca="1" si="270"/>
        <v>0</v>
      </c>
      <c r="T360" s="323">
        <f t="shared" ca="1" si="273"/>
        <v>10.400000000000041</v>
      </c>
      <c r="U360" s="260">
        <f t="shared" ca="1" si="238"/>
        <v>1</v>
      </c>
      <c r="V360" s="260">
        <f t="shared" ca="1" si="250"/>
        <v>1</v>
      </c>
      <c r="W360" s="260">
        <f t="shared" ca="1" si="250"/>
        <v>1</v>
      </c>
      <c r="X360" s="260">
        <f t="shared" ca="1" si="250"/>
        <v>1</v>
      </c>
      <c r="Y360" s="260">
        <f t="shared" ca="1" si="250"/>
        <v>1</v>
      </c>
      <c r="Z360" s="260">
        <f t="shared" ca="1" si="250"/>
        <v>1</v>
      </c>
    </row>
    <row r="361" spans="7:26" x14ac:dyDescent="0.25">
      <c r="G361" s="362">
        <f t="shared" si="234"/>
        <v>15.100000000000032</v>
      </c>
      <c r="H361" s="362">
        <f t="shared" ref="H361:P361" si="290">H360</f>
        <v>12</v>
      </c>
      <c r="I361" s="362">
        <f t="shared" si="290"/>
        <v>5.0999999999999996</v>
      </c>
      <c r="J361" s="362">
        <f t="shared" si="290"/>
        <v>5</v>
      </c>
      <c r="K361" s="362">
        <f t="shared" si="290"/>
        <v>4.9000000000000012</v>
      </c>
      <c r="L361" s="362">
        <f t="shared" si="290"/>
        <v>1.2</v>
      </c>
      <c r="M361" s="362">
        <f t="shared" si="290"/>
        <v>0</v>
      </c>
      <c r="N361" s="362">
        <f t="shared" si="290"/>
        <v>3.3</v>
      </c>
      <c r="O361" s="362">
        <f t="shared" si="290"/>
        <v>0</v>
      </c>
      <c r="P361" s="362">
        <f t="shared" si="290"/>
        <v>0</v>
      </c>
      <c r="Q361" s="362" t="s">
        <v>534</v>
      </c>
      <c r="R361" s="362">
        <f t="shared" ca="1" si="269"/>
        <v>4.8</v>
      </c>
      <c r="S361" s="362">
        <f t="shared" ca="1" si="270"/>
        <v>0</v>
      </c>
      <c r="T361" s="323">
        <f t="shared" ca="1" si="273"/>
        <v>10.500000000000041</v>
      </c>
      <c r="U361" s="260">
        <f t="shared" ca="1" si="238"/>
        <v>1</v>
      </c>
      <c r="V361" s="260">
        <f t="shared" ca="1" si="250"/>
        <v>1</v>
      </c>
      <c r="W361" s="260">
        <f t="shared" ca="1" si="250"/>
        <v>1</v>
      </c>
      <c r="X361" s="260">
        <f t="shared" ca="1" si="250"/>
        <v>1</v>
      </c>
      <c r="Y361" s="260">
        <f t="shared" ca="1" si="250"/>
        <v>1</v>
      </c>
      <c r="Z361" s="260">
        <f t="shared" ca="1" si="250"/>
        <v>1</v>
      </c>
    </row>
    <row r="362" spans="7:26" x14ac:dyDescent="0.25">
      <c r="G362" s="362">
        <f t="shared" si="234"/>
        <v>15.200000000000031</v>
      </c>
      <c r="H362" s="362">
        <f t="shared" ref="H362:P362" si="291">H361</f>
        <v>12</v>
      </c>
      <c r="I362" s="362">
        <f t="shared" si="291"/>
        <v>5.0999999999999996</v>
      </c>
      <c r="J362" s="362">
        <f t="shared" si="291"/>
        <v>5</v>
      </c>
      <c r="K362" s="362">
        <f t="shared" si="291"/>
        <v>4.9000000000000012</v>
      </c>
      <c r="L362" s="362">
        <f t="shared" si="291"/>
        <v>1.2</v>
      </c>
      <c r="M362" s="362">
        <f t="shared" si="291"/>
        <v>0</v>
      </c>
      <c r="N362" s="362">
        <f t="shared" si="291"/>
        <v>3.3</v>
      </c>
      <c r="O362" s="362">
        <f t="shared" si="291"/>
        <v>0</v>
      </c>
      <c r="P362" s="362">
        <f t="shared" si="291"/>
        <v>0</v>
      </c>
      <c r="Q362" s="362" t="s">
        <v>534</v>
      </c>
      <c r="R362" s="362">
        <f t="shared" ca="1" si="269"/>
        <v>4.8</v>
      </c>
      <c r="S362" s="362">
        <f t="shared" ca="1" si="270"/>
        <v>0</v>
      </c>
      <c r="T362" s="323">
        <f t="shared" ca="1" si="273"/>
        <v>10.600000000000041</v>
      </c>
      <c r="U362" s="260">
        <f t="shared" ca="1" si="238"/>
        <v>1</v>
      </c>
      <c r="V362" s="260">
        <f t="shared" ca="1" si="250"/>
        <v>1</v>
      </c>
      <c r="W362" s="260">
        <f t="shared" ca="1" si="250"/>
        <v>1</v>
      </c>
      <c r="X362" s="260">
        <f t="shared" ca="1" si="250"/>
        <v>1</v>
      </c>
      <c r="Y362" s="260">
        <f t="shared" ca="1" si="250"/>
        <v>1</v>
      </c>
      <c r="Z362" s="260">
        <f t="shared" ca="1" si="250"/>
        <v>1</v>
      </c>
    </row>
    <row r="363" spans="7:26" x14ac:dyDescent="0.25">
      <c r="G363" s="362">
        <f t="shared" si="234"/>
        <v>15.300000000000031</v>
      </c>
      <c r="H363" s="362">
        <f t="shared" ref="H363:P363" si="292">H362</f>
        <v>12</v>
      </c>
      <c r="I363" s="362">
        <f t="shared" si="292"/>
        <v>5.0999999999999996</v>
      </c>
      <c r="J363" s="362">
        <f t="shared" si="292"/>
        <v>5</v>
      </c>
      <c r="K363" s="362">
        <f t="shared" si="292"/>
        <v>4.9000000000000012</v>
      </c>
      <c r="L363" s="362">
        <f t="shared" si="292"/>
        <v>1.2</v>
      </c>
      <c r="M363" s="362">
        <f t="shared" si="292"/>
        <v>0</v>
      </c>
      <c r="N363" s="362">
        <f t="shared" si="292"/>
        <v>3.3</v>
      </c>
      <c r="O363" s="362">
        <f t="shared" si="292"/>
        <v>0</v>
      </c>
      <c r="P363" s="362">
        <f t="shared" si="292"/>
        <v>0</v>
      </c>
      <c r="Q363" s="362" t="s">
        <v>534</v>
      </c>
      <c r="R363" s="362">
        <f t="shared" ca="1" si="269"/>
        <v>4.8</v>
      </c>
      <c r="S363" s="362">
        <f t="shared" ca="1" si="270"/>
        <v>0</v>
      </c>
      <c r="T363" s="323">
        <f t="shared" ca="1" si="273"/>
        <v>10.70000000000004</v>
      </c>
      <c r="U363" s="260">
        <f t="shared" ca="1" si="238"/>
        <v>1</v>
      </c>
      <c r="V363" s="260">
        <f t="shared" ca="1" si="250"/>
        <v>1</v>
      </c>
      <c r="W363" s="260">
        <f t="shared" ca="1" si="250"/>
        <v>1</v>
      </c>
      <c r="X363" s="260">
        <f t="shared" ca="1" si="250"/>
        <v>1</v>
      </c>
      <c r="Y363" s="260">
        <f t="shared" ca="1" si="250"/>
        <v>1</v>
      </c>
      <c r="Z363" s="260">
        <f t="shared" ca="1" si="250"/>
        <v>1</v>
      </c>
    </row>
    <row r="364" spans="7:26" x14ac:dyDescent="0.25">
      <c r="G364" s="362">
        <f t="shared" si="234"/>
        <v>15.400000000000031</v>
      </c>
      <c r="H364" s="362">
        <f t="shared" ref="H364:P364" si="293">H363</f>
        <v>12</v>
      </c>
      <c r="I364" s="362">
        <f t="shared" si="293"/>
        <v>5.0999999999999996</v>
      </c>
      <c r="J364" s="362">
        <f t="shared" si="293"/>
        <v>5</v>
      </c>
      <c r="K364" s="362">
        <f t="shared" si="293"/>
        <v>4.9000000000000012</v>
      </c>
      <c r="L364" s="362">
        <f t="shared" si="293"/>
        <v>1.2</v>
      </c>
      <c r="M364" s="362">
        <f t="shared" si="293"/>
        <v>0</v>
      </c>
      <c r="N364" s="362">
        <f t="shared" si="293"/>
        <v>3.3</v>
      </c>
      <c r="O364" s="362">
        <f t="shared" si="293"/>
        <v>0</v>
      </c>
      <c r="P364" s="362">
        <f t="shared" si="293"/>
        <v>0</v>
      </c>
      <c r="Q364" s="362" t="s">
        <v>534</v>
      </c>
      <c r="R364" s="362">
        <f t="shared" ca="1" si="269"/>
        <v>4.8</v>
      </c>
      <c r="S364" s="362">
        <f t="shared" ca="1" si="270"/>
        <v>0</v>
      </c>
      <c r="T364" s="323">
        <f t="shared" ca="1" si="273"/>
        <v>10.80000000000004</v>
      </c>
      <c r="U364" s="260">
        <f t="shared" ca="1" si="238"/>
        <v>1</v>
      </c>
      <c r="V364" s="260">
        <f t="shared" ca="1" si="250"/>
        <v>1</v>
      </c>
      <c r="W364" s="260">
        <f t="shared" ca="1" si="250"/>
        <v>1</v>
      </c>
      <c r="X364" s="260">
        <f t="shared" ca="1" si="250"/>
        <v>1</v>
      </c>
      <c r="Y364" s="260">
        <f t="shared" ca="1" si="250"/>
        <v>1</v>
      </c>
      <c r="Z364" s="260">
        <f t="shared" ca="1" si="250"/>
        <v>1</v>
      </c>
    </row>
    <row r="365" spans="7:26" x14ac:dyDescent="0.25">
      <c r="G365" s="362">
        <f t="shared" si="234"/>
        <v>15.50000000000003</v>
      </c>
      <c r="H365" s="362">
        <f t="shared" ref="H365:P365" si="294">H364</f>
        <v>12</v>
      </c>
      <c r="I365" s="362">
        <f t="shared" si="294"/>
        <v>5.0999999999999996</v>
      </c>
      <c r="J365" s="362">
        <f t="shared" si="294"/>
        <v>5</v>
      </c>
      <c r="K365" s="362">
        <f t="shared" si="294"/>
        <v>4.9000000000000012</v>
      </c>
      <c r="L365" s="362">
        <f t="shared" si="294"/>
        <v>1.2</v>
      </c>
      <c r="M365" s="362">
        <f t="shared" si="294"/>
        <v>0</v>
      </c>
      <c r="N365" s="362">
        <f t="shared" si="294"/>
        <v>3.3</v>
      </c>
      <c r="O365" s="362">
        <f t="shared" si="294"/>
        <v>0</v>
      </c>
      <c r="P365" s="362">
        <f t="shared" si="294"/>
        <v>0</v>
      </c>
      <c r="Q365" s="362" t="s">
        <v>534</v>
      </c>
      <c r="R365" s="362">
        <f t="shared" ca="1" si="269"/>
        <v>4.8</v>
      </c>
      <c r="S365" s="362">
        <f t="shared" ca="1" si="270"/>
        <v>0</v>
      </c>
      <c r="T365" s="323">
        <f t="shared" ca="1" si="273"/>
        <v>10.900000000000039</v>
      </c>
      <c r="U365" s="260">
        <f t="shared" ca="1" si="238"/>
        <v>1</v>
      </c>
      <c r="V365" s="260">
        <f t="shared" ca="1" si="250"/>
        <v>1</v>
      </c>
      <c r="W365" s="260">
        <f t="shared" ca="1" si="250"/>
        <v>1</v>
      </c>
      <c r="X365" s="260">
        <f t="shared" ca="1" si="250"/>
        <v>1</v>
      </c>
      <c r="Y365" s="260">
        <f t="shared" ca="1" si="250"/>
        <v>1</v>
      </c>
      <c r="Z365" s="260">
        <f t="shared" ca="1" si="250"/>
        <v>1</v>
      </c>
    </row>
    <row r="366" spans="7:26" x14ac:dyDescent="0.25">
      <c r="G366" s="362">
        <f t="shared" ref="G366:G371" si="295">G365+0.1</f>
        <v>15.60000000000003</v>
      </c>
      <c r="H366" s="362">
        <f t="shared" ref="H366:P366" si="296">H365</f>
        <v>12</v>
      </c>
      <c r="I366" s="362">
        <f t="shared" si="296"/>
        <v>5.0999999999999996</v>
      </c>
      <c r="J366" s="362">
        <f t="shared" si="296"/>
        <v>5</v>
      </c>
      <c r="K366" s="362">
        <f t="shared" si="296"/>
        <v>4.9000000000000012</v>
      </c>
      <c r="L366" s="362">
        <f t="shared" si="296"/>
        <v>1.2</v>
      </c>
      <c r="M366" s="362">
        <f t="shared" si="296"/>
        <v>0</v>
      </c>
      <c r="N366" s="362">
        <f t="shared" si="296"/>
        <v>3.3</v>
      </c>
      <c r="O366" s="362">
        <f t="shared" si="296"/>
        <v>0</v>
      </c>
      <c r="P366" s="362">
        <f t="shared" si="296"/>
        <v>0</v>
      </c>
      <c r="Q366" s="362" t="s">
        <v>534</v>
      </c>
      <c r="R366" s="362">
        <f t="shared" ca="1" si="269"/>
        <v>4.8</v>
      </c>
      <c r="S366" s="362">
        <f t="shared" ca="1" si="270"/>
        <v>0</v>
      </c>
      <c r="T366" s="323">
        <f t="shared" ca="1" si="273"/>
        <v>11.000000000000039</v>
      </c>
      <c r="U366" s="260">
        <f t="shared" ca="1" si="238"/>
        <v>1</v>
      </c>
      <c r="V366" s="260">
        <f t="shared" ca="1" si="250"/>
        <v>1</v>
      </c>
      <c r="W366" s="260">
        <f t="shared" ca="1" si="250"/>
        <v>1</v>
      </c>
      <c r="X366" s="260">
        <f t="shared" ca="1" si="250"/>
        <v>1</v>
      </c>
      <c r="Y366" s="260">
        <f t="shared" ca="1" si="250"/>
        <v>1</v>
      </c>
      <c r="Z366" s="260">
        <f t="shared" ca="1" si="250"/>
        <v>1</v>
      </c>
    </row>
    <row r="367" spans="7:26" x14ac:dyDescent="0.25">
      <c r="G367" s="362">
        <f t="shared" si="295"/>
        <v>15.700000000000029</v>
      </c>
      <c r="H367" s="362">
        <f t="shared" ref="H367:P367" si="297">H366</f>
        <v>12</v>
      </c>
      <c r="I367" s="362">
        <f t="shared" si="297"/>
        <v>5.0999999999999996</v>
      </c>
      <c r="J367" s="362">
        <f t="shared" si="297"/>
        <v>5</v>
      </c>
      <c r="K367" s="362">
        <f t="shared" si="297"/>
        <v>4.9000000000000012</v>
      </c>
      <c r="L367" s="362">
        <f t="shared" si="297"/>
        <v>1.2</v>
      </c>
      <c r="M367" s="362">
        <f t="shared" si="297"/>
        <v>0</v>
      </c>
      <c r="N367" s="362">
        <f t="shared" si="297"/>
        <v>3.3</v>
      </c>
      <c r="O367" s="362">
        <f t="shared" si="297"/>
        <v>0</v>
      </c>
      <c r="P367" s="362">
        <f t="shared" si="297"/>
        <v>0</v>
      </c>
      <c r="Q367" s="362" t="s">
        <v>534</v>
      </c>
      <c r="R367" s="362">
        <f t="shared" ca="1" si="269"/>
        <v>4.8</v>
      </c>
      <c r="S367" s="362">
        <f t="shared" ca="1" si="270"/>
        <v>0</v>
      </c>
      <c r="T367" s="323">
        <f t="shared" ca="1" si="273"/>
        <v>11.100000000000039</v>
      </c>
      <c r="U367" s="260">
        <f t="shared" ca="1" si="238"/>
        <v>1</v>
      </c>
      <c r="V367" s="260">
        <f t="shared" ca="1" si="250"/>
        <v>1</v>
      </c>
      <c r="W367" s="260">
        <f t="shared" ca="1" si="250"/>
        <v>1</v>
      </c>
      <c r="X367" s="260">
        <f t="shared" ca="1" si="250"/>
        <v>1</v>
      </c>
      <c r="Y367" s="260">
        <f t="shared" ca="1" si="250"/>
        <v>1</v>
      </c>
      <c r="Z367" s="260">
        <f t="shared" ca="1" si="250"/>
        <v>1</v>
      </c>
    </row>
    <row r="368" spans="7:26" x14ac:dyDescent="0.25">
      <c r="G368" s="362">
        <f t="shared" si="295"/>
        <v>15.800000000000029</v>
      </c>
      <c r="H368" s="362">
        <f t="shared" ref="H368:P368" si="298">H367</f>
        <v>12</v>
      </c>
      <c r="I368" s="362">
        <f t="shared" si="298"/>
        <v>5.0999999999999996</v>
      </c>
      <c r="J368" s="362">
        <f t="shared" si="298"/>
        <v>5</v>
      </c>
      <c r="K368" s="362">
        <f t="shared" si="298"/>
        <v>4.9000000000000012</v>
      </c>
      <c r="L368" s="362">
        <f t="shared" si="298"/>
        <v>1.2</v>
      </c>
      <c r="M368" s="362">
        <f t="shared" si="298"/>
        <v>0</v>
      </c>
      <c r="N368" s="362">
        <f t="shared" si="298"/>
        <v>3.3</v>
      </c>
      <c r="O368" s="362">
        <f t="shared" si="298"/>
        <v>0</v>
      </c>
      <c r="P368" s="362">
        <f t="shared" si="298"/>
        <v>0</v>
      </c>
      <c r="Q368" s="362" t="s">
        <v>534</v>
      </c>
      <c r="R368" s="362">
        <f t="shared" ca="1" si="269"/>
        <v>4.8</v>
      </c>
      <c r="S368" s="362">
        <f t="shared" ca="1" si="270"/>
        <v>0</v>
      </c>
      <c r="T368" s="323">
        <f t="shared" ca="1" si="273"/>
        <v>11.200000000000038</v>
      </c>
      <c r="U368" s="260">
        <f t="shared" ca="1" si="238"/>
        <v>1</v>
      </c>
      <c r="V368" s="260">
        <f t="shared" ca="1" si="250"/>
        <v>1</v>
      </c>
      <c r="W368" s="260">
        <f t="shared" ca="1" si="250"/>
        <v>1</v>
      </c>
      <c r="X368" s="260">
        <f t="shared" ca="1" si="250"/>
        <v>1</v>
      </c>
      <c r="Y368" s="260">
        <f t="shared" ca="1" si="250"/>
        <v>1</v>
      </c>
      <c r="Z368" s="260">
        <f t="shared" ca="1" si="250"/>
        <v>1</v>
      </c>
    </row>
    <row r="369" spans="7:26" x14ac:dyDescent="0.25">
      <c r="G369" s="362">
        <f t="shared" si="295"/>
        <v>15.900000000000029</v>
      </c>
      <c r="H369" s="362">
        <f t="shared" ref="H369:P369" si="299">H368</f>
        <v>12</v>
      </c>
      <c r="I369" s="362">
        <f t="shared" si="299"/>
        <v>5.0999999999999996</v>
      </c>
      <c r="J369" s="362">
        <f t="shared" si="299"/>
        <v>5</v>
      </c>
      <c r="K369" s="362">
        <f t="shared" si="299"/>
        <v>4.9000000000000012</v>
      </c>
      <c r="L369" s="362">
        <f t="shared" si="299"/>
        <v>1.2</v>
      </c>
      <c r="M369" s="362">
        <f t="shared" si="299"/>
        <v>0</v>
      </c>
      <c r="N369" s="362">
        <f t="shared" si="299"/>
        <v>3.3</v>
      </c>
      <c r="O369" s="362">
        <f t="shared" si="299"/>
        <v>0</v>
      </c>
      <c r="P369" s="362">
        <f t="shared" si="299"/>
        <v>0</v>
      </c>
      <c r="Q369" s="362" t="s">
        <v>534</v>
      </c>
      <c r="R369" s="362">
        <f t="shared" ca="1" si="269"/>
        <v>4.8</v>
      </c>
      <c r="S369" s="362">
        <f t="shared" ca="1" si="270"/>
        <v>0</v>
      </c>
      <c r="T369" s="323">
        <f t="shared" ca="1" si="273"/>
        <v>11.300000000000038</v>
      </c>
      <c r="U369" s="260">
        <f t="shared" ca="1" si="238"/>
        <v>1</v>
      </c>
      <c r="V369" s="260">
        <f t="shared" ca="1" si="250"/>
        <v>1</v>
      </c>
      <c r="W369" s="260">
        <f t="shared" ca="1" si="250"/>
        <v>1</v>
      </c>
      <c r="X369" s="260">
        <f t="shared" ca="1" si="250"/>
        <v>1</v>
      </c>
      <c r="Y369" s="260">
        <f t="shared" ca="1" si="250"/>
        <v>1</v>
      </c>
      <c r="Z369" s="260">
        <f t="shared" ca="1" si="250"/>
        <v>1</v>
      </c>
    </row>
    <row r="370" spans="7:26" x14ac:dyDescent="0.25">
      <c r="G370" s="362">
        <f t="shared" si="295"/>
        <v>16.000000000000028</v>
      </c>
      <c r="H370" s="362">
        <f t="shared" ref="H370:P370" si="300">H369</f>
        <v>12</v>
      </c>
      <c r="I370" s="362">
        <f t="shared" si="300"/>
        <v>5.0999999999999996</v>
      </c>
      <c r="J370" s="362">
        <f t="shared" si="300"/>
        <v>5</v>
      </c>
      <c r="K370" s="362">
        <f t="shared" si="300"/>
        <v>4.9000000000000012</v>
      </c>
      <c r="L370" s="362">
        <f t="shared" si="300"/>
        <v>1.2</v>
      </c>
      <c r="M370" s="362">
        <f t="shared" si="300"/>
        <v>0</v>
      </c>
      <c r="N370" s="362">
        <f t="shared" si="300"/>
        <v>3.3</v>
      </c>
      <c r="O370" s="362">
        <f t="shared" si="300"/>
        <v>0</v>
      </c>
      <c r="P370" s="362">
        <f t="shared" si="300"/>
        <v>0</v>
      </c>
      <c r="Q370" s="362" t="s">
        <v>534</v>
      </c>
      <c r="R370" s="362">
        <f t="shared" ca="1" si="269"/>
        <v>4.8</v>
      </c>
      <c r="S370" s="362">
        <f t="shared" ca="1" si="270"/>
        <v>0</v>
      </c>
      <c r="T370" s="323">
        <f t="shared" ca="1" si="273"/>
        <v>11.400000000000038</v>
      </c>
      <c r="U370" s="260">
        <f t="shared" ca="1" si="238"/>
        <v>1</v>
      </c>
      <c r="V370" s="260">
        <f t="shared" ca="1" si="250"/>
        <v>1</v>
      </c>
      <c r="W370" s="260">
        <f t="shared" ca="1" si="250"/>
        <v>1</v>
      </c>
      <c r="X370" s="260">
        <f t="shared" ca="1" si="250"/>
        <v>1</v>
      </c>
      <c r="Y370" s="260">
        <f t="shared" ca="1" si="250"/>
        <v>1</v>
      </c>
      <c r="Z370" s="260">
        <f t="shared" ca="1" si="250"/>
        <v>1</v>
      </c>
    </row>
    <row r="371" spans="7:26" x14ac:dyDescent="0.25">
      <c r="G371" s="362">
        <f t="shared" si="295"/>
        <v>16.10000000000003</v>
      </c>
      <c r="H371" s="362">
        <f t="shared" ref="H371:P371" si="301">H370</f>
        <v>12</v>
      </c>
      <c r="I371" s="362">
        <f t="shared" si="301"/>
        <v>5.0999999999999996</v>
      </c>
      <c r="J371" s="362">
        <f t="shared" si="301"/>
        <v>5</v>
      </c>
      <c r="K371" s="362">
        <f t="shared" si="301"/>
        <v>4.9000000000000012</v>
      </c>
      <c r="L371" s="362">
        <f t="shared" si="301"/>
        <v>1.2</v>
      </c>
      <c r="M371" s="362">
        <f t="shared" si="301"/>
        <v>0</v>
      </c>
      <c r="N371" s="362">
        <f t="shared" si="301"/>
        <v>3.3</v>
      </c>
      <c r="O371" s="362">
        <f t="shared" si="301"/>
        <v>0</v>
      </c>
      <c r="P371" s="362">
        <f t="shared" si="301"/>
        <v>0</v>
      </c>
      <c r="Q371" s="362" t="s">
        <v>534</v>
      </c>
      <c r="R371" s="362">
        <f t="shared" ca="1" si="269"/>
        <v>4.8</v>
      </c>
      <c r="S371" s="362">
        <f t="shared" ca="1" si="270"/>
        <v>0</v>
      </c>
      <c r="T371" s="323">
        <f t="shared" ca="1" si="273"/>
        <v>11.500000000000039</v>
      </c>
      <c r="U371" s="260">
        <f t="shared" ca="1" si="238"/>
        <v>1</v>
      </c>
      <c r="V371" s="260">
        <f t="shared" ca="1" si="250"/>
        <v>1</v>
      </c>
      <c r="W371" s="260">
        <f t="shared" ca="1" si="250"/>
        <v>1</v>
      </c>
      <c r="X371" s="260">
        <f t="shared" ca="1" si="250"/>
        <v>1</v>
      </c>
      <c r="Y371" s="260">
        <f t="shared" ca="1" si="250"/>
        <v>1</v>
      </c>
      <c r="Z371" s="260">
        <f t="shared" ca="1" si="250"/>
        <v>1</v>
      </c>
    </row>
    <row r="372" spans="7:26" x14ac:dyDescent="0.25">
      <c r="G372" s="303"/>
      <c r="H372" s="303"/>
      <c r="I372" s="303"/>
      <c r="J372" s="303"/>
      <c r="K372" s="303"/>
      <c r="L372" s="303"/>
      <c r="M372" s="303"/>
      <c r="N372" s="303"/>
      <c r="O372" s="303"/>
      <c r="P372" s="303"/>
      <c r="Q372" s="303"/>
      <c r="R372" s="303"/>
      <c r="S372" s="303"/>
      <c r="T372" s="323">
        <f t="shared" ca="1" si="273"/>
        <v>-4.5999999999999908</v>
      </c>
      <c r="U372" s="260">
        <f t="shared" ca="1" si="238"/>
        <v>1</v>
      </c>
      <c r="V372" s="260">
        <f t="shared" ca="1" si="250"/>
        <v>1</v>
      </c>
      <c r="W372" s="260">
        <f t="shared" ca="1" si="250"/>
        <v>1</v>
      </c>
      <c r="X372" s="260">
        <f t="shared" ca="1" si="250"/>
        <v>1</v>
      </c>
      <c r="Y372" s="260">
        <f t="shared" ca="1" si="250"/>
        <v>1</v>
      </c>
      <c r="Z372" s="260">
        <f t="shared" ca="1" si="250"/>
        <v>1</v>
      </c>
    </row>
    <row r="373" spans="7:26" x14ac:dyDescent="0.25">
      <c r="G373" s="303"/>
      <c r="H373" s="303"/>
      <c r="I373" s="303"/>
      <c r="J373" s="303"/>
      <c r="K373" s="303"/>
      <c r="L373" s="303"/>
      <c r="M373" s="303"/>
      <c r="N373" s="303"/>
      <c r="O373" s="303"/>
      <c r="P373" s="303"/>
      <c r="Q373" s="303"/>
      <c r="R373" s="303"/>
      <c r="S373" s="303"/>
    </row>
    <row r="374" spans="7:26" x14ac:dyDescent="0.25">
      <c r="N374" s="303"/>
      <c r="O374" s="303"/>
      <c r="P374" s="303"/>
      <c r="Q374" s="303"/>
      <c r="R374" s="303"/>
      <c r="S374" s="291"/>
    </row>
    <row r="375" spans="7:26" x14ac:dyDescent="0.25">
      <c r="N375" s="303"/>
      <c r="O375" s="303"/>
      <c r="P375" s="303"/>
      <c r="Q375" s="303"/>
      <c r="R375" s="303"/>
      <c r="S375" s="291"/>
    </row>
    <row r="376" spans="7:26" x14ac:dyDescent="0.25">
      <c r="N376" s="303"/>
      <c r="O376" s="303"/>
      <c r="P376" s="303"/>
      <c r="Q376" s="303"/>
      <c r="R376" s="303"/>
      <c r="S376" s="291"/>
    </row>
    <row r="377" spans="7:26" x14ac:dyDescent="0.25">
      <c r="N377" s="303"/>
      <c r="O377" s="303"/>
      <c r="P377" s="303"/>
      <c r="Q377" s="303"/>
      <c r="R377" s="303"/>
      <c r="S377" s="291"/>
    </row>
    <row r="378" spans="7:26" x14ac:dyDescent="0.25">
      <c r="N378" s="303"/>
      <c r="O378" s="303"/>
      <c r="P378" s="303"/>
      <c r="Q378" s="303"/>
      <c r="R378" s="303"/>
      <c r="S378" s="291"/>
    </row>
    <row r="379" spans="7:26" x14ac:dyDescent="0.25">
      <c r="N379" s="303"/>
      <c r="O379" s="303"/>
      <c r="P379" s="303"/>
      <c r="Q379" s="303"/>
      <c r="R379" s="303"/>
      <c r="S379" s="291"/>
    </row>
    <row r="380" spans="7:26" x14ac:dyDescent="0.25">
      <c r="N380" s="303"/>
      <c r="O380" s="303"/>
      <c r="P380" s="303"/>
      <c r="Q380" s="303"/>
      <c r="R380" s="303"/>
      <c r="S380" s="291"/>
    </row>
    <row r="381" spans="7:26" x14ac:dyDescent="0.25">
      <c r="N381" s="303"/>
      <c r="O381" s="303"/>
      <c r="P381" s="303"/>
      <c r="Q381" s="303"/>
      <c r="R381" s="303"/>
      <c r="S381" s="291"/>
    </row>
    <row r="382" spans="7:26" x14ac:dyDescent="0.25">
      <c r="N382" s="303"/>
      <c r="O382" s="303"/>
      <c r="P382" s="303"/>
      <c r="Q382" s="303"/>
      <c r="R382" s="303"/>
      <c r="S382" s="291"/>
    </row>
    <row r="383" spans="7:26" x14ac:dyDescent="0.25">
      <c r="N383" s="303"/>
      <c r="O383" s="303"/>
      <c r="P383" s="303"/>
      <c r="Q383" s="303"/>
      <c r="R383" s="303"/>
      <c r="S383" s="291"/>
    </row>
    <row r="384" spans="7:26" x14ac:dyDescent="0.25">
      <c r="N384" s="303"/>
      <c r="O384" s="303"/>
      <c r="P384" s="303"/>
      <c r="Q384" s="303"/>
      <c r="R384" s="303"/>
      <c r="S384" s="291"/>
    </row>
    <row r="385" spans="14:19" x14ac:dyDescent="0.25">
      <c r="N385" s="303"/>
      <c r="O385" s="303"/>
      <c r="P385" s="303"/>
      <c r="Q385" s="303"/>
      <c r="R385" s="303"/>
      <c r="S385" s="291"/>
    </row>
    <row r="386" spans="14:19" x14ac:dyDescent="0.25">
      <c r="N386" s="303"/>
      <c r="O386" s="303"/>
      <c r="P386" s="303"/>
      <c r="Q386" s="303"/>
      <c r="R386" s="303"/>
      <c r="S386" s="291"/>
    </row>
    <row r="387" spans="14:19" x14ac:dyDescent="0.25">
      <c r="N387" s="303"/>
      <c r="O387" s="303"/>
      <c r="P387" s="303"/>
      <c r="Q387" s="303"/>
      <c r="R387" s="303"/>
      <c r="S387" s="291"/>
    </row>
    <row r="388" spans="14:19" x14ac:dyDescent="0.25">
      <c r="N388" s="303"/>
      <c r="O388" s="303"/>
      <c r="P388" s="303"/>
      <c r="Q388" s="303"/>
      <c r="R388" s="303"/>
      <c r="S388" s="291"/>
    </row>
    <row r="389" spans="14:19" x14ac:dyDescent="0.25">
      <c r="N389" s="303"/>
      <c r="O389" s="303"/>
      <c r="P389" s="303"/>
      <c r="Q389" s="303"/>
      <c r="R389" s="303"/>
      <c r="S389" s="291"/>
    </row>
    <row r="390" spans="14:19" x14ac:dyDescent="0.25">
      <c r="N390" s="303"/>
      <c r="O390" s="303"/>
      <c r="P390" s="303"/>
      <c r="Q390" s="303"/>
      <c r="R390" s="303"/>
      <c r="S390" s="291"/>
    </row>
    <row r="391" spans="14:19" x14ac:dyDescent="0.25">
      <c r="R391" s="323"/>
      <c r="S391" s="291"/>
    </row>
    <row r="392" spans="14:19" x14ac:dyDescent="0.25">
      <c r="R392" s="323"/>
      <c r="S392" s="291"/>
    </row>
    <row r="393" spans="14:19" x14ac:dyDescent="0.25">
      <c r="R393" s="323"/>
      <c r="S393" s="291"/>
    </row>
    <row r="394" spans="14:19" x14ac:dyDescent="0.25">
      <c r="R394" s="323"/>
      <c r="S394" s="291"/>
    </row>
    <row r="395" spans="14:19" x14ac:dyDescent="0.25">
      <c r="R395" s="323"/>
      <c r="S395" s="291"/>
    </row>
    <row r="396" spans="14:19" x14ac:dyDescent="0.25">
      <c r="R396" s="323"/>
      <c r="S396" s="291"/>
    </row>
    <row r="397" spans="14:19" x14ac:dyDescent="0.25">
      <c r="R397" s="323"/>
      <c r="S397" s="291"/>
    </row>
    <row r="398" spans="14:19" x14ac:dyDescent="0.25">
      <c r="R398" s="323"/>
      <c r="S398" s="291"/>
    </row>
    <row r="399" spans="14:19" x14ac:dyDescent="0.25">
      <c r="R399" s="323"/>
      <c r="S399" s="291"/>
    </row>
    <row r="400" spans="14:19" x14ac:dyDescent="0.25">
      <c r="R400" s="323"/>
      <c r="S400" s="291"/>
    </row>
    <row r="401" spans="18:19" x14ac:dyDescent="0.25">
      <c r="R401" s="323"/>
      <c r="S401" s="291"/>
    </row>
    <row r="402" spans="18:19" x14ac:dyDescent="0.25">
      <c r="R402" s="323"/>
      <c r="S402" s="291"/>
    </row>
    <row r="403" spans="18:19" x14ac:dyDescent="0.25">
      <c r="R403" s="323"/>
      <c r="S403" s="291"/>
    </row>
    <row r="404" spans="18:19" x14ac:dyDescent="0.25">
      <c r="R404" s="323"/>
      <c r="S404" s="291"/>
    </row>
    <row r="405" spans="18:19" x14ac:dyDescent="0.25">
      <c r="R405" s="323"/>
      <c r="S405" s="291"/>
    </row>
    <row r="406" spans="18:19" x14ac:dyDescent="0.25">
      <c r="R406" s="323"/>
      <c r="S406" s="291"/>
    </row>
    <row r="407" spans="18:19" x14ac:dyDescent="0.25">
      <c r="R407" s="323"/>
      <c r="S407" s="291"/>
    </row>
    <row r="408" spans="18:19" x14ac:dyDescent="0.25">
      <c r="R408" s="323"/>
      <c r="S408" s="291"/>
    </row>
    <row r="409" spans="18:19" x14ac:dyDescent="0.25">
      <c r="R409" s="323"/>
      <c r="S409" s="291"/>
    </row>
    <row r="410" spans="18:19" x14ac:dyDescent="0.25">
      <c r="R410" s="323"/>
      <c r="S410" s="291"/>
    </row>
    <row r="411" spans="18:19" x14ac:dyDescent="0.25">
      <c r="R411" s="323"/>
      <c r="S411" s="291"/>
    </row>
    <row r="412" spans="18:19" x14ac:dyDescent="0.25">
      <c r="R412" s="323"/>
      <c r="S412" s="291"/>
    </row>
    <row r="413" spans="18:19" x14ac:dyDescent="0.25">
      <c r="R413" s="323"/>
      <c r="S413" s="291"/>
    </row>
    <row r="414" spans="18:19" x14ac:dyDescent="0.25">
      <c r="R414" s="323"/>
      <c r="S414" s="291"/>
    </row>
    <row r="415" spans="18:19" x14ac:dyDescent="0.25">
      <c r="R415" s="323"/>
      <c r="S415" s="291"/>
    </row>
    <row r="416" spans="18:19" x14ac:dyDescent="0.25">
      <c r="R416" s="323"/>
      <c r="S416" s="291"/>
    </row>
    <row r="417" spans="18:19" x14ac:dyDescent="0.25">
      <c r="R417" s="323"/>
      <c r="S417" s="291"/>
    </row>
    <row r="418" spans="18:19" x14ac:dyDescent="0.25">
      <c r="R418" s="323"/>
      <c r="S418" s="291"/>
    </row>
    <row r="419" spans="18:19" x14ac:dyDescent="0.25">
      <c r="R419" s="323"/>
      <c r="S419" s="291"/>
    </row>
    <row r="420" spans="18:19" x14ac:dyDescent="0.25">
      <c r="R420" s="323"/>
      <c r="S420" s="291"/>
    </row>
    <row r="421" spans="18:19" x14ac:dyDescent="0.25">
      <c r="R421" s="323"/>
      <c r="S421" s="291"/>
    </row>
    <row r="422" spans="18:19" x14ac:dyDescent="0.25">
      <c r="R422" s="323"/>
      <c r="S422" s="291"/>
    </row>
    <row r="423" spans="18:19" x14ac:dyDescent="0.25">
      <c r="R423" s="323"/>
      <c r="S423" s="291"/>
    </row>
    <row r="424" spans="18:19" x14ac:dyDescent="0.25">
      <c r="R424" s="323"/>
      <c r="S424" s="291"/>
    </row>
    <row r="425" spans="18:19" x14ac:dyDescent="0.25">
      <c r="R425" s="323"/>
      <c r="S425" s="291"/>
    </row>
    <row r="426" spans="18:19" x14ac:dyDescent="0.25">
      <c r="R426" s="323"/>
      <c r="S426" s="291"/>
    </row>
    <row r="427" spans="18:19" x14ac:dyDescent="0.25">
      <c r="R427" s="323"/>
      <c r="S427" s="291"/>
    </row>
    <row r="428" spans="18:19" x14ac:dyDescent="0.25">
      <c r="R428" s="323"/>
      <c r="S428" s="291"/>
    </row>
    <row r="429" spans="18:19" x14ac:dyDescent="0.25">
      <c r="R429" s="323"/>
      <c r="S429" s="291"/>
    </row>
    <row r="430" spans="18:19" x14ac:dyDescent="0.25">
      <c r="R430" s="323"/>
      <c r="S430" s="291"/>
    </row>
    <row r="431" spans="18:19" x14ac:dyDescent="0.25">
      <c r="R431" s="323"/>
      <c r="S431" s="291"/>
    </row>
    <row r="432" spans="18:19" x14ac:dyDescent="0.25">
      <c r="R432" s="323"/>
      <c r="S432" s="291"/>
    </row>
    <row r="433" spans="18:19" x14ac:dyDescent="0.25">
      <c r="R433" s="323"/>
      <c r="S433" s="291"/>
    </row>
    <row r="434" spans="18:19" x14ac:dyDescent="0.25">
      <c r="R434" s="323"/>
      <c r="S434" s="291"/>
    </row>
    <row r="435" spans="18:19" x14ac:dyDescent="0.25">
      <c r="R435" s="323"/>
      <c r="S435" s="291"/>
    </row>
    <row r="436" spans="18:19" x14ac:dyDescent="0.25">
      <c r="R436" s="323"/>
      <c r="S436" s="291"/>
    </row>
    <row r="437" spans="18:19" x14ac:dyDescent="0.25">
      <c r="R437" s="323"/>
      <c r="S437" s="291"/>
    </row>
    <row r="438" spans="18:19" x14ac:dyDescent="0.25">
      <c r="R438" s="323"/>
      <c r="S438" s="291"/>
    </row>
    <row r="439" spans="18:19" x14ac:dyDescent="0.25">
      <c r="R439" s="323"/>
      <c r="S439" s="291"/>
    </row>
    <row r="440" spans="18:19" x14ac:dyDescent="0.25">
      <c r="R440" s="323"/>
      <c r="S440" s="291"/>
    </row>
    <row r="441" spans="18:19" x14ac:dyDescent="0.25">
      <c r="R441" s="323"/>
      <c r="S441" s="291"/>
    </row>
    <row r="442" spans="18:19" x14ac:dyDescent="0.25">
      <c r="R442" s="323"/>
      <c r="S442" s="291"/>
    </row>
    <row r="443" spans="18:19" x14ac:dyDescent="0.25">
      <c r="R443" s="323"/>
      <c r="S443" s="291"/>
    </row>
    <row r="444" spans="18:19" x14ac:dyDescent="0.25">
      <c r="R444" s="323"/>
      <c r="S444" s="291"/>
    </row>
    <row r="445" spans="18:19" x14ac:dyDescent="0.25">
      <c r="R445" s="323"/>
      <c r="S445" s="291"/>
    </row>
    <row r="446" spans="18:19" x14ac:dyDescent="0.25">
      <c r="R446" s="323"/>
      <c r="S446" s="291"/>
    </row>
    <row r="447" spans="18:19" x14ac:dyDescent="0.25">
      <c r="R447" s="323"/>
      <c r="S447" s="291"/>
    </row>
    <row r="448" spans="18:19" x14ac:dyDescent="0.25">
      <c r="R448" s="323"/>
      <c r="S448" s="291"/>
    </row>
    <row r="449" spans="18:19" x14ac:dyDescent="0.25">
      <c r="R449" s="323"/>
      <c r="S449" s="291"/>
    </row>
    <row r="450" spans="18:19" x14ac:dyDescent="0.25">
      <c r="R450" s="323"/>
      <c r="S450" s="291"/>
    </row>
    <row r="451" spans="18:19" x14ac:dyDescent="0.25">
      <c r="R451" s="323"/>
      <c r="S451" s="291"/>
    </row>
    <row r="452" spans="18:19" x14ac:dyDescent="0.25">
      <c r="R452" s="323"/>
      <c r="S452" s="291"/>
    </row>
    <row r="453" spans="18:19" x14ac:dyDescent="0.25">
      <c r="R453" s="323"/>
      <c r="S453" s="291"/>
    </row>
    <row r="454" spans="18:19" x14ac:dyDescent="0.25">
      <c r="R454" s="323"/>
      <c r="S454" s="291"/>
    </row>
    <row r="455" spans="18:19" x14ac:dyDescent="0.25">
      <c r="R455" s="323"/>
      <c r="S455" s="291"/>
    </row>
    <row r="456" spans="18:19" x14ac:dyDescent="0.25">
      <c r="R456" s="323"/>
      <c r="S456" s="291"/>
    </row>
    <row r="457" spans="18:19" x14ac:dyDescent="0.25">
      <c r="R457" s="323"/>
      <c r="S457" s="291"/>
    </row>
    <row r="458" spans="18:19" x14ac:dyDescent="0.25">
      <c r="R458" s="323"/>
      <c r="S458" s="291"/>
    </row>
    <row r="459" spans="18:19" x14ac:dyDescent="0.25">
      <c r="R459" s="323"/>
      <c r="S459" s="291"/>
    </row>
    <row r="460" spans="18:19" x14ac:dyDescent="0.25">
      <c r="R460" s="323"/>
      <c r="S460" s="291"/>
    </row>
    <row r="461" spans="18:19" x14ac:dyDescent="0.25">
      <c r="R461" s="323"/>
      <c r="S461" s="291"/>
    </row>
    <row r="462" spans="18:19" x14ac:dyDescent="0.25">
      <c r="R462" s="323"/>
      <c r="S462" s="291"/>
    </row>
    <row r="463" spans="18:19" x14ac:dyDescent="0.25">
      <c r="R463" s="323"/>
      <c r="S463" s="291"/>
    </row>
    <row r="464" spans="18:19" x14ac:dyDescent="0.25">
      <c r="R464" s="323"/>
      <c r="S464" s="291"/>
    </row>
    <row r="465" spans="18:19" x14ac:dyDescent="0.25">
      <c r="R465" s="323"/>
      <c r="S465" s="291"/>
    </row>
    <row r="466" spans="18:19" x14ac:dyDescent="0.25">
      <c r="R466" s="323"/>
      <c r="S466" s="291"/>
    </row>
    <row r="467" spans="18:19" x14ac:dyDescent="0.25">
      <c r="R467" s="323"/>
      <c r="S467" s="291"/>
    </row>
    <row r="468" spans="18:19" x14ac:dyDescent="0.25">
      <c r="R468" s="323"/>
      <c r="S468" s="291"/>
    </row>
    <row r="469" spans="18:19" x14ac:dyDescent="0.25">
      <c r="R469" s="323"/>
      <c r="S469" s="291"/>
    </row>
    <row r="470" spans="18:19" x14ac:dyDescent="0.25">
      <c r="R470" s="323"/>
      <c r="S470" s="291"/>
    </row>
    <row r="471" spans="18:19" x14ac:dyDescent="0.25">
      <c r="R471" s="323"/>
      <c r="S471" s="291"/>
    </row>
    <row r="472" spans="18:19" x14ac:dyDescent="0.25">
      <c r="R472" s="323"/>
      <c r="S472" s="291"/>
    </row>
    <row r="473" spans="18:19" x14ac:dyDescent="0.25">
      <c r="R473" s="323"/>
      <c r="S473" s="291"/>
    </row>
    <row r="474" spans="18:19" x14ac:dyDescent="0.25">
      <c r="R474" s="323"/>
      <c r="S474" s="291"/>
    </row>
    <row r="475" spans="18:19" x14ac:dyDescent="0.25">
      <c r="R475" s="323"/>
      <c r="S475" s="291"/>
    </row>
    <row r="476" spans="18:19" x14ac:dyDescent="0.25">
      <c r="R476" s="323"/>
      <c r="S476" s="291"/>
    </row>
    <row r="477" spans="18:19" x14ac:dyDescent="0.25">
      <c r="R477" s="323"/>
      <c r="S477" s="291"/>
    </row>
    <row r="478" spans="18:19" x14ac:dyDescent="0.25">
      <c r="R478" s="323"/>
      <c r="S478" s="291"/>
    </row>
    <row r="479" spans="18:19" x14ac:dyDescent="0.25">
      <c r="R479" s="323"/>
      <c r="S479" s="291"/>
    </row>
    <row r="480" spans="18:19" x14ac:dyDescent="0.25">
      <c r="R480" s="323"/>
      <c r="S480" s="291"/>
    </row>
    <row r="481" spans="18:19" x14ac:dyDescent="0.25">
      <c r="R481" s="323"/>
      <c r="S481" s="291"/>
    </row>
    <row r="482" spans="18:19" x14ac:dyDescent="0.25">
      <c r="R482" s="323"/>
      <c r="S482" s="291"/>
    </row>
    <row r="483" spans="18:19" x14ac:dyDescent="0.25">
      <c r="R483" s="323"/>
      <c r="S483" s="291"/>
    </row>
    <row r="484" spans="18:19" x14ac:dyDescent="0.25">
      <c r="R484" s="323"/>
      <c r="S484" s="291"/>
    </row>
    <row r="485" spans="18:19" x14ac:dyDescent="0.25">
      <c r="R485" s="323"/>
      <c r="S485" s="291"/>
    </row>
    <row r="486" spans="18:19" x14ac:dyDescent="0.25">
      <c r="R486" s="323"/>
      <c r="S486" s="291"/>
    </row>
    <row r="487" spans="18:19" x14ac:dyDescent="0.25">
      <c r="R487" s="323"/>
      <c r="S487" s="291"/>
    </row>
    <row r="488" spans="18:19" x14ac:dyDescent="0.25">
      <c r="R488" s="323"/>
      <c r="S488" s="291"/>
    </row>
    <row r="489" spans="18:19" x14ac:dyDescent="0.25">
      <c r="R489" s="323"/>
      <c r="S489" s="291"/>
    </row>
    <row r="490" spans="18:19" x14ac:dyDescent="0.25">
      <c r="R490" s="323"/>
      <c r="S490" s="291"/>
    </row>
    <row r="491" spans="18:19" x14ac:dyDescent="0.25">
      <c r="R491" s="323"/>
      <c r="S491" s="291"/>
    </row>
    <row r="492" spans="18:19" x14ac:dyDescent="0.25">
      <c r="R492" s="323"/>
      <c r="S492" s="291"/>
    </row>
    <row r="493" spans="18:19" x14ac:dyDescent="0.25">
      <c r="R493" s="323"/>
      <c r="S493" s="291"/>
    </row>
    <row r="494" spans="18:19" x14ac:dyDescent="0.25">
      <c r="R494" s="323"/>
      <c r="S494" s="291"/>
    </row>
    <row r="495" spans="18:19" x14ac:dyDescent="0.25">
      <c r="R495" s="323"/>
      <c r="S495" s="291"/>
    </row>
    <row r="496" spans="18:19" x14ac:dyDescent="0.25">
      <c r="R496" s="323"/>
      <c r="S496" s="291"/>
    </row>
    <row r="497" spans="18:19" x14ac:dyDescent="0.25">
      <c r="R497" s="323"/>
      <c r="S497" s="291"/>
    </row>
    <row r="498" spans="18:19" x14ac:dyDescent="0.25">
      <c r="R498" s="323"/>
      <c r="S498" s="291"/>
    </row>
    <row r="499" spans="18:19" x14ac:dyDescent="0.25">
      <c r="R499" s="323"/>
      <c r="S499" s="291"/>
    </row>
    <row r="500" spans="18:19" x14ac:dyDescent="0.25">
      <c r="R500" s="323"/>
      <c r="S500" s="291"/>
    </row>
    <row r="501" spans="18:19" x14ac:dyDescent="0.25">
      <c r="R501" s="323"/>
      <c r="S501" s="291"/>
    </row>
    <row r="502" spans="18:19" x14ac:dyDescent="0.25">
      <c r="R502" s="323"/>
      <c r="S502" s="291"/>
    </row>
    <row r="503" spans="18:19" x14ac:dyDescent="0.25">
      <c r="R503" s="323"/>
      <c r="S503" s="291"/>
    </row>
    <row r="504" spans="18:19" x14ac:dyDescent="0.25">
      <c r="R504" s="323"/>
      <c r="S504" s="291"/>
    </row>
    <row r="505" spans="18:19" x14ac:dyDescent="0.25">
      <c r="R505" s="323"/>
      <c r="S505" s="291"/>
    </row>
    <row r="506" spans="18:19" x14ac:dyDescent="0.25">
      <c r="R506" s="323"/>
      <c r="S506" s="291"/>
    </row>
    <row r="507" spans="18:19" x14ac:dyDescent="0.25">
      <c r="R507" s="323"/>
      <c r="S507" s="291"/>
    </row>
    <row r="508" spans="18:19" x14ac:dyDescent="0.25">
      <c r="R508" s="323"/>
      <c r="S508" s="291"/>
    </row>
    <row r="509" spans="18:19" x14ac:dyDescent="0.25">
      <c r="R509" s="323"/>
      <c r="S509" s="291"/>
    </row>
    <row r="510" spans="18:19" x14ac:dyDescent="0.25">
      <c r="R510" s="323"/>
      <c r="S510" s="291"/>
    </row>
    <row r="511" spans="18:19" x14ac:dyDescent="0.25">
      <c r="R511" s="323"/>
      <c r="S511" s="291"/>
    </row>
    <row r="512" spans="18:19" x14ac:dyDescent="0.25">
      <c r="R512" s="323"/>
      <c r="S512" s="291"/>
    </row>
    <row r="513" spans="18:19" x14ac:dyDescent="0.25">
      <c r="R513" s="323"/>
      <c r="S513" s="291"/>
    </row>
    <row r="514" spans="18:19" x14ac:dyDescent="0.25">
      <c r="R514" s="323"/>
      <c r="S514" s="291"/>
    </row>
    <row r="515" spans="18:19" x14ac:dyDescent="0.25">
      <c r="R515" s="323"/>
      <c r="S515" s="291"/>
    </row>
    <row r="516" spans="18:19" x14ac:dyDescent="0.25">
      <c r="R516" s="323"/>
      <c r="S516" s="291"/>
    </row>
    <row r="517" spans="18:19" x14ac:dyDescent="0.25">
      <c r="R517" s="323"/>
      <c r="S517" s="291"/>
    </row>
    <row r="518" spans="18:19" x14ac:dyDescent="0.25">
      <c r="R518" s="323"/>
      <c r="S518" s="291"/>
    </row>
    <row r="519" spans="18:19" x14ac:dyDescent="0.25">
      <c r="R519" s="323"/>
      <c r="S519" s="291"/>
    </row>
    <row r="520" spans="18:19" x14ac:dyDescent="0.25">
      <c r="R520" s="323"/>
      <c r="S520" s="291"/>
    </row>
    <row r="521" spans="18:19" x14ac:dyDescent="0.25">
      <c r="R521" s="323"/>
      <c r="S521" s="291"/>
    </row>
    <row r="522" spans="18:19" x14ac:dyDescent="0.25">
      <c r="R522" s="323"/>
      <c r="S522" s="291"/>
    </row>
    <row r="523" spans="18:19" x14ac:dyDescent="0.25">
      <c r="R523" s="323"/>
      <c r="S523" s="291"/>
    </row>
    <row r="524" spans="18:19" x14ac:dyDescent="0.25">
      <c r="R524" s="323"/>
      <c r="S524" s="291"/>
    </row>
    <row r="525" spans="18:19" x14ac:dyDescent="0.25">
      <c r="R525" s="323"/>
      <c r="S525" s="291"/>
    </row>
    <row r="526" spans="18:19" x14ac:dyDescent="0.25">
      <c r="R526" s="323"/>
      <c r="S526" s="291"/>
    </row>
    <row r="527" spans="18:19" x14ac:dyDescent="0.25">
      <c r="R527" s="323"/>
      <c r="S527" s="291"/>
    </row>
    <row r="528" spans="18:19" x14ac:dyDescent="0.25">
      <c r="R528" s="323"/>
      <c r="S528" s="291"/>
    </row>
    <row r="529" spans="18:19" x14ac:dyDescent="0.25">
      <c r="R529" s="323"/>
      <c r="S529" s="291"/>
    </row>
    <row r="530" spans="18:19" x14ac:dyDescent="0.25">
      <c r="R530" s="323"/>
      <c r="S530" s="291"/>
    </row>
    <row r="531" spans="18:19" x14ac:dyDescent="0.25">
      <c r="R531" s="323"/>
      <c r="S531" s="291"/>
    </row>
    <row r="532" spans="18:19" x14ac:dyDescent="0.25">
      <c r="R532" s="323"/>
      <c r="S532" s="291"/>
    </row>
    <row r="533" spans="18:19" x14ac:dyDescent="0.25">
      <c r="R533" s="323"/>
      <c r="S533" s="291"/>
    </row>
    <row r="534" spans="18:19" x14ac:dyDescent="0.25">
      <c r="R534" s="323"/>
      <c r="S534" s="291"/>
    </row>
    <row r="535" spans="18:19" x14ac:dyDescent="0.25">
      <c r="R535" s="323"/>
      <c r="S535" s="291"/>
    </row>
    <row r="536" spans="18:19" x14ac:dyDescent="0.25">
      <c r="R536" s="323"/>
      <c r="S536" s="291"/>
    </row>
    <row r="537" spans="18:19" x14ac:dyDescent="0.25">
      <c r="R537" s="323"/>
      <c r="S537" s="291"/>
    </row>
    <row r="538" spans="18:19" x14ac:dyDescent="0.25">
      <c r="R538" s="323"/>
      <c r="S538" s="291"/>
    </row>
    <row r="539" spans="18:19" x14ac:dyDescent="0.25">
      <c r="R539" s="323"/>
      <c r="S539" s="291"/>
    </row>
    <row r="540" spans="18:19" x14ac:dyDescent="0.25">
      <c r="R540" s="323"/>
      <c r="S540" s="291"/>
    </row>
    <row r="541" spans="18:19" x14ac:dyDescent="0.25">
      <c r="R541" s="323"/>
      <c r="S541" s="291"/>
    </row>
    <row r="542" spans="18:19" x14ac:dyDescent="0.25">
      <c r="R542" s="323"/>
      <c r="S542" s="291"/>
    </row>
    <row r="543" spans="18:19" x14ac:dyDescent="0.25">
      <c r="R543" s="323"/>
      <c r="S543" s="291"/>
    </row>
    <row r="544" spans="18:19" x14ac:dyDescent="0.25">
      <c r="R544" s="323"/>
      <c r="S544" s="291"/>
    </row>
    <row r="545" spans="18:19" x14ac:dyDescent="0.25">
      <c r="R545" s="323"/>
      <c r="S545" s="291"/>
    </row>
    <row r="546" spans="18:19" x14ac:dyDescent="0.25">
      <c r="R546" s="323"/>
      <c r="S546" s="291"/>
    </row>
    <row r="547" spans="18:19" x14ac:dyDescent="0.25">
      <c r="R547" s="323"/>
      <c r="S547" s="291"/>
    </row>
    <row r="548" spans="18:19" x14ac:dyDescent="0.25">
      <c r="R548" s="323"/>
      <c r="S548" s="291"/>
    </row>
    <row r="549" spans="18:19" x14ac:dyDescent="0.25">
      <c r="R549" s="323"/>
      <c r="S549" s="291"/>
    </row>
    <row r="550" spans="18:19" x14ac:dyDescent="0.25">
      <c r="R550" s="323"/>
      <c r="S550" s="291"/>
    </row>
    <row r="551" spans="18:19" x14ac:dyDescent="0.25">
      <c r="R551" s="323"/>
      <c r="S551" s="291"/>
    </row>
    <row r="552" spans="18:19" x14ac:dyDescent="0.25">
      <c r="R552" s="323"/>
      <c r="S552" s="291"/>
    </row>
    <row r="553" spans="18:19" x14ac:dyDescent="0.25">
      <c r="R553" s="323"/>
      <c r="S553" s="291"/>
    </row>
    <row r="554" spans="18:19" x14ac:dyDescent="0.25">
      <c r="R554" s="323"/>
      <c r="S554" s="291"/>
    </row>
    <row r="555" spans="18:19" x14ac:dyDescent="0.25">
      <c r="R555" s="323"/>
      <c r="S555" s="291"/>
    </row>
    <row r="556" spans="18:19" x14ac:dyDescent="0.25">
      <c r="R556" s="323"/>
      <c r="S556" s="291"/>
    </row>
    <row r="557" spans="18:19" x14ac:dyDescent="0.25">
      <c r="R557" s="323"/>
      <c r="S557" s="291"/>
    </row>
    <row r="558" spans="18:19" x14ac:dyDescent="0.25">
      <c r="R558" s="323"/>
      <c r="S558" s="291"/>
    </row>
    <row r="559" spans="18:19" x14ac:dyDescent="0.25">
      <c r="R559" s="323"/>
      <c r="S559" s="291"/>
    </row>
    <row r="560" spans="18:19" x14ac:dyDescent="0.25">
      <c r="R560" s="323"/>
      <c r="S560" s="291"/>
    </row>
    <row r="561" spans="18:19" x14ac:dyDescent="0.25">
      <c r="R561" s="323"/>
      <c r="S561" s="291"/>
    </row>
    <row r="562" spans="18:19" x14ac:dyDescent="0.25">
      <c r="R562" s="323"/>
      <c r="S562" s="291"/>
    </row>
    <row r="563" spans="18:19" x14ac:dyDescent="0.25">
      <c r="R563" s="323"/>
      <c r="S563" s="291"/>
    </row>
    <row r="564" spans="18:19" x14ac:dyDescent="0.25">
      <c r="R564" s="323"/>
      <c r="S564" s="291"/>
    </row>
    <row r="565" spans="18:19" x14ac:dyDescent="0.25">
      <c r="R565" s="323"/>
      <c r="S565" s="291"/>
    </row>
    <row r="566" spans="18:19" x14ac:dyDescent="0.25">
      <c r="R566" s="323"/>
      <c r="S566" s="291"/>
    </row>
    <row r="567" spans="18:19" x14ac:dyDescent="0.25">
      <c r="R567" s="323"/>
      <c r="S567" s="291"/>
    </row>
    <row r="568" spans="18:19" x14ac:dyDescent="0.25">
      <c r="R568" s="323"/>
      <c r="S568" s="291"/>
    </row>
    <row r="569" spans="18:19" x14ac:dyDescent="0.25">
      <c r="R569" s="323"/>
      <c r="S569" s="291"/>
    </row>
    <row r="570" spans="18:19" x14ac:dyDescent="0.25">
      <c r="R570" s="323"/>
      <c r="S570" s="291"/>
    </row>
    <row r="571" spans="18:19" x14ac:dyDescent="0.25">
      <c r="R571" s="323"/>
      <c r="S571" s="291"/>
    </row>
    <row r="572" spans="18:19" x14ac:dyDescent="0.25">
      <c r="R572" s="323"/>
      <c r="S572" s="291"/>
    </row>
    <row r="573" spans="18:19" x14ac:dyDescent="0.25">
      <c r="R573" s="323"/>
      <c r="S573" s="291"/>
    </row>
    <row r="574" spans="18:19" x14ac:dyDescent="0.25">
      <c r="R574" s="323"/>
      <c r="S574" s="291"/>
    </row>
    <row r="575" spans="18:19" x14ac:dyDescent="0.25">
      <c r="R575" s="323"/>
      <c r="S575" s="291"/>
    </row>
    <row r="576" spans="18:19" x14ac:dyDescent="0.25">
      <c r="R576" s="323"/>
      <c r="S576" s="291"/>
    </row>
    <row r="577" spans="18:19" x14ac:dyDescent="0.25">
      <c r="R577" s="323"/>
      <c r="S577" s="291"/>
    </row>
    <row r="578" spans="18:19" x14ac:dyDescent="0.25">
      <c r="R578" s="323"/>
      <c r="S578" s="291"/>
    </row>
    <row r="579" spans="18:19" x14ac:dyDescent="0.25">
      <c r="R579" s="323"/>
      <c r="S579" s="291"/>
    </row>
    <row r="580" spans="18:19" x14ac:dyDescent="0.25">
      <c r="R580" s="323"/>
      <c r="S580" s="291"/>
    </row>
    <row r="581" spans="18:19" x14ac:dyDescent="0.25">
      <c r="R581" s="323"/>
      <c r="S581" s="291"/>
    </row>
    <row r="582" spans="18:19" x14ac:dyDescent="0.25">
      <c r="R582" s="323"/>
      <c r="S582" s="291"/>
    </row>
    <row r="583" spans="18:19" x14ac:dyDescent="0.25">
      <c r="R583" s="323"/>
      <c r="S583" s="291"/>
    </row>
    <row r="584" spans="18:19" x14ac:dyDescent="0.25">
      <c r="R584" s="323"/>
      <c r="S584" s="291"/>
    </row>
    <row r="585" spans="18:19" x14ac:dyDescent="0.25">
      <c r="R585" s="323"/>
      <c r="S585" s="291"/>
    </row>
    <row r="586" spans="18:19" x14ac:dyDescent="0.25">
      <c r="R586" s="323"/>
      <c r="S586" s="291"/>
    </row>
    <row r="587" spans="18:19" x14ac:dyDescent="0.25">
      <c r="R587" s="323"/>
      <c r="S587" s="291"/>
    </row>
    <row r="588" spans="18:19" x14ac:dyDescent="0.25">
      <c r="R588" s="323"/>
      <c r="S588" s="291"/>
    </row>
    <row r="589" spans="18:19" x14ac:dyDescent="0.25">
      <c r="R589" s="323"/>
      <c r="S589" s="291"/>
    </row>
    <row r="590" spans="18:19" x14ac:dyDescent="0.25">
      <c r="R590" s="323"/>
      <c r="S590" s="291"/>
    </row>
    <row r="591" spans="18:19" x14ac:dyDescent="0.25">
      <c r="R591" s="323"/>
      <c r="S591" s="291"/>
    </row>
    <row r="592" spans="18:19" x14ac:dyDescent="0.25">
      <c r="R592" s="323"/>
      <c r="S592" s="291"/>
    </row>
    <row r="593" spans="18:19" x14ac:dyDescent="0.25">
      <c r="R593" s="323"/>
      <c r="S593" s="291"/>
    </row>
    <row r="594" spans="18:19" x14ac:dyDescent="0.25">
      <c r="R594" s="323"/>
      <c r="S594" s="291"/>
    </row>
    <row r="595" spans="18:19" x14ac:dyDescent="0.25">
      <c r="R595" s="323"/>
      <c r="S595" s="291"/>
    </row>
    <row r="596" spans="18:19" x14ac:dyDescent="0.25">
      <c r="R596" s="323"/>
      <c r="S596" s="291"/>
    </row>
    <row r="597" spans="18:19" x14ac:dyDescent="0.25">
      <c r="R597" s="323"/>
      <c r="S597" s="291"/>
    </row>
    <row r="598" spans="18:19" x14ac:dyDescent="0.25">
      <c r="R598" s="323"/>
      <c r="S598" s="291"/>
    </row>
    <row r="599" spans="18:19" x14ac:dyDescent="0.25">
      <c r="R599" s="323"/>
      <c r="S599" s="291"/>
    </row>
    <row r="600" spans="18:19" x14ac:dyDescent="0.25">
      <c r="R600" s="323"/>
      <c r="S600" s="291"/>
    </row>
    <row r="601" spans="18:19" x14ac:dyDescent="0.25">
      <c r="R601" s="323"/>
      <c r="S601" s="291"/>
    </row>
    <row r="602" spans="18:19" x14ac:dyDescent="0.25">
      <c r="R602" s="323"/>
      <c r="S602" s="291"/>
    </row>
    <row r="603" spans="18:19" x14ac:dyDescent="0.25">
      <c r="R603" s="323"/>
      <c r="S603" s="291"/>
    </row>
    <row r="604" spans="18:19" x14ac:dyDescent="0.25">
      <c r="R604" s="323"/>
      <c r="S604" s="291"/>
    </row>
    <row r="605" spans="18:19" x14ac:dyDescent="0.25">
      <c r="R605" s="323"/>
      <c r="S605" s="291"/>
    </row>
    <row r="606" spans="18:19" x14ac:dyDescent="0.25">
      <c r="R606" s="323"/>
      <c r="S606" s="291"/>
    </row>
    <row r="607" spans="18:19" x14ac:dyDescent="0.25">
      <c r="R607" s="323"/>
      <c r="S607" s="291"/>
    </row>
    <row r="608" spans="18:19" x14ac:dyDescent="0.25">
      <c r="R608" s="323"/>
      <c r="S608" s="291"/>
    </row>
    <row r="609" spans="18:19" x14ac:dyDescent="0.25">
      <c r="R609" s="323"/>
      <c r="S609" s="291"/>
    </row>
    <row r="610" spans="18:19" x14ac:dyDescent="0.25">
      <c r="R610" s="323"/>
      <c r="S610" s="291"/>
    </row>
    <row r="611" spans="18:19" x14ac:dyDescent="0.25">
      <c r="R611" s="323"/>
      <c r="S611" s="291"/>
    </row>
    <row r="612" spans="18:19" x14ac:dyDescent="0.25">
      <c r="R612" s="323"/>
      <c r="S612" s="291"/>
    </row>
    <row r="613" spans="18:19" x14ac:dyDescent="0.25">
      <c r="R613" s="323"/>
      <c r="S613" s="291"/>
    </row>
    <row r="614" spans="18:19" x14ac:dyDescent="0.25">
      <c r="R614" s="323"/>
      <c r="S614" s="291"/>
    </row>
    <row r="615" spans="18:19" x14ac:dyDescent="0.25">
      <c r="R615" s="323"/>
      <c r="S615" s="291"/>
    </row>
    <row r="616" spans="18:19" x14ac:dyDescent="0.25">
      <c r="R616" s="323"/>
      <c r="S616" s="291"/>
    </row>
    <row r="617" spans="18:19" x14ac:dyDescent="0.25">
      <c r="R617" s="323"/>
      <c r="S617" s="291"/>
    </row>
    <row r="618" spans="18:19" x14ac:dyDescent="0.25">
      <c r="R618" s="323"/>
      <c r="S618" s="291"/>
    </row>
    <row r="619" spans="18:19" x14ac:dyDescent="0.25">
      <c r="R619" s="323"/>
      <c r="S619" s="291"/>
    </row>
    <row r="620" spans="18:19" x14ac:dyDescent="0.25">
      <c r="R620" s="323"/>
      <c r="S620" s="291"/>
    </row>
    <row r="621" spans="18:19" x14ac:dyDescent="0.25">
      <c r="R621" s="323"/>
      <c r="S621" s="291"/>
    </row>
    <row r="622" spans="18:19" x14ac:dyDescent="0.25">
      <c r="R622" s="323"/>
      <c r="S622" s="291"/>
    </row>
    <row r="623" spans="18:19" x14ac:dyDescent="0.25">
      <c r="R623" s="323"/>
      <c r="S623" s="291"/>
    </row>
    <row r="624" spans="18:19" x14ac:dyDescent="0.25">
      <c r="R624" s="323"/>
      <c r="S624" s="291"/>
    </row>
    <row r="625" spans="18:19" x14ac:dyDescent="0.25">
      <c r="R625" s="323"/>
      <c r="S625" s="291"/>
    </row>
    <row r="626" spans="18:19" x14ac:dyDescent="0.25">
      <c r="R626" s="323"/>
      <c r="S626" s="291"/>
    </row>
    <row r="627" spans="18:19" x14ac:dyDescent="0.25">
      <c r="R627" s="323"/>
      <c r="S627" s="291"/>
    </row>
    <row r="628" spans="18:19" x14ac:dyDescent="0.25">
      <c r="R628" s="323"/>
      <c r="S628" s="291"/>
    </row>
    <row r="629" spans="18:19" x14ac:dyDescent="0.25">
      <c r="R629" s="323"/>
      <c r="S629" s="291"/>
    </row>
    <row r="630" spans="18:19" x14ac:dyDescent="0.25">
      <c r="R630" s="323"/>
      <c r="S630" s="291"/>
    </row>
    <row r="631" spans="18:19" x14ac:dyDescent="0.25">
      <c r="R631" s="323"/>
      <c r="S631" s="291"/>
    </row>
    <row r="632" spans="18:19" x14ac:dyDescent="0.25">
      <c r="R632" s="323"/>
      <c r="S632" s="291"/>
    </row>
    <row r="633" spans="18:19" x14ac:dyDescent="0.25">
      <c r="R633" s="323"/>
      <c r="S633" s="291"/>
    </row>
    <row r="634" spans="18:19" x14ac:dyDescent="0.25">
      <c r="R634" s="323"/>
      <c r="S634" s="291"/>
    </row>
    <row r="635" spans="18:19" x14ac:dyDescent="0.25">
      <c r="R635" s="323"/>
      <c r="S635" s="291"/>
    </row>
    <row r="636" spans="18:19" x14ac:dyDescent="0.25">
      <c r="R636" s="323"/>
      <c r="S636" s="291"/>
    </row>
    <row r="637" spans="18:19" x14ac:dyDescent="0.25">
      <c r="R637" s="323"/>
      <c r="S637" s="291"/>
    </row>
    <row r="638" spans="18:19" x14ac:dyDescent="0.25">
      <c r="R638" s="323"/>
      <c r="S638" s="291"/>
    </row>
    <row r="639" spans="18:19" x14ac:dyDescent="0.25">
      <c r="R639" s="323"/>
      <c r="S639" s="291"/>
    </row>
    <row r="640" spans="18:19" x14ac:dyDescent="0.25">
      <c r="R640" s="323"/>
      <c r="S640" s="291"/>
    </row>
    <row r="641" spans="18:19" x14ac:dyDescent="0.25">
      <c r="R641" s="323"/>
      <c r="S641" s="291"/>
    </row>
    <row r="642" spans="18:19" x14ac:dyDescent="0.25">
      <c r="R642" s="323"/>
      <c r="S642" s="291"/>
    </row>
    <row r="643" spans="18:19" x14ac:dyDescent="0.25">
      <c r="R643" s="323"/>
      <c r="S643" s="291"/>
    </row>
    <row r="644" spans="18:19" x14ac:dyDescent="0.25">
      <c r="R644" s="323"/>
      <c r="S644" s="291"/>
    </row>
    <row r="645" spans="18:19" x14ac:dyDescent="0.25">
      <c r="R645" s="323"/>
      <c r="S645" s="291"/>
    </row>
    <row r="646" spans="18:19" x14ac:dyDescent="0.25">
      <c r="R646" s="323"/>
      <c r="S646" s="291"/>
    </row>
    <row r="647" spans="18:19" x14ac:dyDescent="0.25">
      <c r="R647" s="323"/>
      <c r="S647" s="291"/>
    </row>
    <row r="648" spans="18:19" x14ac:dyDescent="0.25">
      <c r="R648" s="323"/>
      <c r="S648" s="291"/>
    </row>
    <row r="649" spans="18:19" x14ac:dyDescent="0.25">
      <c r="R649" s="323"/>
      <c r="S649" s="291"/>
    </row>
    <row r="650" spans="18:19" x14ac:dyDescent="0.25">
      <c r="R650" s="323"/>
      <c r="S650" s="291"/>
    </row>
    <row r="651" spans="18:19" x14ac:dyDescent="0.25">
      <c r="R651" s="323"/>
      <c r="S651" s="291"/>
    </row>
    <row r="652" spans="18:19" x14ac:dyDescent="0.25">
      <c r="R652" s="323"/>
      <c r="S652" s="291"/>
    </row>
    <row r="653" spans="18:19" x14ac:dyDescent="0.25">
      <c r="R653" s="323"/>
      <c r="S653" s="291"/>
    </row>
    <row r="654" spans="18:19" x14ac:dyDescent="0.25">
      <c r="R654" s="323"/>
      <c r="S654" s="291"/>
    </row>
    <row r="655" spans="18:19" x14ac:dyDescent="0.25">
      <c r="R655" s="323"/>
      <c r="S655" s="291"/>
    </row>
    <row r="656" spans="18:19" x14ac:dyDescent="0.25">
      <c r="R656" s="323"/>
      <c r="S656" s="291"/>
    </row>
    <row r="657" spans="18:19" x14ac:dyDescent="0.25">
      <c r="R657" s="323"/>
      <c r="S657" s="291"/>
    </row>
  </sheetData>
  <sheetProtection algorithmName="SHA-512" hashValue="3VjQjCr4r7QFQQLTX4hUOzndw78y1HldCJIaEWRMZjzfmVRWicYofTgEaI75GiCNr8FimQYQapzHrazvk1GmYw==" saltValue="hniCZchoaBcwLmd9oclv+Q==" spinCount="100000" sheet="1" objects="1" scenarios="1"/>
  <mergeCells count="31">
    <mergeCell ref="AA11:AA58"/>
    <mergeCell ref="D40:E40"/>
    <mergeCell ref="D45:E45"/>
    <mergeCell ref="D53:E53"/>
    <mergeCell ref="D60:E60"/>
    <mergeCell ref="O14:S19"/>
    <mergeCell ref="D11:E11"/>
    <mergeCell ref="G11:S12"/>
    <mergeCell ref="L14:M14"/>
    <mergeCell ref="L19:M19"/>
    <mergeCell ref="L18:M18"/>
    <mergeCell ref="L17:M17"/>
    <mergeCell ref="L16:M16"/>
    <mergeCell ref="L15:M15"/>
    <mergeCell ref="F11:F70"/>
    <mergeCell ref="C11:C84"/>
    <mergeCell ref="A76:B76"/>
    <mergeCell ref="D12:E12"/>
    <mergeCell ref="D19:E19"/>
    <mergeCell ref="D30:E30"/>
    <mergeCell ref="D35:E35"/>
    <mergeCell ref="A71:B71"/>
    <mergeCell ref="D25:E25"/>
    <mergeCell ref="A66:B66"/>
    <mergeCell ref="A54:B54"/>
    <mergeCell ref="A11:B11"/>
    <mergeCell ref="A42:B42"/>
    <mergeCell ref="A32:B32"/>
    <mergeCell ref="A22:B22"/>
    <mergeCell ref="A12:B12"/>
    <mergeCell ref="D69:E69"/>
  </mergeCells>
  <phoneticPr fontId="51" type="noConversion"/>
  <conditionalFormatting sqref="E13">
    <cfRule type="cellIs" dxfId="132" priority="294" operator="notEqual">
      <formula>$B$33</formula>
    </cfRule>
  </conditionalFormatting>
  <conditionalFormatting sqref="K14:K19">
    <cfRule type="expression" dxfId="131" priority="1">
      <formula>AND($L14="ABIST1_Yes",$I14="EXT.")</formula>
    </cfRule>
    <cfRule type="expression" dxfId="130" priority="2">
      <formula>AND($L14="ABIST1_Yes",$K14=$V$1)</formula>
    </cfRule>
  </conditionalFormatting>
  <dataValidations disablePrompts="1" count="1">
    <dataValidation type="list" allowBlank="1" showInputMessage="1" showErrorMessage="1" sqref="I16:I19" xr:uid="{4ADDF12E-15B8-4BA6-B003-B668205ABC78}">
      <formula1>$U$1:$U$6</formula1>
    </dataValidation>
  </dataValidations>
  <printOptions horizontalCentered="1" verticalCentered="1"/>
  <pageMargins left="0.59055118110236215" right="0.59055118110236215" top="0.74803149606299213" bottom="0.74803149606299213" header="0.35433070866141736" footer="0.35433070866141736"/>
  <pageSetup paperSize="9" scale="70" orientation="portrait" r:id="rId1"/>
  <colBreaks count="1" manualBreakCount="1">
    <brk id="5" max="1048575" man="1"/>
  </colBreaks>
  <cellWatches>
    <cellWatch r="V22"/>
  </cellWatches>
  <ignoredErrors>
    <ignoredError sqref="J124"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59"/>
  <sheetViews>
    <sheetView zoomScaleNormal="100" workbookViewId="0">
      <pane ySplit="3" topLeftCell="A4" activePane="bottomLeft" state="frozen"/>
      <selection activeCell="F169" sqref="F169"/>
      <selection pane="bottomLeft" activeCell="G5" sqref="G5:L5"/>
    </sheetView>
  </sheetViews>
  <sheetFormatPr defaultColWidth="9.140625" defaultRowHeight="15" x14ac:dyDescent="0.25"/>
  <cols>
    <col min="1" max="1" width="22.42578125" style="59" bestFit="1" customWidth="1"/>
    <col min="2" max="2" width="10.42578125" style="77" bestFit="1" customWidth="1"/>
    <col min="3" max="3" width="5.7109375" style="59" hidden="1" customWidth="1"/>
    <col min="4" max="4" width="11.7109375" style="59" hidden="1" customWidth="1"/>
    <col min="5" max="6" width="20.7109375" style="59" customWidth="1"/>
    <col min="7" max="12" width="26.7109375" style="59" customWidth="1"/>
    <col min="13" max="14" width="15.7109375" style="60" customWidth="1"/>
    <col min="15" max="15" width="9.140625" style="59"/>
    <col min="16" max="16" width="25" style="59" bestFit="1" customWidth="1"/>
    <col min="17" max="16384" width="9.140625" style="59"/>
  </cols>
  <sheetData>
    <row r="1" spans="1:16" x14ac:dyDescent="0.25">
      <c r="A1" s="56"/>
      <c r="B1" s="57"/>
      <c r="C1" s="58"/>
      <c r="D1" s="58"/>
      <c r="E1" s="58"/>
      <c r="F1" s="58"/>
      <c r="G1" s="57"/>
      <c r="H1" s="57"/>
      <c r="I1" s="57"/>
      <c r="J1" s="57"/>
      <c r="K1" s="57"/>
    </row>
    <row r="2" spans="1:16" ht="23.25" x14ac:dyDescent="0.35">
      <c r="A2" s="465" t="s">
        <v>305</v>
      </c>
      <c r="B2" s="465"/>
      <c r="C2" s="465"/>
      <c r="D2" s="465"/>
      <c r="E2" s="465"/>
      <c r="F2" s="465"/>
      <c r="G2" s="465"/>
      <c r="H2" s="465"/>
      <c r="I2" s="465"/>
      <c r="J2" s="465"/>
      <c r="K2" s="465"/>
      <c r="L2" s="465"/>
      <c r="M2" s="465"/>
      <c r="N2" s="465"/>
    </row>
    <row r="3" spans="1:16" ht="15.75" x14ac:dyDescent="0.25">
      <c r="A3" s="61" t="s">
        <v>0</v>
      </c>
      <c r="B3" s="62" t="s">
        <v>1</v>
      </c>
      <c r="C3" s="61" t="s">
        <v>2</v>
      </c>
      <c r="D3" s="61" t="s">
        <v>12</v>
      </c>
      <c r="E3" s="63" t="s">
        <v>3</v>
      </c>
      <c r="F3" s="63" t="s">
        <v>5</v>
      </c>
      <c r="G3" s="63" t="s">
        <v>4</v>
      </c>
      <c r="H3" s="63" t="s">
        <v>6</v>
      </c>
      <c r="I3" s="63" t="s">
        <v>7</v>
      </c>
      <c r="J3" s="63" t="s">
        <v>8</v>
      </c>
      <c r="K3" s="63" t="s">
        <v>9</v>
      </c>
      <c r="L3" s="63" t="s">
        <v>10</v>
      </c>
      <c r="M3" s="64" t="s">
        <v>202</v>
      </c>
      <c r="N3" s="64" t="s">
        <v>203</v>
      </c>
      <c r="P3" s="65" t="s">
        <v>518</v>
      </c>
    </row>
    <row r="4" spans="1:16" s="108" customFormat="1" ht="15.75" customHeight="1" x14ac:dyDescent="0.25">
      <c r="A4" s="103" t="s">
        <v>97</v>
      </c>
      <c r="B4" s="104" t="s">
        <v>174</v>
      </c>
      <c r="C4" s="103" t="s">
        <v>19</v>
      </c>
      <c r="D4" s="105" t="s">
        <v>13</v>
      </c>
      <c r="E4" s="106" t="s">
        <v>11</v>
      </c>
      <c r="F4" s="106" t="s">
        <v>11</v>
      </c>
      <c r="G4" s="451" t="s">
        <v>20</v>
      </c>
      <c r="H4" s="451"/>
      <c r="I4" s="451"/>
      <c r="J4" s="451"/>
      <c r="K4" s="451"/>
      <c r="L4" s="451"/>
      <c r="M4" s="107"/>
      <c r="N4" s="107"/>
      <c r="P4" s="241" t="s">
        <v>827</v>
      </c>
    </row>
    <row r="5" spans="1:16" ht="15.75" customHeight="1" x14ac:dyDescent="0.25">
      <c r="A5" s="66"/>
      <c r="B5" s="67"/>
      <c r="C5" s="66"/>
      <c r="D5" s="68"/>
      <c r="E5" s="92">
        <v>0</v>
      </c>
      <c r="F5" s="92">
        <v>0</v>
      </c>
      <c r="G5" s="456" t="s">
        <v>599</v>
      </c>
      <c r="H5" s="456"/>
      <c r="I5" s="456"/>
      <c r="J5" s="456"/>
      <c r="K5" s="456"/>
      <c r="L5" s="456"/>
      <c r="M5" s="71" t="str">
        <f>CONCATENATE(LEFT(E5,1),LEFT(F5,1),LEFT(G5,6))</f>
        <v>00100000</v>
      </c>
      <c r="N5" s="71" t="str">
        <f>"0x"&amp;BIN2HEX(M5,2)</f>
        <v>0x20</v>
      </c>
    </row>
    <row r="6" spans="1:16" s="108" customFormat="1" ht="15.75" x14ac:dyDescent="0.25">
      <c r="A6" s="103" t="s">
        <v>98</v>
      </c>
      <c r="B6" s="104" t="s">
        <v>175</v>
      </c>
      <c r="C6" s="103" t="s">
        <v>19</v>
      </c>
      <c r="D6" s="105" t="s">
        <v>13</v>
      </c>
      <c r="E6" s="102" t="s">
        <v>11</v>
      </c>
      <c r="F6" s="106" t="s">
        <v>11</v>
      </c>
      <c r="G6" s="451" t="s">
        <v>21</v>
      </c>
      <c r="H6" s="451"/>
      <c r="I6" s="451"/>
      <c r="J6" s="451"/>
      <c r="K6" s="451"/>
      <c r="L6" s="451"/>
      <c r="M6" s="107"/>
      <c r="N6" s="107"/>
    </row>
    <row r="7" spans="1:16" ht="15.75" x14ac:dyDescent="0.25">
      <c r="A7" s="66"/>
      <c r="B7" s="67"/>
      <c r="C7" s="66"/>
      <c r="D7" s="68"/>
      <c r="E7" s="81">
        <v>0</v>
      </c>
      <c r="F7" s="81">
        <v>0</v>
      </c>
      <c r="G7" s="456" t="s">
        <v>660</v>
      </c>
      <c r="H7" s="456"/>
      <c r="I7" s="456"/>
      <c r="J7" s="456"/>
      <c r="K7" s="456"/>
      <c r="L7" s="456"/>
      <c r="M7" s="71" t="str">
        <f>CONCATENATE(E7,F7,LEFT(G7,6))</f>
        <v>00000110</v>
      </c>
      <c r="N7" s="72" t="str">
        <f>"0x"&amp;BIN2HEX(M7,2)</f>
        <v>0x06</v>
      </c>
    </row>
    <row r="8" spans="1:16" s="108" customFormat="1" ht="15.75" x14ac:dyDescent="0.25">
      <c r="A8" s="103" t="s">
        <v>99</v>
      </c>
      <c r="B8" s="104" t="s">
        <v>176</v>
      </c>
      <c r="C8" s="103" t="s">
        <v>19</v>
      </c>
      <c r="D8" s="105" t="s">
        <v>13</v>
      </c>
      <c r="E8" s="451" t="s">
        <v>25</v>
      </c>
      <c r="F8" s="451"/>
      <c r="G8" s="451" t="s">
        <v>24</v>
      </c>
      <c r="H8" s="451"/>
      <c r="I8" s="451" t="s">
        <v>23</v>
      </c>
      <c r="J8" s="451"/>
      <c r="K8" s="451" t="s">
        <v>22</v>
      </c>
      <c r="L8" s="451"/>
      <c r="M8" s="107"/>
      <c r="N8" s="107"/>
    </row>
    <row r="9" spans="1:16" ht="15.75" x14ac:dyDescent="0.25">
      <c r="A9" s="66"/>
      <c r="B9" s="67"/>
      <c r="C9" s="66"/>
      <c r="D9" s="68"/>
      <c r="E9" s="456" t="s">
        <v>600</v>
      </c>
      <c r="F9" s="456"/>
      <c r="G9" s="457" t="s">
        <v>604</v>
      </c>
      <c r="H9" s="457"/>
      <c r="I9" s="457" t="s">
        <v>608</v>
      </c>
      <c r="J9" s="457"/>
      <c r="K9" s="457" t="s">
        <v>607</v>
      </c>
      <c r="L9" s="457"/>
      <c r="M9" s="71" t="str">
        <f>CONCATENATE(LEFT(E9,2),LEFT(G9,2),LEFT(I9,2),LEFT(K9,2))</f>
        <v>00101110</v>
      </c>
      <c r="N9" s="72" t="str">
        <f>"0x"&amp;BIN2HEX(M9,2)</f>
        <v>0x2E</v>
      </c>
    </row>
    <row r="10" spans="1:16" s="108" customFormat="1" ht="15" customHeight="1" x14ac:dyDescent="0.25">
      <c r="A10" s="103" t="s">
        <v>100</v>
      </c>
      <c r="B10" s="104" t="s">
        <v>177</v>
      </c>
      <c r="C10" s="103" t="s">
        <v>19</v>
      </c>
      <c r="D10" s="105" t="s">
        <v>13</v>
      </c>
      <c r="E10" s="235" t="s">
        <v>11</v>
      </c>
      <c r="F10" s="235" t="s">
        <v>11</v>
      </c>
      <c r="G10" s="240" t="s">
        <v>807</v>
      </c>
      <c r="H10" s="109" t="s">
        <v>560</v>
      </c>
      <c r="I10" s="451" t="s">
        <v>26</v>
      </c>
      <c r="J10" s="451"/>
      <c r="K10" s="451"/>
      <c r="L10" s="451"/>
      <c r="M10" s="107"/>
      <c r="N10" s="107"/>
    </row>
    <row r="11" spans="1:16" ht="15" customHeight="1" x14ac:dyDescent="0.25">
      <c r="A11" s="66"/>
      <c r="B11" s="67"/>
      <c r="C11" s="66"/>
      <c r="D11" s="68"/>
      <c r="E11" s="236">
        <v>0</v>
      </c>
      <c r="F11" s="236">
        <v>0</v>
      </c>
      <c r="G11" s="242" t="s">
        <v>809</v>
      </c>
      <c r="H11" s="101">
        <v>0</v>
      </c>
      <c r="I11" s="456" t="s">
        <v>609</v>
      </c>
      <c r="J11" s="456"/>
      <c r="K11" s="456"/>
      <c r="L11" s="456"/>
      <c r="M11" s="71" t="str">
        <f>CONCATENATE(E11,F11,LEFT(G11,1),H11,LEFT(I11,4))</f>
        <v>00100110</v>
      </c>
      <c r="N11" s="72" t="str">
        <f>"0x"&amp;BIN2HEX(M11,2)</f>
        <v>0x26</v>
      </c>
    </row>
    <row r="12" spans="1:16" s="108" customFormat="1" ht="15.75" x14ac:dyDescent="0.25">
      <c r="A12" s="103" t="s">
        <v>101</v>
      </c>
      <c r="B12" s="104" t="s">
        <v>178</v>
      </c>
      <c r="C12" s="103" t="s">
        <v>19</v>
      </c>
      <c r="D12" s="105" t="s">
        <v>13</v>
      </c>
      <c r="E12" s="102" t="s">
        <v>142</v>
      </c>
      <c r="F12" s="458" t="s">
        <v>138</v>
      </c>
      <c r="G12" s="458"/>
      <c r="H12" s="451" t="s">
        <v>139</v>
      </c>
      <c r="I12" s="451"/>
      <c r="J12" s="451"/>
      <c r="K12" s="451"/>
      <c r="L12" s="451"/>
      <c r="M12" s="107"/>
      <c r="N12" s="107"/>
    </row>
    <row r="13" spans="1:16" ht="15.75" x14ac:dyDescent="0.25">
      <c r="A13" s="66"/>
      <c r="B13" s="67"/>
      <c r="C13" s="66"/>
      <c r="D13" s="68"/>
      <c r="E13" s="375" t="s">
        <v>404</v>
      </c>
      <c r="F13" s="457" t="s">
        <v>611</v>
      </c>
      <c r="G13" s="457"/>
      <c r="H13" s="457" t="s">
        <v>667</v>
      </c>
      <c r="I13" s="457"/>
      <c r="J13" s="457"/>
      <c r="K13" s="457"/>
      <c r="L13" s="457"/>
      <c r="M13" s="71" t="str">
        <f>CONCATENATE(LEFT(E13,1),LEFT(F13,2),LEFT(H13,5))</f>
        <v>10000110</v>
      </c>
      <c r="N13" s="72" t="str">
        <f>"0x"&amp;BIN2HEX(M13,2)</f>
        <v>0x86</v>
      </c>
    </row>
    <row r="14" spans="1:16" s="108" customFormat="1" ht="15.75" x14ac:dyDescent="0.25">
      <c r="A14" s="103" t="s">
        <v>102</v>
      </c>
      <c r="B14" s="104" t="s">
        <v>179</v>
      </c>
      <c r="C14" s="103" t="s">
        <v>19</v>
      </c>
      <c r="D14" s="105" t="s">
        <v>13</v>
      </c>
      <c r="E14" s="451" t="s">
        <v>30</v>
      </c>
      <c r="F14" s="451"/>
      <c r="G14" s="451" t="s">
        <v>29</v>
      </c>
      <c r="H14" s="451"/>
      <c r="I14" s="451" t="s">
        <v>28</v>
      </c>
      <c r="J14" s="451"/>
      <c r="K14" s="451" t="s">
        <v>27</v>
      </c>
      <c r="L14" s="451"/>
      <c r="M14" s="107"/>
      <c r="N14" s="107"/>
    </row>
    <row r="15" spans="1:16" ht="15.75" x14ac:dyDescent="0.25">
      <c r="A15" s="66"/>
      <c r="B15" s="67"/>
      <c r="C15" s="66"/>
      <c r="D15" s="68"/>
      <c r="E15" s="457" t="s">
        <v>613</v>
      </c>
      <c r="F15" s="457"/>
      <c r="G15" s="457" t="s">
        <v>615</v>
      </c>
      <c r="H15" s="457"/>
      <c r="I15" s="457" t="s">
        <v>616</v>
      </c>
      <c r="J15" s="457"/>
      <c r="K15" s="457" t="s">
        <v>671</v>
      </c>
      <c r="L15" s="457"/>
      <c r="M15" s="71" t="str">
        <f>CONCATENATE(LEFT(E15,2),LEFT(G15,2),LEFT(I15,2),LEFT(K15,2))</f>
        <v>00000111</v>
      </c>
      <c r="N15" s="72" t="str">
        <f>"0x"&amp;BIN2HEX(M15,2)</f>
        <v>0x07</v>
      </c>
    </row>
    <row r="16" spans="1:16" s="108" customFormat="1" ht="15" customHeight="1" x14ac:dyDescent="0.25">
      <c r="A16" s="103" t="s">
        <v>34</v>
      </c>
      <c r="B16" s="104" t="s">
        <v>180</v>
      </c>
      <c r="C16" s="103" t="s">
        <v>19</v>
      </c>
      <c r="D16" s="105" t="s">
        <v>13</v>
      </c>
      <c r="E16" s="451" t="s">
        <v>31</v>
      </c>
      <c r="F16" s="451"/>
      <c r="G16" s="451"/>
      <c r="H16" s="451"/>
      <c r="I16" s="451"/>
      <c r="J16" s="451"/>
      <c r="K16" s="451"/>
      <c r="L16" s="451"/>
      <c r="M16" s="107"/>
      <c r="N16" s="107"/>
    </row>
    <row r="17" spans="1:14" ht="15" customHeight="1" x14ac:dyDescent="0.25">
      <c r="A17" s="66"/>
      <c r="B17" s="67"/>
      <c r="C17" s="66"/>
      <c r="D17" s="68"/>
      <c r="E17" s="456" t="s">
        <v>436</v>
      </c>
      <c r="F17" s="456"/>
      <c r="G17" s="456"/>
      <c r="H17" s="456"/>
      <c r="I17" s="456"/>
      <c r="J17" s="456"/>
      <c r="K17" s="456"/>
      <c r="L17" s="456"/>
      <c r="M17" s="71" t="str">
        <f>LEFT(E17,8)</f>
        <v>10000000</v>
      </c>
      <c r="N17" s="72" t="str">
        <f>"0x"&amp;BIN2HEX(M17,2)</f>
        <v>0x80</v>
      </c>
    </row>
    <row r="18" spans="1:14" s="108" customFormat="1" ht="15" customHeight="1" x14ac:dyDescent="0.25">
      <c r="A18" s="103" t="s">
        <v>35</v>
      </c>
      <c r="B18" s="104" t="s">
        <v>181</v>
      </c>
      <c r="C18" s="103" t="s">
        <v>19</v>
      </c>
      <c r="D18" s="105" t="s">
        <v>13</v>
      </c>
      <c r="E18" s="442" t="s">
        <v>802</v>
      </c>
      <c r="F18" s="443"/>
      <c r="G18" s="444"/>
      <c r="H18" s="451" t="s">
        <v>156</v>
      </c>
      <c r="I18" s="451"/>
      <c r="J18" s="451" t="s">
        <v>33</v>
      </c>
      <c r="K18" s="451"/>
      <c r="L18" s="109" t="s">
        <v>32</v>
      </c>
      <c r="M18" s="107"/>
      <c r="N18" s="107"/>
    </row>
    <row r="19" spans="1:14" ht="15" customHeight="1" x14ac:dyDescent="0.25">
      <c r="A19" s="66"/>
      <c r="B19" s="67"/>
      <c r="C19" s="66"/>
      <c r="D19" s="68"/>
      <c r="E19" s="452" t="s">
        <v>165</v>
      </c>
      <c r="F19" s="453"/>
      <c r="G19" s="454"/>
      <c r="H19" s="462" t="s">
        <v>681</v>
      </c>
      <c r="I19" s="463"/>
      <c r="J19" s="449" t="s">
        <v>619</v>
      </c>
      <c r="K19" s="450"/>
      <c r="L19" s="73" t="s">
        <v>403</v>
      </c>
      <c r="M19" s="71" t="str">
        <f>CONCATENATE(E19,LEFT(H19,2),LEFT(J19,2),LEFT(L19,1))</f>
        <v>00000110</v>
      </c>
      <c r="N19" s="72" t="str">
        <f>"0x"&amp;BIN2HEX(M19,2)</f>
        <v>0x06</v>
      </c>
    </row>
    <row r="20" spans="1:14" s="108" customFormat="1" ht="15" customHeight="1" x14ac:dyDescent="0.25">
      <c r="A20" s="103" t="s">
        <v>38</v>
      </c>
      <c r="B20" s="104" t="s">
        <v>182</v>
      </c>
      <c r="C20" s="103" t="s">
        <v>19</v>
      </c>
      <c r="D20" s="105" t="s">
        <v>13</v>
      </c>
      <c r="E20" s="459" t="s">
        <v>36</v>
      </c>
      <c r="F20" s="460"/>
      <c r="G20" s="460"/>
      <c r="H20" s="460"/>
      <c r="I20" s="460"/>
      <c r="J20" s="460"/>
      <c r="K20" s="460"/>
      <c r="L20" s="461"/>
      <c r="M20" s="107"/>
      <c r="N20" s="107"/>
    </row>
    <row r="21" spans="1:14" ht="15" customHeight="1" x14ac:dyDescent="0.25">
      <c r="A21" s="66"/>
      <c r="B21" s="67"/>
      <c r="C21" s="66"/>
      <c r="D21" s="68"/>
      <c r="E21" s="455" t="s">
        <v>214</v>
      </c>
      <c r="F21" s="456"/>
      <c r="G21" s="456"/>
      <c r="H21" s="456"/>
      <c r="I21" s="456"/>
      <c r="J21" s="456"/>
      <c r="K21" s="456"/>
      <c r="L21" s="456"/>
      <c r="M21" s="71" t="str">
        <f>LEFT(E21,8)</f>
        <v>10001000</v>
      </c>
      <c r="N21" s="72" t="str">
        <f>"0x"&amp;BIN2HEX(M21,2)</f>
        <v>0x88</v>
      </c>
    </row>
    <row r="22" spans="1:14" s="108" customFormat="1" ht="15" customHeight="1" x14ac:dyDescent="0.25">
      <c r="A22" s="103" t="s">
        <v>39</v>
      </c>
      <c r="B22" s="104" t="s">
        <v>183</v>
      </c>
      <c r="C22" s="103" t="s">
        <v>19</v>
      </c>
      <c r="D22" s="105" t="s">
        <v>13</v>
      </c>
      <c r="E22" s="102" t="s">
        <v>11</v>
      </c>
      <c r="F22" s="451" t="s">
        <v>157</v>
      </c>
      <c r="G22" s="451"/>
      <c r="H22" s="102" t="s">
        <v>143</v>
      </c>
      <c r="I22" s="451" t="s">
        <v>37</v>
      </c>
      <c r="J22" s="451"/>
      <c r="K22" s="109" t="s">
        <v>162</v>
      </c>
      <c r="L22" s="109" t="s">
        <v>161</v>
      </c>
      <c r="M22" s="107"/>
      <c r="N22" s="107"/>
    </row>
    <row r="23" spans="1:14" ht="15" customHeight="1" x14ac:dyDescent="0.25">
      <c r="A23" s="66"/>
      <c r="B23" s="67"/>
      <c r="C23" s="66"/>
      <c r="D23" s="68"/>
      <c r="E23" s="81">
        <v>0</v>
      </c>
      <c r="F23" s="455" t="s">
        <v>681</v>
      </c>
      <c r="G23" s="457"/>
      <c r="H23" s="373" t="s">
        <v>404</v>
      </c>
      <c r="I23" s="455" t="s">
        <v>218</v>
      </c>
      <c r="J23" s="456"/>
      <c r="K23" s="74" t="s">
        <v>429</v>
      </c>
      <c r="L23" s="74" t="s">
        <v>429</v>
      </c>
      <c r="M23" s="71" t="str">
        <f>CONCATENATE(E23,LEFT(F23,2),LEFT(H23,1),LEFT(I23,2),LEFT(K23,1),LEFT(L23,1))</f>
        <v>00010100</v>
      </c>
      <c r="N23" s="72" t="str">
        <f>"0x"&amp;BIN2HEX(M23,2)</f>
        <v>0x14</v>
      </c>
    </row>
    <row r="24" spans="1:14" s="108" customFormat="1" ht="15" customHeight="1" x14ac:dyDescent="0.25">
      <c r="A24" s="103" t="s">
        <v>42</v>
      </c>
      <c r="B24" s="104" t="s">
        <v>184</v>
      </c>
      <c r="C24" s="103" t="s">
        <v>19</v>
      </c>
      <c r="D24" s="105" t="s">
        <v>13</v>
      </c>
      <c r="E24" s="102" t="s">
        <v>144</v>
      </c>
      <c r="F24" s="451" t="s">
        <v>140</v>
      </c>
      <c r="G24" s="451"/>
      <c r="H24" s="451" t="s">
        <v>40</v>
      </c>
      <c r="I24" s="451"/>
      <c r="J24" s="451"/>
      <c r="K24" s="451"/>
      <c r="L24" s="451"/>
      <c r="M24" s="107"/>
      <c r="N24" s="107"/>
    </row>
    <row r="25" spans="1:14" ht="15" customHeight="1" x14ac:dyDescent="0.25">
      <c r="A25" s="66"/>
      <c r="B25" s="67"/>
      <c r="C25" s="66"/>
      <c r="D25" s="68"/>
      <c r="E25" s="372" t="s">
        <v>404</v>
      </c>
      <c r="F25" s="457" t="s">
        <v>681</v>
      </c>
      <c r="G25" s="457"/>
      <c r="H25" s="456" t="s">
        <v>632</v>
      </c>
      <c r="I25" s="456"/>
      <c r="J25" s="456"/>
      <c r="K25" s="456"/>
      <c r="L25" s="456"/>
      <c r="M25" s="71" t="str">
        <f>CONCATENATE(LEFT(E25,1),LEFT(F25,2),LEFT(H25,5))</f>
        <v>10010101</v>
      </c>
      <c r="N25" s="72" t="str">
        <f>"0x"&amp;BIN2HEX(M25,2)</f>
        <v>0x95</v>
      </c>
    </row>
    <row r="26" spans="1:14" s="108" customFormat="1" ht="15" customHeight="1" x14ac:dyDescent="0.25">
      <c r="A26" s="103" t="s">
        <v>43</v>
      </c>
      <c r="B26" s="104" t="s">
        <v>185</v>
      </c>
      <c r="C26" s="103" t="s">
        <v>19</v>
      </c>
      <c r="D26" s="105" t="s">
        <v>13</v>
      </c>
      <c r="E26" s="451" t="s">
        <v>158</v>
      </c>
      <c r="F26" s="451"/>
      <c r="G26" s="451"/>
      <c r="H26" s="451" t="s">
        <v>159</v>
      </c>
      <c r="I26" s="451"/>
      <c r="J26" s="451"/>
      <c r="K26" s="451" t="s">
        <v>41</v>
      </c>
      <c r="L26" s="451"/>
      <c r="M26" s="107"/>
      <c r="N26" s="107"/>
    </row>
    <row r="27" spans="1:14" ht="15" customHeight="1" x14ac:dyDescent="0.25">
      <c r="A27" s="66"/>
      <c r="B27" s="67"/>
      <c r="C27" s="66"/>
      <c r="D27" s="68"/>
      <c r="E27" s="455" t="s">
        <v>230</v>
      </c>
      <c r="F27" s="456"/>
      <c r="G27" s="456"/>
      <c r="H27" s="456" t="s">
        <v>230</v>
      </c>
      <c r="I27" s="456"/>
      <c r="J27" s="456"/>
      <c r="K27" s="456" t="s">
        <v>619</v>
      </c>
      <c r="L27" s="456"/>
      <c r="M27" s="71" t="str">
        <f>CONCATENATE(LEFT(E27,3),LEFT(H27,3),LEFT(K27,2))</f>
        <v>01101111</v>
      </c>
      <c r="N27" s="72" t="str">
        <f>"0x"&amp;BIN2HEX(M27,2)</f>
        <v>0x6F</v>
      </c>
    </row>
    <row r="28" spans="1:14" s="108" customFormat="1" ht="15.75" x14ac:dyDescent="0.25">
      <c r="A28" s="103" t="s">
        <v>48</v>
      </c>
      <c r="B28" s="104" t="s">
        <v>186</v>
      </c>
      <c r="C28" s="103" t="s">
        <v>19</v>
      </c>
      <c r="D28" s="105" t="s">
        <v>13</v>
      </c>
      <c r="E28" s="109" t="s">
        <v>47</v>
      </c>
      <c r="F28" s="458" t="s">
        <v>45</v>
      </c>
      <c r="G28" s="458"/>
      <c r="H28" s="458"/>
      <c r="I28" s="109" t="s">
        <v>46</v>
      </c>
      <c r="J28" s="451" t="s">
        <v>44</v>
      </c>
      <c r="K28" s="451"/>
      <c r="L28" s="451"/>
      <c r="M28" s="107"/>
      <c r="N28" s="107"/>
    </row>
    <row r="29" spans="1:14" ht="15.75" x14ac:dyDescent="0.25">
      <c r="A29" s="66"/>
      <c r="B29" s="67"/>
      <c r="C29" s="66"/>
      <c r="D29" s="68"/>
      <c r="E29" s="73" t="s">
        <v>634</v>
      </c>
      <c r="F29" s="457" t="s">
        <v>641</v>
      </c>
      <c r="G29" s="457"/>
      <c r="H29" s="457"/>
      <c r="I29" s="73" t="s">
        <v>633</v>
      </c>
      <c r="J29" s="456" t="s">
        <v>639</v>
      </c>
      <c r="K29" s="456"/>
      <c r="L29" s="456"/>
      <c r="M29" s="71" t="str">
        <f>CONCATENATE(LEFT(E29,1),LEFT(F29,3),LEFT(I29,1),LEFT(J29,3))</f>
        <v>11100100</v>
      </c>
      <c r="N29" s="72" t="str">
        <f>"0x"&amp;BIN2HEX(M29,2)</f>
        <v>0xE4</v>
      </c>
    </row>
    <row r="30" spans="1:14" s="108" customFormat="1" ht="15.75" x14ac:dyDescent="0.25">
      <c r="A30" s="103" t="s">
        <v>103</v>
      </c>
      <c r="B30" s="104" t="s">
        <v>187</v>
      </c>
      <c r="C30" s="103" t="s">
        <v>19</v>
      </c>
      <c r="D30" s="105" t="s">
        <v>13</v>
      </c>
      <c r="E30" s="102" t="s">
        <v>11</v>
      </c>
      <c r="F30" s="106" t="s">
        <v>11</v>
      </c>
      <c r="G30" s="451" t="s">
        <v>50</v>
      </c>
      <c r="H30" s="451"/>
      <c r="I30" s="451"/>
      <c r="J30" s="451" t="s">
        <v>49</v>
      </c>
      <c r="K30" s="451"/>
      <c r="L30" s="451"/>
      <c r="M30" s="107"/>
      <c r="N30" s="107"/>
    </row>
    <row r="31" spans="1:14" ht="15.75" x14ac:dyDescent="0.25">
      <c r="A31" s="66"/>
      <c r="B31" s="67"/>
      <c r="C31" s="66"/>
      <c r="D31" s="68"/>
      <c r="E31" s="81">
        <v>0</v>
      </c>
      <c r="F31" s="81">
        <v>0</v>
      </c>
      <c r="G31" s="455" t="s">
        <v>825</v>
      </c>
      <c r="H31" s="456"/>
      <c r="I31" s="456"/>
      <c r="J31" s="456" t="s">
        <v>245</v>
      </c>
      <c r="K31" s="456"/>
      <c r="L31" s="456"/>
      <c r="M31" s="71" t="str">
        <f>CONCATENATE(E31,F31,LEFT(G31,3),LEFT(J31,3))</f>
        <v>00111010</v>
      </c>
      <c r="N31" s="72" t="str">
        <f>"0x"&amp;BIN2HEX(M31,2)</f>
        <v>0x3A</v>
      </c>
    </row>
    <row r="32" spans="1:14" s="108" customFormat="1" ht="15" customHeight="1" x14ac:dyDescent="0.25">
      <c r="A32" s="103" t="s">
        <v>104</v>
      </c>
      <c r="B32" s="104" t="s">
        <v>188</v>
      </c>
      <c r="C32" s="103" t="s">
        <v>19</v>
      </c>
      <c r="D32" s="105" t="s">
        <v>13</v>
      </c>
      <c r="E32" s="102" t="s">
        <v>11</v>
      </c>
      <c r="F32" s="106" t="s">
        <v>11</v>
      </c>
      <c r="G32" s="451" t="s">
        <v>52</v>
      </c>
      <c r="H32" s="451"/>
      <c r="I32" s="451"/>
      <c r="J32" s="451" t="s">
        <v>51</v>
      </c>
      <c r="K32" s="451"/>
      <c r="L32" s="451"/>
      <c r="M32" s="107"/>
      <c r="N32" s="107"/>
    </row>
    <row r="33" spans="1:14" ht="15" customHeight="1" x14ac:dyDescent="0.25">
      <c r="A33" s="66"/>
      <c r="B33" s="67"/>
      <c r="C33" s="66"/>
      <c r="D33" s="68"/>
      <c r="E33" s="81">
        <v>0</v>
      </c>
      <c r="F33" s="81">
        <v>0</v>
      </c>
      <c r="G33" s="455" t="s">
        <v>825</v>
      </c>
      <c r="H33" s="455"/>
      <c r="I33" s="455"/>
      <c r="J33" s="456" t="s">
        <v>825</v>
      </c>
      <c r="K33" s="456"/>
      <c r="L33" s="456"/>
      <c r="M33" s="71" t="str">
        <f>CONCATENATE(E33,F33,LEFT(G33,3),LEFT(J33,3))</f>
        <v>00111111</v>
      </c>
      <c r="N33" s="72" t="str">
        <f>"0x"&amp;BIN2HEX(M33,2)</f>
        <v>0x3F</v>
      </c>
    </row>
    <row r="34" spans="1:14" s="108" customFormat="1" ht="15" customHeight="1" x14ac:dyDescent="0.25">
      <c r="A34" s="103" t="s">
        <v>105</v>
      </c>
      <c r="B34" s="104" t="s">
        <v>189</v>
      </c>
      <c r="C34" s="103" t="s">
        <v>19</v>
      </c>
      <c r="D34" s="105" t="s">
        <v>13</v>
      </c>
      <c r="E34" s="445" t="s">
        <v>805</v>
      </c>
      <c r="F34" s="446"/>
      <c r="G34" s="445" t="s">
        <v>806</v>
      </c>
      <c r="H34" s="446"/>
      <c r="I34" s="239" t="s">
        <v>804</v>
      </c>
      <c r="J34" s="451" t="s">
        <v>53</v>
      </c>
      <c r="K34" s="451"/>
      <c r="L34" s="451"/>
      <c r="M34" s="107"/>
      <c r="N34" s="107"/>
    </row>
    <row r="35" spans="1:14" ht="15" customHeight="1" x14ac:dyDescent="0.25">
      <c r="A35" s="66"/>
      <c r="B35" s="67"/>
      <c r="C35" s="66"/>
      <c r="D35" s="68"/>
      <c r="E35" s="447" t="s">
        <v>813</v>
      </c>
      <c r="F35" s="448"/>
      <c r="G35" s="449" t="s">
        <v>876</v>
      </c>
      <c r="H35" s="450"/>
      <c r="I35" s="292" t="s">
        <v>672</v>
      </c>
      <c r="J35" s="456" t="s">
        <v>245</v>
      </c>
      <c r="K35" s="456"/>
      <c r="L35" s="456"/>
      <c r="M35" s="71" t="str">
        <f>CONCATENATE(,LEFT(E35,2),LEFT(G35,2),,LEFT(I35,1),LEFT(J35,3))</f>
        <v>00000010</v>
      </c>
      <c r="N35" s="72" t="str">
        <f>"0x"&amp;BIN2HEX(M35,2)</f>
        <v>0x02</v>
      </c>
    </row>
    <row r="36" spans="1:14" s="108" customFormat="1" ht="15.75" x14ac:dyDescent="0.25">
      <c r="A36" s="103" t="s">
        <v>106</v>
      </c>
      <c r="B36" s="104" t="s">
        <v>190</v>
      </c>
      <c r="C36" s="103" t="s">
        <v>19</v>
      </c>
      <c r="D36" s="105" t="s">
        <v>13</v>
      </c>
      <c r="E36" s="102" t="s">
        <v>11</v>
      </c>
      <c r="F36" s="106" t="s">
        <v>11</v>
      </c>
      <c r="G36" s="451" t="s">
        <v>55</v>
      </c>
      <c r="H36" s="451"/>
      <c r="I36" s="451"/>
      <c r="J36" s="451" t="s">
        <v>54</v>
      </c>
      <c r="K36" s="451"/>
      <c r="L36" s="451"/>
      <c r="M36" s="107"/>
      <c r="N36" s="107"/>
    </row>
    <row r="37" spans="1:14" ht="15.75" x14ac:dyDescent="0.25">
      <c r="A37" s="66"/>
      <c r="B37" s="67"/>
      <c r="C37" s="66"/>
      <c r="D37" s="68"/>
      <c r="E37" s="81">
        <v>0</v>
      </c>
      <c r="F37" s="81">
        <v>0</v>
      </c>
      <c r="G37" s="456" t="s">
        <v>568</v>
      </c>
      <c r="H37" s="456"/>
      <c r="I37" s="456"/>
      <c r="J37" s="456" t="s">
        <v>647</v>
      </c>
      <c r="K37" s="456"/>
      <c r="L37" s="456"/>
      <c r="M37" s="71" t="str">
        <f>CONCATENATE(E37,F37,LEFT(G37,3),LEFT(J37,3))</f>
        <v>00000100</v>
      </c>
      <c r="N37" s="72" t="str">
        <f>"0x"&amp;BIN2HEX(M37,2)</f>
        <v>0x04</v>
      </c>
    </row>
    <row r="38" spans="1:14" s="108" customFormat="1" ht="15.75" x14ac:dyDescent="0.25">
      <c r="A38" s="103" t="s">
        <v>107</v>
      </c>
      <c r="B38" s="104" t="s">
        <v>191</v>
      </c>
      <c r="C38" s="103" t="s">
        <v>19</v>
      </c>
      <c r="D38" s="105" t="s">
        <v>13</v>
      </c>
      <c r="E38" s="102" t="s">
        <v>11</v>
      </c>
      <c r="F38" s="106" t="s">
        <v>11</v>
      </c>
      <c r="G38" s="451" t="s">
        <v>57</v>
      </c>
      <c r="H38" s="451"/>
      <c r="I38" s="451"/>
      <c r="J38" s="451" t="s">
        <v>56</v>
      </c>
      <c r="K38" s="451"/>
      <c r="L38" s="451"/>
      <c r="M38" s="107"/>
      <c r="N38" s="107"/>
    </row>
    <row r="39" spans="1:14" ht="15.75" x14ac:dyDescent="0.25">
      <c r="A39" s="66"/>
      <c r="B39" s="67"/>
      <c r="C39" s="66"/>
      <c r="D39" s="68"/>
      <c r="E39" s="81">
        <v>0</v>
      </c>
      <c r="F39" s="81">
        <v>0</v>
      </c>
      <c r="G39" s="455" t="s">
        <v>568</v>
      </c>
      <c r="H39" s="456"/>
      <c r="I39" s="456"/>
      <c r="J39" s="456" t="s">
        <v>568</v>
      </c>
      <c r="K39" s="456"/>
      <c r="L39" s="456"/>
      <c r="M39" s="71" t="str">
        <f>CONCATENATE(E39,F39,LEFT(G39,3),LEFT(J39,3))</f>
        <v>00000000</v>
      </c>
      <c r="N39" s="72" t="str">
        <f>"0x"&amp;BIN2HEX(M39,2)</f>
        <v>0x00</v>
      </c>
    </row>
    <row r="40" spans="1:14" s="108" customFormat="1" ht="15.75" x14ac:dyDescent="0.25">
      <c r="A40" s="103" t="s">
        <v>108</v>
      </c>
      <c r="B40" s="104" t="s">
        <v>192</v>
      </c>
      <c r="C40" s="103" t="s">
        <v>19</v>
      </c>
      <c r="D40" s="105" t="s">
        <v>13</v>
      </c>
      <c r="E40" s="102" t="s">
        <v>11</v>
      </c>
      <c r="F40" s="106" t="s">
        <v>11</v>
      </c>
      <c r="G40" s="451" t="s">
        <v>59</v>
      </c>
      <c r="H40" s="451"/>
      <c r="I40" s="451"/>
      <c r="J40" s="451" t="s">
        <v>58</v>
      </c>
      <c r="K40" s="451"/>
      <c r="L40" s="451"/>
      <c r="M40" s="107"/>
      <c r="N40" s="107"/>
    </row>
    <row r="41" spans="1:14" ht="15.75" x14ac:dyDescent="0.25">
      <c r="A41" s="66"/>
      <c r="B41" s="67"/>
      <c r="C41" s="66"/>
      <c r="D41" s="68"/>
      <c r="E41" s="81">
        <v>0</v>
      </c>
      <c r="F41" s="81">
        <v>0</v>
      </c>
      <c r="G41" s="456" t="s">
        <v>568</v>
      </c>
      <c r="H41" s="456"/>
      <c r="I41" s="456"/>
      <c r="J41" s="455" t="s">
        <v>257</v>
      </c>
      <c r="K41" s="456"/>
      <c r="L41" s="456"/>
      <c r="M41" s="71" t="str">
        <f>CONCATENATE(E41,F41,LEFT(G41,3),LEFT(J41,3))</f>
        <v>00000010</v>
      </c>
      <c r="N41" s="72" t="str">
        <f>"0x"&amp;BIN2HEX(M41,2)</f>
        <v>0x02</v>
      </c>
    </row>
    <row r="42" spans="1:14" s="108" customFormat="1" ht="15.75" x14ac:dyDescent="0.25">
      <c r="A42" s="103" t="s">
        <v>109</v>
      </c>
      <c r="B42" s="104" t="s">
        <v>193</v>
      </c>
      <c r="C42" s="103" t="s">
        <v>19</v>
      </c>
      <c r="D42" s="105" t="s">
        <v>13</v>
      </c>
      <c r="E42" s="109" t="s">
        <v>66</v>
      </c>
      <c r="F42" s="109" t="s">
        <v>65</v>
      </c>
      <c r="G42" s="109" t="s">
        <v>64</v>
      </c>
      <c r="H42" s="109" t="s">
        <v>63</v>
      </c>
      <c r="I42" s="109" t="s">
        <v>62</v>
      </c>
      <c r="J42" s="109" t="s">
        <v>61</v>
      </c>
      <c r="K42" s="451" t="s">
        <v>60</v>
      </c>
      <c r="L42" s="451"/>
      <c r="M42" s="107"/>
      <c r="N42" s="107"/>
    </row>
    <row r="43" spans="1:14" ht="15.75" x14ac:dyDescent="0.25">
      <c r="A43" s="66"/>
      <c r="B43" s="67"/>
      <c r="C43" s="66"/>
      <c r="D43" s="68"/>
      <c r="E43" s="73" t="s">
        <v>442</v>
      </c>
      <c r="F43" s="73" t="s">
        <v>442</v>
      </c>
      <c r="G43" s="73" t="s">
        <v>442</v>
      </c>
      <c r="H43" s="73" t="s">
        <v>442</v>
      </c>
      <c r="I43" s="73" t="s">
        <v>442</v>
      </c>
      <c r="J43" s="94" t="s">
        <v>403</v>
      </c>
      <c r="K43" s="456" t="s">
        <v>653</v>
      </c>
      <c r="L43" s="456"/>
      <c r="M43" s="71" t="str">
        <f>CONCATENATE(LEFT(E43,1),LEFT(F43,1),LEFT(G43,1),LEFT(H43,1),LEFT(I43,1),LEFT(J43,1),LEFT(K43,2))</f>
        <v>00000010</v>
      </c>
      <c r="N43" s="72" t="str">
        <f>"0x"&amp;BIN2HEX(M43,2)</f>
        <v>0x02</v>
      </c>
    </row>
    <row r="44" spans="1:14" s="108" customFormat="1" ht="15.75" x14ac:dyDescent="0.25">
      <c r="A44" s="103" t="s">
        <v>110</v>
      </c>
      <c r="B44" s="104" t="s">
        <v>194</v>
      </c>
      <c r="C44" s="103" t="s">
        <v>19</v>
      </c>
      <c r="D44" s="105" t="s">
        <v>13</v>
      </c>
      <c r="E44" s="102" t="s">
        <v>11</v>
      </c>
      <c r="F44" s="106" t="s">
        <v>11</v>
      </c>
      <c r="G44" s="451" t="s">
        <v>67</v>
      </c>
      <c r="H44" s="451"/>
      <c r="I44" s="451"/>
      <c r="J44" s="451"/>
      <c r="K44" s="451"/>
      <c r="L44" s="451"/>
      <c r="M44" s="107"/>
      <c r="N44" s="107"/>
    </row>
    <row r="45" spans="1:14" ht="15.75" customHeight="1" x14ac:dyDescent="0.25">
      <c r="A45" s="66"/>
      <c r="B45" s="67"/>
      <c r="C45" s="66"/>
      <c r="D45" s="68"/>
      <c r="E45" s="81">
        <v>0</v>
      </c>
      <c r="F45" s="81">
        <v>0</v>
      </c>
      <c r="G45" s="93" t="s">
        <v>472</v>
      </c>
      <c r="H45" s="93" t="s">
        <v>471</v>
      </c>
      <c r="I45" s="373" t="s">
        <v>469</v>
      </c>
      <c r="J45" s="93" t="s">
        <v>466</v>
      </c>
      <c r="K45" s="93" t="s">
        <v>465</v>
      </c>
      <c r="L45" s="93" t="s">
        <v>462</v>
      </c>
      <c r="M45" s="71" t="str">
        <f>CONCATENATE(E45,F45,LEFT(G45,1),LEFT(H45,1),LEFT(I45,1),LEFT(J45,1),LEFT(K45,1),LEFT(L45,1))</f>
        <v>00000000</v>
      </c>
      <c r="N45" s="72" t="str">
        <f>"0x"&amp;BIN2HEX(M45,2)</f>
        <v>0x00</v>
      </c>
    </row>
    <row r="46" spans="1:14" s="108" customFormat="1" ht="15.75" x14ac:dyDescent="0.25">
      <c r="A46" s="103" t="s">
        <v>111</v>
      </c>
      <c r="B46" s="104" t="s">
        <v>195</v>
      </c>
      <c r="C46" s="103" t="s">
        <v>19</v>
      </c>
      <c r="D46" s="105" t="s">
        <v>13</v>
      </c>
      <c r="E46" s="442" t="s">
        <v>803</v>
      </c>
      <c r="F46" s="443"/>
      <c r="G46" s="444"/>
      <c r="H46" s="109" t="s">
        <v>71</v>
      </c>
      <c r="I46" s="109" t="s">
        <v>70</v>
      </c>
      <c r="J46" s="109" t="s">
        <v>278</v>
      </c>
      <c r="K46" s="109" t="s">
        <v>69</v>
      </c>
      <c r="L46" s="109" t="s">
        <v>68</v>
      </c>
      <c r="M46" s="107"/>
      <c r="N46" s="107"/>
    </row>
    <row r="47" spans="1:14" ht="15.75" x14ac:dyDescent="0.25">
      <c r="A47" s="66"/>
      <c r="B47" s="67"/>
      <c r="C47" s="66"/>
      <c r="D47" s="68"/>
      <c r="E47" s="452" t="s">
        <v>165</v>
      </c>
      <c r="F47" s="453"/>
      <c r="G47" s="454"/>
      <c r="H47" s="94" t="s">
        <v>672</v>
      </c>
      <c r="I47" s="73" t="s">
        <v>403</v>
      </c>
      <c r="J47" s="73" t="s">
        <v>403</v>
      </c>
      <c r="K47" s="73" t="s">
        <v>330</v>
      </c>
      <c r="L47" s="73" t="s">
        <v>403</v>
      </c>
      <c r="M47" s="71" t="str">
        <f>CONCATENATE(E47,LEFT(H47,1),LEFT(I47,1),LEFT(J47,1),LEFT(K47,1),LEFT(L47,1))</f>
        <v>00000000</v>
      </c>
      <c r="N47" s="72" t="str">
        <f>"0x"&amp;BIN2HEX(M47,2)</f>
        <v>0x00</v>
      </c>
    </row>
    <row r="48" spans="1:14" s="108" customFormat="1" ht="15.75" x14ac:dyDescent="0.25">
      <c r="A48" s="103" t="s">
        <v>113</v>
      </c>
      <c r="B48" s="104" t="s">
        <v>196</v>
      </c>
      <c r="C48" s="103" t="s">
        <v>19</v>
      </c>
      <c r="D48" s="105" t="s">
        <v>13</v>
      </c>
      <c r="E48" s="451" t="s">
        <v>160</v>
      </c>
      <c r="F48" s="451"/>
      <c r="G48" s="451"/>
      <c r="H48" s="451"/>
      <c r="I48" s="451"/>
      <c r="J48" s="451"/>
      <c r="K48" s="451"/>
      <c r="L48" s="109" t="s">
        <v>112</v>
      </c>
      <c r="M48" s="107"/>
      <c r="N48" s="107"/>
    </row>
    <row r="49" spans="1:14" ht="15.75" x14ac:dyDescent="0.25">
      <c r="A49" s="66"/>
      <c r="B49" s="67"/>
      <c r="C49" s="66"/>
      <c r="D49" s="68"/>
      <c r="E49" s="466" t="s">
        <v>167</v>
      </c>
      <c r="F49" s="464"/>
      <c r="G49" s="464"/>
      <c r="H49" s="464"/>
      <c r="I49" s="464"/>
      <c r="J49" s="464"/>
      <c r="K49" s="464"/>
      <c r="L49" s="73" t="s">
        <v>656</v>
      </c>
      <c r="M49" s="71" t="str">
        <f>CONCATENATE(E49,LEFT(L49,1))</f>
        <v>00000000</v>
      </c>
      <c r="N49" s="72" t="str">
        <f>"0x"&amp;BIN2HEX(M49,2)</f>
        <v>0x00</v>
      </c>
    </row>
    <row r="50" spans="1:14" s="108" customFormat="1" ht="15.75" x14ac:dyDescent="0.25">
      <c r="A50" s="103" t="s">
        <v>114</v>
      </c>
      <c r="B50" s="104" t="s">
        <v>197</v>
      </c>
      <c r="C50" s="103" t="s">
        <v>19</v>
      </c>
      <c r="D50" s="105" t="s">
        <v>13</v>
      </c>
      <c r="E50" s="102" t="s">
        <v>11</v>
      </c>
      <c r="F50" s="106" t="s">
        <v>11</v>
      </c>
      <c r="G50" s="102" t="s">
        <v>11</v>
      </c>
      <c r="H50" s="102" t="s">
        <v>11</v>
      </c>
      <c r="I50" s="451" t="s">
        <v>561</v>
      </c>
      <c r="J50" s="451"/>
      <c r="K50" s="451"/>
      <c r="L50" s="451"/>
      <c r="M50" s="107"/>
      <c r="N50" s="107"/>
    </row>
    <row r="51" spans="1:14" ht="15.75" x14ac:dyDescent="0.25">
      <c r="A51" s="66"/>
      <c r="B51" s="67"/>
      <c r="C51" s="66"/>
      <c r="D51" s="68"/>
      <c r="E51" s="81">
        <v>0</v>
      </c>
      <c r="F51" s="81">
        <v>0</v>
      </c>
      <c r="G51" s="81">
        <v>0</v>
      </c>
      <c r="H51" s="81">
        <v>0</v>
      </c>
      <c r="I51" s="455" t="s">
        <v>280</v>
      </c>
      <c r="J51" s="455"/>
      <c r="K51" s="455"/>
      <c r="L51" s="455"/>
      <c r="M51" s="71" t="str">
        <f>CONCATENATE(E51,F51,G51,H51,LEFT(I51,4))</f>
        <v>00000000</v>
      </c>
      <c r="N51" s="72" t="str">
        <f>"0x"&amp;BIN2HEX(M51,2)</f>
        <v>0x00</v>
      </c>
    </row>
    <row r="52" spans="1:14" s="108" customFormat="1" ht="15.75" x14ac:dyDescent="0.25">
      <c r="A52" s="103" t="s">
        <v>116</v>
      </c>
      <c r="B52" s="104" t="s">
        <v>198</v>
      </c>
      <c r="C52" s="103" t="s">
        <v>19</v>
      </c>
      <c r="D52" s="105" t="s">
        <v>13</v>
      </c>
      <c r="E52" s="102" t="s">
        <v>11</v>
      </c>
      <c r="F52" s="106" t="s">
        <v>11</v>
      </c>
      <c r="G52" s="102" t="s">
        <v>11</v>
      </c>
      <c r="H52" s="102" t="s">
        <v>11</v>
      </c>
      <c r="I52" s="102" t="s">
        <v>11</v>
      </c>
      <c r="J52" s="451" t="s">
        <v>115</v>
      </c>
      <c r="K52" s="451"/>
      <c r="L52" s="451"/>
      <c r="M52" s="107"/>
      <c r="N52" s="107"/>
    </row>
    <row r="53" spans="1:14" ht="15.75" x14ac:dyDescent="0.25">
      <c r="A53" s="66"/>
      <c r="B53" s="67"/>
      <c r="C53" s="66"/>
      <c r="D53" s="68"/>
      <c r="E53" s="81">
        <v>0</v>
      </c>
      <c r="F53" s="81">
        <v>0</v>
      </c>
      <c r="G53" s="81">
        <v>0</v>
      </c>
      <c r="H53" s="81">
        <v>0</v>
      </c>
      <c r="I53" s="81">
        <v>0</v>
      </c>
      <c r="J53" s="456" t="s">
        <v>323</v>
      </c>
      <c r="K53" s="456"/>
      <c r="L53" s="456"/>
      <c r="M53" s="71" t="str">
        <f>CONCATENATE(E53,F53,G53,H53,I53,LEFT(J53,3))</f>
        <v>00000001</v>
      </c>
      <c r="N53" s="72" t="str">
        <f>"0x"&amp;BIN2HEX(M53,2)</f>
        <v>0x01</v>
      </c>
    </row>
    <row r="54" spans="1:14" s="108" customFormat="1" ht="15.75" x14ac:dyDescent="0.25">
      <c r="A54" s="110" t="s">
        <v>147</v>
      </c>
      <c r="B54" s="104" t="s">
        <v>199</v>
      </c>
      <c r="C54" s="103" t="s">
        <v>19</v>
      </c>
      <c r="D54" s="105" t="s">
        <v>13</v>
      </c>
      <c r="E54" s="451" t="s">
        <v>146</v>
      </c>
      <c r="F54" s="451"/>
      <c r="G54" s="451"/>
      <c r="H54" s="451"/>
      <c r="I54" s="451"/>
      <c r="J54" s="451"/>
      <c r="K54" s="451"/>
      <c r="L54" s="451"/>
      <c r="M54" s="107"/>
      <c r="N54" s="107"/>
    </row>
    <row r="55" spans="1:14" ht="15.75" x14ac:dyDescent="0.25">
      <c r="A55" s="75"/>
      <c r="B55" s="67"/>
      <c r="C55" s="66"/>
      <c r="D55" s="68"/>
      <c r="E55" s="467" t="s">
        <v>427</v>
      </c>
      <c r="F55" s="468"/>
      <c r="G55" s="468"/>
      <c r="H55" s="468"/>
      <c r="I55" s="468"/>
      <c r="J55" s="468"/>
      <c r="K55" s="468"/>
      <c r="L55" s="468"/>
      <c r="M55" s="71" t="str">
        <f>E55</f>
        <v>00000001</v>
      </c>
      <c r="N55" s="72" t="str">
        <f>"0x"&amp;BIN2HEX(M55,2)</f>
        <v>0x01</v>
      </c>
    </row>
    <row r="56" spans="1:14" s="108" customFormat="1" ht="15.75" x14ac:dyDescent="0.25">
      <c r="A56" s="110" t="s">
        <v>148</v>
      </c>
      <c r="B56" s="104" t="s">
        <v>200</v>
      </c>
      <c r="C56" s="103" t="s">
        <v>19</v>
      </c>
      <c r="D56" s="105" t="s">
        <v>13</v>
      </c>
      <c r="E56" s="451" t="s">
        <v>150</v>
      </c>
      <c r="F56" s="451"/>
      <c r="G56" s="451"/>
      <c r="H56" s="451"/>
      <c r="I56" s="451"/>
      <c r="J56" s="451"/>
      <c r="K56" s="451"/>
      <c r="L56" s="451"/>
      <c r="M56" s="107"/>
      <c r="N56" s="107"/>
    </row>
    <row r="57" spans="1:14" ht="15.75" x14ac:dyDescent="0.25">
      <c r="A57" s="75"/>
      <c r="B57" s="67"/>
      <c r="C57" s="66"/>
      <c r="D57" s="68"/>
      <c r="E57" s="464" t="s">
        <v>441</v>
      </c>
      <c r="F57" s="464"/>
      <c r="G57" s="464"/>
      <c r="H57" s="464"/>
      <c r="I57" s="464"/>
      <c r="J57" s="464"/>
      <c r="K57" s="464"/>
      <c r="L57" s="464"/>
      <c r="M57" s="76" t="s">
        <v>440</v>
      </c>
      <c r="N57" s="71" t="str">
        <f>"0x"&amp;BIN2HEX(M57,2)</f>
        <v>0x00</v>
      </c>
    </row>
    <row r="58" spans="1:14" s="108" customFormat="1" ht="15.75" x14ac:dyDescent="0.25">
      <c r="A58" s="110" t="s">
        <v>149</v>
      </c>
      <c r="B58" s="104" t="s">
        <v>201</v>
      </c>
      <c r="C58" s="103" t="s">
        <v>19</v>
      </c>
      <c r="D58" s="105" t="s">
        <v>13</v>
      </c>
      <c r="E58" s="451" t="s">
        <v>151</v>
      </c>
      <c r="F58" s="451"/>
      <c r="G58" s="451"/>
      <c r="H58" s="451"/>
      <c r="I58" s="451"/>
      <c r="J58" s="451"/>
      <c r="K58" s="451"/>
      <c r="L58" s="451"/>
      <c r="M58" s="107"/>
      <c r="N58" s="107"/>
    </row>
    <row r="59" spans="1:14" ht="15.75" x14ac:dyDescent="0.25">
      <c r="A59" s="75"/>
      <c r="B59" s="67"/>
      <c r="C59" s="66"/>
      <c r="D59" s="68"/>
      <c r="E59" s="464" t="s">
        <v>441</v>
      </c>
      <c r="F59" s="464"/>
      <c r="G59" s="464"/>
      <c r="H59" s="464"/>
      <c r="I59" s="464"/>
      <c r="J59" s="464"/>
      <c r="K59" s="464"/>
      <c r="L59" s="464"/>
      <c r="M59" s="76" t="s">
        <v>440</v>
      </c>
      <c r="N59" s="71" t="str">
        <f>"0x"&amp;BIN2HEX(M59,2)</f>
        <v>0x00</v>
      </c>
    </row>
  </sheetData>
  <sheetProtection algorithmName="SHA-512" hashValue="OgxAGt4GBnaCzi/j7gJwLXGrftRD3FAiAP+yf1df17hLWDo636F5etT8vQDm++m9qwIms37NmsGJrIS2L3D5dw==" saltValue="VG+yOohfaZVH/ujzP2ZAEQ==" spinCount="100000" sheet="1" objects="1" scenarios="1"/>
  <dataConsolidate/>
  <mergeCells count="98">
    <mergeCell ref="E57:L57"/>
    <mergeCell ref="E59:L59"/>
    <mergeCell ref="A2:N2"/>
    <mergeCell ref="E49:K49"/>
    <mergeCell ref="I51:L51"/>
    <mergeCell ref="J53:L53"/>
    <mergeCell ref="E55:L55"/>
    <mergeCell ref="G39:I39"/>
    <mergeCell ref="J39:L39"/>
    <mergeCell ref="G41:I41"/>
    <mergeCell ref="J41:L41"/>
    <mergeCell ref="K43:L43"/>
    <mergeCell ref="G33:I33"/>
    <mergeCell ref="J33:L33"/>
    <mergeCell ref="J35:L35"/>
    <mergeCell ref="G37:I37"/>
    <mergeCell ref="J32:L32"/>
    <mergeCell ref="G32:I32"/>
    <mergeCell ref="G31:I31"/>
    <mergeCell ref="J31:L31"/>
    <mergeCell ref="J34:L34"/>
    <mergeCell ref="I11:L11"/>
    <mergeCell ref="F13:G13"/>
    <mergeCell ref="H13:L13"/>
    <mergeCell ref="E15:F15"/>
    <mergeCell ref="G15:H15"/>
    <mergeCell ref="I15:J15"/>
    <mergeCell ref="K15:L15"/>
    <mergeCell ref="G5:L5"/>
    <mergeCell ref="G7:L7"/>
    <mergeCell ref="E9:F9"/>
    <mergeCell ref="G9:H9"/>
    <mergeCell ref="I9:J9"/>
    <mergeCell ref="K9:L9"/>
    <mergeCell ref="E58:L58"/>
    <mergeCell ref="G4:L4"/>
    <mergeCell ref="G6:L6"/>
    <mergeCell ref="K8:L8"/>
    <mergeCell ref="I8:J8"/>
    <mergeCell ref="G8:H8"/>
    <mergeCell ref="E8:F8"/>
    <mergeCell ref="I10:L10"/>
    <mergeCell ref="K14:L14"/>
    <mergeCell ref="I14:J14"/>
    <mergeCell ref="G14:H14"/>
    <mergeCell ref="H12:L12"/>
    <mergeCell ref="F12:G12"/>
    <mergeCell ref="E14:F14"/>
    <mergeCell ref="E16:L16"/>
    <mergeCell ref="H18:I18"/>
    <mergeCell ref="E56:L56"/>
    <mergeCell ref="J52:L52"/>
    <mergeCell ref="J40:L40"/>
    <mergeCell ref="G40:I40"/>
    <mergeCell ref="K42:L42"/>
    <mergeCell ref="G44:L44"/>
    <mergeCell ref="I50:L50"/>
    <mergeCell ref="E47:G47"/>
    <mergeCell ref="E48:K48"/>
    <mergeCell ref="E54:L54"/>
    <mergeCell ref="J18:K18"/>
    <mergeCell ref="E17:L17"/>
    <mergeCell ref="E20:L20"/>
    <mergeCell ref="H24:L24"/>
    <mergeCell ref="K26:L26"/>
    <mergeCell ref="F24:G24"/>
    <mergeCell ref="H26:J26"/>
    <mergeCell ref="E26:G26"/>
    <mergeCell ref="F22:G22"/>
    <mergeCell ref="I22:J22"/>
    <mergeCell ref="F25:G25"/>
    <mergeCell ref="H25:L25"/>
    <mergeCell ref="H19:I19"/>
    <mergeCell ref="J19:K19"/>
    <mergeCell ref="E21:L21"/>
    <mergeCell ref="F23:G23"/>
    <mergeCell ref="J36:L36"/>
    <mergeCell ref="G36:I36"/>
    <mergeCell ref="J38:L38"/>
    <mergeCell ref="G38:I38"/>
    <mergeCell ref="E19:G19"/>
    <mergeCell ref="I23:J23"/>
    <mergeCell ref="J37:L37"/>
    <mergeCell ref="E27:G27"/>
    <mergeCell ref="H27:J27"/>
    <mergeCell ref="K27:L27"/>
    <mergeCell ref="F29:H29"/>
    <mergeCell ref="J29:L29"/>
    <mergeCell ref="J28:L28"/>
    <mergeCell ref="F28:H28"/>
    <mergeCell ref="J30:L30"/>
    <mergeCell ref="G30:I30"/>
    <mergeCell ref="E18:G18"/>
    <mergeCell ref="E46:G46"/>
    <mergeCell ref="E34:F34"/>
    <mergeCell ref="G34:H34"/>
    <mergeCell ref="E35:F35"/>
    <mergeCell ref="G35:H35"/>
  </mergeCells>
  <conditionalFormatting sqref="G6 K8 G8 E8 K14 I14 E14 H46:K46 E28:F28 I28:J28 G30 J30 G44 I50 J52 G14 E12:F12 E54 I8 E20 E24 K26 H24 E48 I10 E16 H26 J32 G32 J34 E56">
    <cfRule type="expression" dxfId="129" priority="290">
      <formula>E6 = "-"</formula>
    </cfRule>
  </conditionalFormatting>
  <conditionalFormatting sqref="J36">
    <cfRule type="expression" dxfId="128" priority="71">
      <formula>J36 = "-"</formula>
    </cfRule>
  </conditionalFormatting>
  <conditionalFormatting sqref="G36">
    <cfRule type="expression" dxfId="127" priority="70">
      <formula>G36 = "-"</formula>
    </cfRule>
  </conditionalFormatting>
  <conditionalFormatting sqref="J38">
    <cfRule type="expression" dxfId="126" priority="69">
      <formula>J38 = "-"</formula>
    </cfRule>
  </conditionalFormatting>
  <conditionalFormatting sqref="G38">
    <cfRule type="expression" dxfId="125" priority="68">
      <formula>G38 = "-"</formula>
    </cfRule>
  </conditionalFormatting>
  <conditionalFormatting sqref="J40">
    <cfRule type="expression" dxfId="124" priority="67">
      <formula>J40 = "-"</formula>
    </cfRule>
  </conditionalFormatting>
  <conditionalFormatting sqref="G40">
    <cfRule type="expression" dxfId="123" priority="66">
      <formula>G40 = "-"</formula>
    </cfRule>
  </conditionalFormatting>
  <conditionalFormatting sqref="K42">
    <cfRule type="expression" dxfId="122" priority="65">
      <formula>K42 = "-"</formula>
    </cfRule>
  </conditionalFormatting>
  <conditionalFormatting sqref="E58">
    <cfRule type="expression" dxfId="121" priority="64">
      <formula>E58 = "-"</formula>
    </cfRule>
  </conditionalFormatting>
  <conditionalFormatting sqref="E26">
    <cfRule type="expression" dxfId="120" priority="63">
      <formula>E26 = "-"</formula>
    </cfRule>
  </conditionalFormatting>
  <conditionalFormatting sqref="E34">
    <cfRule type="expression" dxfId="119" priority="62">
      <formula>E34 = "-"</formula>
    </cfRule>
  </conditionalFormatting>
  <conditionalFormatting sqref="J18">
    <cfRule type="expression" dxfId="118" priority="61">
      <formula>J18 = "-"</formula>
    </cfRule>
  </conditionalFormatting>
  <conditionalFormatting sqref="H22">
    <cfRule type="expression" dxfId="117" priority="59">
      <formula>H22 = "-"</formula>
    </cfRule>
  </conditionalFormatting>
  <conditionalFormatting sqref="I22">
    <cfRule type="expression" dxfId="116" priority="58">
      <formula>I22 = "-"</formula>
    </cfRule>
  </conditionalFormatting>
  <conditionalFormatting sqref="K22">
    <cfRule type="expression" dxfId="115" priority="56">
      <formula>K22 = "-"</formula>
    </cfRule>
  </conditionalFormatting>
  <conditionalFormatting sqref="H10">
    <cfRule type="expression" dxfId="114" priority="55">
      <formula>H10 = "-"</formula>
    </cfRule>
  </conditionalFormatting>
  <conditionalFormatting sqref="G4">
    <cfRule type="expression" dxfId="113" priority="54">
      <formula>G4 = "-"</formula>
    </cfRule>
  </conditionalFormatting>
  <conditionalFormatting sqref="E5:F5">
    <cfRule type="expression" dxfId="112" priority="53">
      <formula>E5 = "-"</formula>
    </cfRule>
  </conditionalFormatting>
  <conditionalFormatting sqref="G5">
    <cfRule type="expression" dxfId="111" priority="52">
      <formula>G5 = "-"</formula>
    </cfRule>
  </conditionalFormatting>
  <conditionalFormatting sqref="E7:G7">
    <cfRule type="expression" dxfId="110" priority="51">
      <formula>E7 = "-"</formula>
    </cfRule>
  </conditionalFormatting>
  <conditionalFormatting sqref="K9 G9 E9 I9">
    <cfRule type="expression" dxfId="109" priority="50">
      <formula>E9 = "-"</formula>
    </cfRule>
  </conditionalFormatting>
  <conditionalFormatting sqref="I11 E11">
    <cfRule type="expression" dxfId="108" priority="49">
      <formula>E11 = "-"</formula>
    </cfRule>
  </conditionalFormatting>
  <conditionalFormatting sqref="H11">
    <cfRule type="expression" dxfId="107" priority="48">
      <formula>H11 = "-"</formula>
    </cfRule>
  </conditionalFormatting>
  <conditionalFormatting sqref="E13:F13">
    <cfRule type="expression" dxfId="106" priority="47">
      <formula>E13 = "-"</formula>
    </cfRule>
  </conditionalFormatting>
  <conditionalFormatting sqref="K15 I15 E15 G15">
    <cfRule type="expression" dxfId="105" priority="46">
      <formula>E15 = "-"</formula>
    </cfRule>
  </conditionalFormatting>
  <conditionalFormatting sqref="E17">
    <cfRule type="expression" dxfId="104" priority="45">
      <formula>E17 = "-"</formula>
    </cfRule>
  </conditionalFormatting>
  <conditionalFormatting sqref="J19">
    <cfRule type="expression" dxfId="103" priority="44">
      <formula>J19 = "-"</formula>
    </cfRule>
  </conditionalFormatting>
  <conditionalFormatting sqref="E19">
    <cfRule type="expression" dxfId="102" priority="43">
      <formula>E19 = "-"</formula>
    </cfRule>
  </conditionalFormatting>
  <conditionalFormatting sqref="E21">
    <cfRule type="expression" dxfId="101" priority="42">
      <formula>E21 = "-"</formula>
    </cfRule>
  </conditionalFormatting>
  <conditionalFormatting sqref="H23">
    <cfRule type="expression" dxfId="100" priority="41">
      <formula>H23 = "-"</formula>
    </cfRule>
  </conditionalFormatting>
  <conditionalFormatting sqref="I23">
    <cfRule type="expression" dxfId="99" priority="40">
      <formula>I23 = "-"</formula>
    </cfRule>
  </conditionalFormatting>
  <conditionalFormatting sqref="E23">
    <cfRule type="expression" dxfId="98" priority="39">
      <formula>E23 = "-"</formula>
    </cfRule>
  </conditionalFormatting>
  <conditionalFormatting sqref="K23">
    <cfRule type="expression" dxfId="97" priority="38">
      <formula>K23 = "-"</formula>
    </cfRule>
  </conditionalFormatting>
  <conditionalFormatting sqref="E25 H25">
    <cfRule type="expression" dxfId="96" priority="37">
      <formula>E25 = "-"</formula>
    </cfRule>
  </conditionalFormatting>
  <conditionalFormatting sqref="K27 H27">
    <cfRule type="expression" dxfId="95" priority="36">
      <formula>H27 = "-"</formula>
    </cfRule>
  </conditionalFormatting>
  <conditionalFormatting sqref="E27">
    <cfRule type="expression" dxfId="94" priority="35">
      <formula>E27 = "-"</formula>
    </cfRule>
  </conditionalFormatting>
  <conditionalFormatting sqref="E29:F29 I29:J29">
    <cfRule type="expression" dxfId="93" priority="34">
      <formula>E29 = "-"</formula>
    </cfRule>
  </conditionalFormatting>
  <conditionalFormatting sqref="E31:G31 J31">
    <cfRule type="expression" dxfId="92" priority="33">
      <formula>E31 = "-"</formula>
    </cfRule>
  </conditionalFormatting>
  <conditionalFormatting sqref="J33 E33:G33">
    <cfRule type="expression" dxfId="91" priority="32">
      <formula>E33 = "-"</formula>
    </cfRule>
  </conditionalFormatting>
  <conditionalFormatting sqref="J35">
    <cfRule type="expression" dxfId="90" priority="31">
      <formula>J35 = "-"</formula>
    </cfRule>
  </conditionalFormatting>
  <conditionalFormatting sqref="E35">
    <cfRule type="expression" dxfId="89" priority="30">
      <formula>E35 = "-"</formula>
    </cfRule>
  </conditionalFormatting>
  <conditionalFormatting sqref="E37:F37">
    <cfRule type="expression" dxfId="88" priority="29">
      <formula>E37 = "-"</formula>
    </cfRule>
  </conditionalFormatting>
  <conditionalFormatting sqref="J37">
    <cfRule type="expression" dxfId="87" priority="28">
      <formula>J37 = "-"</formula>
    </cfRule>
  </conditionalFormatting>
  <conditionalFormatting sqref="G37">
    <cfRule type="expression" dxfId="86" priority="27">
      <formula>G37 = "-"</formula>
    </cfRule>
  </conditionalFormatting>
  <conditionalFormatting sqref="E39:F39">
    <cfRule type="expression" dxfId="85" priority="26">
      <formula>E39 = "-"</formula>
    </cfRule>
  </conditionalFormatting>
  <conditionalFormatting sqref="J39">
    <cfRule type="expression" dxfId="84" priority="25">
      <formula>J39 = "-"</formula>
    </cfRule>
  </conditionalFormatting>
  <conditionalFormatting sqref="E41:F41">
    <cfRule type="expression" dxfId="83" priority="23">
      <formula>E41 = "-"</formula>
    </cfRule>
  </conditionalFormatting>
  <conditionalFormatting sqref="J41">
    <cfRule type="expression" dxfId="82" priority="22">
      <formula>J41 = "-"</formula>
    </cfRule>
  </conditionalFormatting>
  <conditionalFormatting sqref="G41">
    <cfRule type="expression" dxfId="81" priority="21">
      <formula>G41 = "-"</formula>
    </cfRule>
  </conditionalFormatting>
  <conditionalFormatting sqref="K43">
    <cfRule type="expression" dxfId="80" priority="20">
      <formula>K43 = "-"</formula>
    </cfRule>
  </conditionalFormatting>
  <conditionalFormatting sqref="E45:G45">
    <cfRule type="expression" dxfId="79" priority="19">
      <formula>E45 = "-"</formula>
    </cfRule>
  </conditionalFormatting>
  <conditionalFormatting sqref="H47:K47">
    <cfRule type="expression" dxfId="78" priority="18">
      <formula>H47 = "-"</formula>
    </cfRule>
  </conditionalFormatting>
  <conditionalFormatting sqref="E49">
    <cfRule type="expression" dxfId="77" priority="17">
      <formula>E49 = "-"</formula>
    </cfRule>
  </conditionalFormatting>
  <conditionalFormatting sqref="E51:I51">
    <cfRule type="expression" dxfId="76" priority="16">
      <formula>E51 = "-"</formula>
    </cfRule>
  </conditionalFormatting>
  <conditionalFormatting sqref="E53:J53">
    <cfRule type="expression" dxfId="75" priority="15">
      <formula>E53 = "-"</formula>
    </cfRule>
  </conditionalFormatting>
  <conditionalFormatting sqref="E55">
    <cfRule type="expression" dxfId="74" priority="14">
      <formula>E55 = "-"</formula>
    </cfRule>
  </conditionalFormatting>
  <conditionalFormatting sqref="E57">
    <cfRule type="expression" dxfId="73" priority="11">
      <formula>E57 = "-"</formula>
    </cfRule>
  </conditionalFormatting>
  <conditionalFormatting sqref="E59">
    <cfRule type="expression" dxfId="72" priority="10">
      <formula>E59 = "-"</formula>
    </cfRule>
  </conditionalFormatting>
  <conditionalFormatting sqref="H45">
    <cfRule type="expression" dxfId="71" priority="9">
      <formula>H45 = "-"</formula>
    </cfRule>
  </conditionalFormatting>
  <conditionalFormatting sqref="I45">
    <cfRule type="expression" dxfId="70" priority="8">
      <formula>I45 = "-"</formula>
    </cfRule>
  </conditionalFormatting>
  <conditionalFormatting sqref="J45">
    <cfRule type="expression" dxfId="69" priority="7">
      <formula>J45 = "-"</formula>
    </cfRule>
  </conditionalFormatting>
  <conditionalFormatting sqref="K45">
    <cfRule type="expression" dxfId="68" priority="6">
      <formula>K45 = "-"</formula>
    </cfRule>
  </conditionalFormatting>
  <conditionalFormatting sqref="L45">
    <cfRule type="expression" dxfId="67" priority="5">
      <formula>L45 = "-"</formula>
    </cfRule>
  </conditionalFormatting>
  <conditionalFormatting sqref="G39">
    <cfRule type="expression" dxfId="66" priority="4">
      <formula>G39 = "-"</formula>
    </cfRule>
  </conditionalFormatting>
  <conditionalFormatting sqref="E47">
    <cfRule type="expression" dxfId="65" priority="3">
      <formula>E47 = "-"</formula>
    </cfRule>
  </conditionalFormatting>
  <conditionalFormatting sqref="G34">
    <cfRule type="expression" dxfId="64" priority="2">
      <formula>G34 = "-"</formula>
    </cfRule>
  </conditionalFormatting>
  <conditionalFormatting sqref="F11">
    <cfRule type="expression" dxfId="63" priority="1">
      <formula>F11 = "-"</formula>
    </cfRule>
  </conditionalFormatting>
  <dataValidations count="4">
    <dataValidation operator="equal" allowBlank="1" showInputMessage="1" showErrorMessage="1" sqref="P39" xr:uid="{D35A8B8D-7A41-4AB0-AA2D-B8DCAD8419EE}"/>
    <dataValidation type="list" operator="equal" allowBlank="1" showInputMessage="1" showErrorMessage="1" sqref="G39" xr:uid="{6EA80687-D2A8-444A-A623-D7ACB8DE16AF}">
      <formula1>"BUCK1 phase (delay) selection,000 - delay 0,001 - delay 1,010 - delay 2,011 - delay 3,100 - delay 4,101 - delay 5,110 - delay 6,111 - delay 7,"</formula1>
    </dataValidation>
    <dataValidation type="list" operator="equal" allowBlank="1" showInputMessage="1" showErrorMessage="1" sqref="E9" xr:uid="{6164107D-CF5D-4221-96A7-DD4B5FB3225E}">
      <formula1>"VPRE current limitation threshold,00 - 50mV,01 - 80mV,10 - 120mV,"</formula1>
    </dataValidation>
    <dataValidation type="list" operator="equal" allowBlank="1" showInputMessage="1" showErrorMessage="1" sqref="J41" xr:uid="{5E40821C-133B-4DF6-AB4A-8DB5DC1CA6A2}">
      <formula1>"BUCK2 phase (delay) selection,000 - delay 0,001 - delay 1,010 - delay 2,011 - delay 3,100 - delay 4,101 - delay 5,110 - delay 6,111 - delay 7,"</formula1>
    </dataValidation>
  </dataValidations>
  <pageMargins left="0.7" right="0.7" top="0.75" bottom="0.75" header="0.3" footer="0.3"/>
  <pageSetup orientation="portrait" r:id="rId1"/>
  <ignoredErrors>
    <ignoredError sqref="E49 B28:B46 B4:B14 M57:M59 E19 E47" numberStoredAsText="1"/>
  </ignoredErrors>
  <extLst>
    <ext xmlns:x14="http://schemas.microsoft.com/office/spreadsheetml/2009/9/main" uri="{CCE6A557-97BC-4b89-ADB6-D9C93CAAB3DF}">
      <x14:dataValidations xmlns:xm="http://schemas.microsoft.com/office/excel/2006/main" count="68">
        <x14:dataValidation type="list" allowBlank="1" showInputMessage="1" showErrorMessage="1" xr:uid="{00000000-0002-0000-0300-000000000000}">
          <x14:formula1>
            <xm:f>OTP_conf_main_bits!$C$2:$C$6</xm:f>
          </x14:formula1>
          <xm:sqref>G5:L5</xm:sqref>
        </x14:dataValidation>
        <x14:dataValidation type="list" allowBlank="1" showInputMessage="1" showErrorMessage="1" xr:uid="{00000000-0002-0000-0300-000003000000}">
          <x14:formula1>
            <xm:f>OTP_conf_main_bits!$C$19:$C$23</xm:f>
          </x14:formula1>
          <xm:sqref>F9</xm:sqref>
        </x14:dataValidation>
        <x14:dataValidation type="list" allowBlank="1" showInputMessage="1" showErrorMessage="1" xr:uid="{00000000-0002-0000-0300-000005000000}">
          <x14:formula1>
            <xm:f>OTP_conf_main_bits!$C$28:$C$32</xm:f>
          </x14:formula1>
          <xm:sqref>K9:L9</xm:sqref>
        </x14:dataValidation>
        <x14:dataValidation type="list" allowBlank="1" showInputMessage="1" showErrorMessage="1" xr:uid="{00000000-0002-0000-0300-000007000000}">
          <x14:formula1>
            <xm:f>OTP_conf_main_bits!$C$36:$C$38</xm:f>
          </x14:formula1>
          <xm:sqref>I11:L11</xm:sqref>
        </x14:dataValidation>
        <x14:dataValidation type="list" allowBlank="1" showInputMessage="1" showErrorMessage="1" xr:uid="{00000000-0002-0000-0300-000008000000}">
          <x14:formula1>
            <xm:f>OTP_conf_main_bits!$C$39:$C$41</xm:f>
          </x14:formula1>
          <xm:sqref>E13</xm:sqref>
        </x14:dataValidation>
        <x14:dataValidation type="list" allowBlank="1" showInputMessage="1" showErrorMessage="1" xr:uid="{00000000-0002-0000-0300-000009000000}">
          <x14:formula1>
            <xm:f>OTP_conf_main_bits!$C$42:$C$44</xm:f>
          </x14:formula1>
          <xm:sqref>F13:G13</xm:sqref>
        </x14:dataValidation>
        <x14:dataValidation type="list" allowBlank="1" showInputMessage="1" showErrorMessage="1" xr:uid="{00000000-0002-0000-0300-00000A000000}">
          <x14:formula1>
            <xm:f>OTP_conf_main_bits!$C$24:$C$25</xm:f>
          </x14:formula1>
          <xm:sqref>G9:H9</xm:sqref>
        </x14:dataValidation>
        <x14:dataValidation type="list" allowBlank="1" showInputMessage="1" showErrorMessage="1" xr:uid="{00000000-0002-0000-0300-00000B000000}">
          <x14:formula1>
            <xm:f>OTP_conf_main_bits!$C$49:$C$51</xm:f>
          </x14:formula1>
          <xm:sqref>E15:F15</xm:sqref>
        </x14:dataValidation>
        <x14:dataValidation type="list" allowBlank="1" showInputMessage="1" showErrorMessage="1" xr:uid="{00000000-0002-0000-0300-00000C000000}">
          <x14:formula1>
            <xm:f>OTP_conf_main_bits!$C$54:$C$55</xm:f>
          </x14:formula1>
          <xm:sqref>I15:J15</xm:sqref>
        </x14:dataValidation>
        <x14:dataValidation type="list" allowBlank="1" showInputMessage="1" showErrorMessage="1" xr:uid="{00000000-0002-0000-0300-00000D000000}">
          <x14:formula1>
            <xm:f>OTP_conf_main_bits!$C$84:$C$86</xm:f>
          </x14:formula1>
          <xm:sqref>J19:K19</xm:sqref>
        </x14:dataValidation>
        <x14:dataValidation type="list" allowBlank="1" showInputMessage="1" showErrorMessage="1" xr:uid="{00000000-0002-0000-0300-00000E000000}">
          <x14:formula1>
            <xm:f>OTP_conf_main_bits!$C$87:$C$89</xm:f>
          </x14:formula1>
          <xm:sqref>L19</xm:sqref>
        </x14:dataValidation>
        <x14:dataValidation type="list" allowBlank="1" showInputMessage="1" showErrorMessage="1" xr:uid="{00000000-0002-0000-0300-00000F000000}">
          <x14:formula1>
            <xm:f>OTP_conf_main_bits!$C$90:$C$110</xm:f>
          </x14:formula1>
          <xm:sqref>E21:L21</xm:sqref>
        </x14:dataValidation>
        <x14:dataValidation type="list" allowBlank="1" showInputMessage="1" showErrorMessage="1" xr:uid="{00000000-0002-0000-0300-000010000000}">
          <x14:formula1>
            <xm:f>OTP_conf_main_bits!$C$115:$C$117</xm:f>
          </x14:formula1>
          <xm:sqref>H23</xm:sqref>
        </x14:dataValidation>
        <x14:dataValidation type="list" allowBlank="1" showInputMessage="1" showErrorMessage="1" xr:uid="{00000000-0002-0000-0300-000011000000}">
          <x14:formula1>
            <xm:f>OTP_conf_main_bits!$C$118:$C$120</xm:f>
          </x14:formula1>
          <xm:sqref>I23:J23</xm:sqref>
        </x14:dataValidation>
        <x14:dataValidation type="list" allowBlank="1" showInputMessage="1" showErrorMessage="1" xr:uid="{00000000-0002-0000-0300-000012000000}">
          <x14:formula1>
            <xm:f>OTP_conf_main_bits!$C$125:$C$127</xm:f>
          </x14:formula1>
          <xm:sqref>E25</xm:sqref>
        </x14:dataValidation>
        <x14:dataValidation type="list" allowBlank="1" showInputMessage="1" showErrorMessage="1" xr:uid="{00000000-0002-0000-0300-000015000000}">
          <x14:formula1>
            <xm:f>OTP_conf_main_bits!$C$160:$C$162</xm:f>
          </x14:formula1>
          <xm:sqref>K27:L27</xm:sqref>
        </x14:dataValidation>
        <x14:dataValidation type="list" allowBlank="1" showInputMessage="1" showErrorMessage="1" xr:uid="{00000000-0002-0000-0300-000016000000}">
          <x14:formula1>
            <xm:f>OTP_conf_main_bits!$C$163:$C$165</xm:f>
          </x14:formula1>
          <xm:sqref>E29</xm:sqref>
        </x14:dataValidation>
        <x14:dataValidation type="list" allowBlank="1" showInputMessage="1" showErrorMessage="1" xr:uid="{00000000-0002-0000-0300-000017000000}">
          <x14:formula1>
            <xm:f>OTP_conf_main_bits!$C$166:$C$174</xm:f>
          </x14:formula1>
          <xm:sqref>F29:H29</xm:sqref>
        </x14:dataValidation>
        <x14:dataValidation type="list" allowBlank="1" showInputMessage="1" showErrorMessage="1" xr:uid="{00000000-0002-0000-0300-000018000000}">
          <x14:formula1>
            <xm:f>OTP_conf_main_bits!$C$175:$C$177</xm:f>
          </x14:formula1>
          <xm:sqref>I29</xm:sqref>
        </x14:dataValidation>
        <x14:dataValidation type="list" allowBlank="1" showInputMessage="1" showErrorMessage="1" xr:uid="{00000000-0002-0000-0300-000019000000}">
          <x14:formula1>
            <xm:f>OTP_conf_main_bits!$C$178:$C$186</xm:f>
          </x14:formula1>
          <xm:sqref>J29:L29</xm:sqref>
        </x14:dataValidation>
        <x14:dataValidation type="list" allowBlank="1" showInputMessage="1" showErrorMessage="1" xr:uid="{00000000-0002-0000-0300-00001A000000}">
          <x14:formula1>
            <xm:f>OTP_conf_main_bits!$C$187:$C$195</xm:f>
          </x14:formula1>
          <xm:sqref>G31:I31</xm:sqref>
        </x14:dataValidation>
        <x14:dataValidation type="list" allowBlank="1" showInputMessage="1" showErrorMessage="1" xr:uid="{00000000-0002-0000-0300-00001B000000}">
          <x14:formula1>
            <xm:f>OTP_conf_main_bits!$C$196:$C$204</xm:f>
          </x14:formula1>
          <xm:sqref>J31:L31</xm:sqref>
        </x14:dataValidation>
        <x14:dataValidation type="list" allowBlank="1" showInputMessage="1" showErrorMessage="1" xr:uid="{00000000-0002-0000-0300-00001C000000}">
          <x14:formula1>
            <xm:f>OTP_conf_main_bits!$C$205:$C$213</xm:f>
          </x14:formula1>
          <xm:sqref>G33:I33</xm:sqref>
        </x14:dataValidation>
        <x14:dataValidation type="list" allowBlank="1" showInputMessage="1" showErrorMessage="1" xr:uid="{00000000-0002-0000-0300-00001D000000}">
          <x14:formula1>
            <xm:f>OTP_conf_main_bits!$C$214:$C$222</xm:f>
          </x14:formula1>
          <xm:sqref>J33:L33</xm:sqref>
        </x14:dataValidation>
        <x14:dataValidation type="list" allowBlank="1" showInputMessage="1" showErrorMessage="1" xr:uid="{00000000-0002-0000-0300-00001E000000}">
          <x14:formula1>
            <xm:f>OTP_conf_main_bits!$C$223:$C$231</xm:f>
          </x14:formula1>
          <xm:sqref>J35:L35</xm:sqref>
        </x14:dataValidation>
        <x14:dataValidation type="list" allowBlank="1" showInputMessage="1" showErrorMessage="1" xr:uid="{00000000-0002-0000-0300-00001F000000}">
          <x14:formula1>
            <xm:f>OTP_conf_main_bits!$C$245:$C$253</xm:f>
          </x14:formula1>
          <xm:sqref>G37:I37</xm:sqref>
        </x14:dataValidation>
        <x14:dataValidation type="list" allowBlank="1" showInputMessage="1" showErrorMessage="1" xr:uid="{00000000-0002-0000-0300-000020000000}">
          <x14:formula1>
            <xm:f>OTP_conf_main_bits!$C$254:$C$262</xm:f>
          </x14:formula1>
          <xm:sqref>J37:L37</xm:sqref>
        </x14:dataValidation>
        <x14:dataValidation type="list" allowBlank="1" showInputMessage="1" showErrorMessage="1" xr:uid="{00000000-0002-0000-0300-000022000000}">
          <x14:formula1>
            <xm:f>OTP_conf_main_bits!$C$272:$C$280</xm:f>
          </x14:formula1>
          <xm:sqref>J39:L39</xm:sqref>
        </x14:dataValidation>
        <x14:dataValidation type="list" allowBlank="1" showInputMessage="1" showErrorMessage="1" xr:uid="{00000000-0002-0000-0300-000023000000}">
          <x14:formula1>
            <xm:f>OTP_conf_main_bits!$C$281:$C$289</xm:f>
          </x14:formula1>
          <xm:sqref>G41:I41</xm:sqref>
        </x14:dataValidation>
        <x14:dataValidation type="list" allowBlank="1" showInputMessage="1" showErrorMessage="1" xr:uid="{00000000-0002-0000-0300-000025000000}">
          <x14:formula1>
            <xm:f>OTP_conf_main_bits!$C$307:$C$309</xm:f>
          </x14:formula1>
          <xm:sqref>I43</xm:sqref>
        </x14:dataValidation>
        <x14:dataValidation type="list" allowBlank="1" showInputMessage="1" showErrorMessage="1" xr:uid="{00000000-0002-0000-0300-000026000000}">
          <x14:formula1>
            <xm:f>OTP_conf_main_bits!$C$310:$C$312</xm:f>
          </x14:formula1>
          <xm:sqref>J43</xm:sqref>
        </x14:dataValidation>
        <x14:dataValidation type="list" allowBlank="1" showInputMessage="1" showErrorMessage="1" xr:uid="{00000000-0002-0000-0300-000027000000}">
          <x14:formula1>
            <xm:f>OTP_conf_main_bits!$C$313:$C$317</xm:f>
          </x14:formula1>
          <xm:sqref>K43:L43</xm:sqref>
        </x14:dataValidation>
        <x14:dataValidation type="list" allowBlank="1" showInputMessage="1" showErrorMessage="1" xr:uid="{00000000-0002-0000-0300-000028000000}">
          <x14:formula1>
            <xm:f>OTP_conf_main_bits!$C$351:$C$353</xm:f>
          </x14:formula1>
          <xm:sqref>L49</xm:sqref>
        </x14:dataValidation>
        <x14:dataValidation type="list" allowBlank="1" showInputMessage="1" showErrorMessage="1" xr:uid="{00000000-0002-0000-0300-000029000000}">
          <x14:formula1>
            <xm:f>OTP_conf_main_bits!$C$336:$C$338</xm:f>
          </x14:formula1>
          <xm:sqref>H47</xm:sqref>
        </x14:dataValidation>
        <x14:dataValidation type="list" allowBlank="1" showInputMessage="1" showErrorMessage="1" xr:uid="{00000000-0002-0000-0300-00002A000000}">
          <x14:formula1>
            <xm:f>OTP_conf_main_bits!$C$339:$C$341</xm:f>
          </x14:formula1>
          <xm:sqref>I47</xm:sqref>
        </x14:dataValidation>
        <x14:dataValidation type="list" allowBlank="1" showInputMessage="1" showErrorMessage="1" xr:uid="{00000000-0002-0000-0300-00002B000000}">
          <x14:formula1>
            <xm:f>OTP_conf_main_bits!$C$342:$C$344</xm:f>
          </x14:formula1>
          <xm:sqref>J47</xm:sqref>
        </x14:dataValidation>
        <x14:dataValidation type="list" allowBlank="1" showInputMessage="1" showErrorMessage="1" xr:uid="{00000000-0002-0000-0300-00002C000000}">
          <x14:formula1>
            <xm:f>OTP_conf_main_bits!$C$345:$C$347</xm:f>
          </x14:formula1>
          <xm:sqref>K47</xm:sqref>
        </x14:dataValidation>
        <x14:dataValidation type="list" allowBlank="1" showInputMessage="1" showErrorMessage="1" xr:uid="{00000000-0002-0000-0300-00002D000000}">
          <x14:formula1>
            <xm:f>OTP_conf_main_bits!$C$348:$C$350</xm:f>
          </x14:formula1>
          <xm:sqref>L47</xm:sqref>
        </x14:dataValidation>
        <x14:dataValidation type="list" allowBlank="1" showInputMessage="1" showErrorMessage="1" xr:uid="{00000000-0002-0000-0300-00002E000000}">
          <x14:formula1>
            <xm:f>OTP_conf_main_bits!$C$354:$C$370</xm:f>
          </x14:formula1>
          <xm:sqref>I51:L51</xm:sqref>
        </x14:dataValidation>
        <x14:dataValidation type="list" allowBlank="1" showInputMessage="1" showErrorMessage="1" xr:uid="{00000000-0002-0000-0300-00002F000000}">
          <x14:formula1>
            <xm:f>OTP_conf_main_bits!$C$371:$C$379</xm:f>
          </x14:formula1>
          <xm:sqref>J53:L53</xm:sqref>
        </x14:dataValidation>
        <x14:dataValidation type="list" allowBlank="1" showInputMessage="1" showErrorMessage="1" xr:uid="{00000000-0002-0000-0300-000030000000}">
          <x14:formula1>
            <xm:f>OTP_conf_main_bits!$C$80:$C$83</xm:f>
          </x14:formula1>
          <xm:sqref>H19:I19</xm:sqref>
        </x14:dataValidation>
        <x14:dataValidation type="list" allowBlank="1" showInputMessage="1" showErrorMessage="1" xr:uid="{00000000-0002-0000-0300-000031000000}">
          <x14:formula1>
            <xm:f>OTP_conf_main_bits!$C$111:$C$114</xm:f>
          </x14:formula1>
          <xm:sqref>F23:G23</xm:sqref>
        </x14:dataValidation>
        <x14:dataValidation type="list" allowBlank="1" showInputMessage="1" showErrorMessage="1" xr:uid="{00000000-0002-0000-0300-000032000000}">
          <x14:formula1>
            <xm:f>OTP_conf_main_bits!$C$128:$C$131</xm:f>
          </x14:formula1>
          <xm:sqref>F25:G25</xm:sqref>
        </x14:dataValidation>
        <x14:dataValidation type="list" allowBlank="1" showInputMessage="1" showErrorMessage="1" xr:uid="{00000000-0002-0000-0300-000033000000}">
          <x14:formula1>
            <xm:f>OTP_conf_main_bits!$C$121:$C$122</xm:f>
          </x14:formula1>
          <xm:sqref>K23</xm:sqref>
        </x14:dataValidation>
        <x14:dataValidation type="list" allowBlank="1" showInputMessage="1" showErrorMessage="1" xr:uid="{00000000-0002-0000-0300-000034000000}">
          <x14:formula1>
            <xm:f>OTP_conf_main_bits!$C$123:$C$124</xm:f>
          </x14:formula1>
          <xm:sqref>L23</xm:sqref>
        </x14:dataValidation>
        <x14:dataValidation type="list" allowBlank="1" showInputMessage="1" showErrorMessage="1" xr:uid="{00000000-0002-0000-0300-000037000000}">
          <x14:formula1>
            <xm:f>OTP_conf_main_bits!$C$45:$C$48</xm:f>
          </x14:formula1>
          <xm:sqref>H13:L13</xm:sqref>
        </x14:dataValidation>
        <x14:dataValidation type="list" allowBlank="1" showInputMessage="1" showErrorMessage="1" xr:uid="{00000000-0002-0000-0300-000038000000}">
          <x14:formula1>
            <xm:f>OTP_conf_main_bits!$C$52:$C$53</xm:f>
          </x14:formula1>
          <xm:sqref>G15:H15</xm:sqref>
        </x14:dataValidation>
        <x14:dataValidation type="list" allowBlank="1" showInputMessage="1" showErrorMessage="1" xr:uid="{00000000-0002-0000-0300-000039000000}">
          <x14:formula1>
            <xm:f>OTP_conf_main_bits!$C$59:$C$79</xm:f>
          </x14:formula1>
          <xm:sqref>E17:L17</xm:sqref>
        </x14:dataValidation>
        <x14:dataValidation type="list" allowBlank="1" showInputMessage="1" showErrorMessage="1" xr:uid="{00000000-0002-0000-0300-00003A000000}">
          <x14:formula1>
            <xm:f>OTP_conf_main_bits!$C$132:$C$145</xm:f>
          </x14:formula1>
          <xm:sqref>H25:L25</xm:sqref>
        </x14:dataValidation>
        <x14:dataValidation type="list" allowBlank="1" showInputMessage="1" showErrorMessage="1" xr:uid="{00000000-0002-0000-0300-00003B000000}">
          <x14:formula1>
            <xm:f>OTP_conf_main_bits!$C$333:$C$335</xm:f>
          </x14:formula1>
          <xm:sqref>G45</xm:sqref>
        </x14:dataValidation>
        <x14:dataValidation type="list" allowBlank="1" showInputMessage="1" showErrorMessage="1" xr:uid="{00000000-0002-0000-0300-00003C000000}">
          <x14:formula1>
            <xm:f>OTP_conf_main_bits!$C$330:$C$332</xm:f>
          </x14:formula1>
          <xm:sqref>H45</xm:sqref>
        </x14:dataValidation>
        <x14:dataValidation type="list" allowBlank="1" showInputMessage="1" showErrorMessage="1" xr:uid="{00000000-0002-0000-0300-00003D000000}">
          <x14:formula1>
            <xm:f>OTP_conf_main_bits!$C$327:$C$329</xm:f>
          </x14:formula1>
          <xm:sqref>I45</xm:sqref>
        </x14:dataValidation>
        <x14:dataValidation type="list" allowBlank="1" showInputMessage="1" showErrorMessage="1" xr:uid="{00000000-0002-0000-0300-00003E000000}">
          <x14:formula1>
            <xm:f>OTP_conf_main_bits!$C$324:$C$326</xm:f>
          </x14:formula1>
          <xm:sqref>J45</xm:sqref>
        </x14:dataValidation>
        <x14:dataValidation type="list" allowBlank="1" showInputMessage="1" showErrorMessage="1" xr:uid="{00000000-0002-0000-0300-00003F000000}">
          <x14:formula1>
            <xm:f>OTP_conf_main_bits!$C$321:$C$323</xm:f>
          </x14:formula1>
          <xm:sqref>K45</xm:sqref>
        </x14:dataValidation>
        <x14:dataValidation type="list" allowBlank="1" showInputMessage="1" showErrorMessage="1" xr:uid="{00000000-0002-0000-0300-000040000000}">
          <x14:formula1>
            <xm:f>OTP_conf_main_bits!$C$318:$C$320</xm:f>
          </x14:formula1>
          <xm:sqref>L45</xm:sqref>
        </x14:dataValidation>
        <x14:dataValidation type="list" allowBlank="1" showInputMessage="1" showErrorMessage="1" xr:uid="{00000000-0002-0000-0300-000041000000}">
          <x14:formula1>
            <xm:f>OTP_conf_main_bits!$C$305:$C$306</xm:f>
          </x14:formula1>
          <xm:sqref>H43</xm:sqref>
        </x14:dataValidation>
        <x14:dataValidation type="list" allowBlank="1" showInputMessage="1" showErrorMessage="1" xr:uid="{C70AEF24-6C81-4411-90D9-D10EB34C57FE}">
          <x14:formula1>
            <xm:f>OTP_conf_main_bits!$C$303:$C$304</xm:f>
          </x14:formula1>
          <xm:sqref>G43</xm:sqref>
        </x14:dataValidation>
        <x14:dataValidation type="list" allowBlank="1" showInputMessage="1" showErrorMessage="1" xr:uid="{CC1793A9-7A13-4A61-A08C-7E03E0C49AA5}">
          <x14:formula1>
            <xm:f>OTP_conf_main_bits!$C$301:$C$302</xm:f>
          </x14:formula1>
          <xm:sqref>F43</xm:sqref>
        </x14:dataValidation>
        <x14:dataValidation type="list" allowBlank="1" showInputMessage="1" showErrorMessage="1" xr:uid="{D69E59B2-5A56-4FB2-8EF6-D91132A492E9}">
          <x14:formula1>
            <xm:f>OTP_conf_main_bits!$C$299:$C$300</xm:f>
          </x14:formula1>
          <xm:sqref>E43</xm:sqref>
        </x14:dataValidation>
        <x14:dataValidation type="list" allowBlank="1" showInputMessage="1" showErrorMessage="1" xr:uid="{00000000-0002-0000-0300-000036000000}">
          <x14:formula1>
            <xm:f>OTP_conf_main_bits!$C$56:$C$58</xm:f>
          </x14:formula1>
          <xm:sqref>K15:L15</xm:sqref>
        </x14:dataValidation>
        <x14:dataValidation type="list" allowBlank="1" showInputMessage="1" showErrorMessage="1" xr:uid="{00000000-0002-0000-0300-000013000000}">
          <x14:formula1>
            <xm:f>OTP_conf_main_bits!$C$146:$C$152</xm:f>
          </x14:formula1>
          <xm:sqref>E27:G27</xm:sqref>
        </x14:dataValidation>
        <x14:dataValidation type="list" allowBlank="1" showInputMessage="1" showErrorMessage="1" xr:uid="{00000000-0002-0000-0300-000014000000}">
          <x14:formula1>
            <xm:f>OTP_conf_main_bits!$C$153:$C$159</xm:f>
          </x14:formula1>
          <xm:sqref>H27:J27</xm:sqref>
        </x14:dataValidation>
        <x14:dataValidation type="list" allowBlank="1" showInputMessage="1" showErrorMessage="1" xr:uid="{00000000-0002-0000-0300-000035000000}">
          <x14:formula1>
            <xm:f>OTP_conf_main_bits!$C$7:$C$18</xm:f>
          </x14:formula1>
          <xm:sqref>G7:L7</xm:sqref>
        </x14:dataValidation>
        <x14:dataValidation type="list" allowBlank="1" showDropDown="1" showInputMessage="1" showErrorMessage="1" xr:uid="{DC003CA1-11E0-4922-B024-049A67B540DB}">
          <x14:formula1>
            <xm:f>OTP_conf_main_bits!$C$33:$C$35</xm:f>
          </x14:formula1>
          <xm:sqref>G11</xm:sqref>
        </x14:dataValidation>
        <x14:dataValidation type="list" allowBlank="1" showInputMessage="1" showErrorMessage="1" xr:uid="{79BA7CF0-9CC5-4639-A37D-1E6344F7153B}">
          <x14:formula1>
            <xm:f>OTP_conf_main_bits!$C$232:$C$236</xm:f>
          </x14:formula1>
          <xm:sqref>E35:F35</xm:sqref>
        </x14:dataValidation>
        <x14:dataValidation type="list" allowBlank="1" showInputMessage="1" showErrorMessage="1" xr:uid="{D6FB8ACB-570F-4F20-901F-982B8FDC327F}">
          <x14:formula1>
            <xm:f>OTP_conf_main_bits!$C$237:$C$241</xm:f>
          </x14:formula1>
          <xm:sqref>G35:H35</xm:sqref>
        </x14:dataValidation>
        <x14:dataValidation type="list" allowBlank="1" showInputMessage="1" showErrorMessage="1" xr:uid="{2F67168D-5DB5-499E-8915-74B12F08E893}">
          <x14:formula1>
            <xm:f>OTP_conf_main_bits!$C$242:$C$244</xm:f>
          </x14:formula1>
          <xm:sqref>I35</xm:sqref>
        </x14:dataValidation>
        <x14:dataValidation type="list" allowBlank="1" showInputMessage="1" showErrorMessage="1" xr:uid="{00000000-0002-0000-0300-000004000000}">
          <x14:formula1>
            <xm:f>OTP_conf_main_bits!$C$26:$C$27</xm:f>
          </x14:formula1>
          <xm:sqref>I9:J9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79"/>
  <sheetViews>
    <sheetView zoomScale="60" zoomScaleNormal="60" workbookViewId="0">
      <pane xSplit="1" ySplit="1" topLeftCell="C304" activePane="bottomRight" state="frozen"/>
      <selection activeCell="H27" sqref="H27:J27"/>
      <selection pane="topRight" activeCell="H27" sqref="H27:J27"/>
      <selection pane="bottomLeft" activeCell="H27" sqref="H27:J27"/>
      <selection pane="bottomRight" activeCell="D347" sqref="D347"/>
    </sheetView>
  </sheetViews>
  <sheetFormatPr defaultColWidth="9.140625" defaultRowHeight="15" x14ac:dyDescent="0.25"/>
  <cols>
    <col min="1" max="1" width="23.5703125" style="13" bestFit="1" customWidth="1"/>
    <col min="2" max="2" width="10.7109375" style="163" hidden="1" customWidth="1"/>
    <col min="3" max="3" width="46" style="14" bestFit="1" customWidth="1"/>
    <col min="4" max="4" width="127.7109375" style="13" bestFit="1" customWidth="1"/>
    <col min="5" max="16384" width="9.140625" style="13"/>
  </cols>
  <sheetData>
    <row r="1" spans="1:4" s="12" customFormat="1" ht="18.75" x14ac:dyDescent="0.3">
      <c r="A1" s="9" t="s">
        <v>307</v>
      </c>
      <c r="B1" s="9"/>
      <c r="C1" s="10" t="s">
        <v>308</v>
      </c>
      <c r="D1" s="11" t="s">
        <v>309</v>
      </c>
    </row>
    <row r="2" spans="1:4" x14ac:dyDescent="0.25">
      <c r="A2" s="475" t="s">
        <v>168</v>
      </c>
      <c r="B2" s="231"/>
      <c r="C2" s="3" t="s">
        <v>170</v>
      </c>
      <c r="D2" s="8"/>
    </row>
    <row r="3" spans="1:4" x14ac:dyDescent="0.25">
      <c r="A3" s="475"/>
      <c r="B3" s="231" t="str">
        <f>LEFT(C3,LEN(C3)-(LEN(C3)-FIND("-",C3,1))-2)</f>
        <v>001111</v>
      </c>
      <c r="C3" s="4" t="s">
        <v>596</v>
      </c>
      <c r="D3" s="8"/>
    </row>
    <row r="4" spans="1:4" x14ac:dyDescent="0.25">
      <c r="A4" s="475"/>
      <c r="B4" s="231" t="str">
        <f t="shared" ref="B4:B70" si="0">LEFT(C4,LEN(C4)-(LEN(C4)-FIND("-",C4,1))-2)</f>
        <v>010100</v>
      </c>
      <c r="C4" s="4" t="s">
        <v>597</v>
      </c>
      <c r="D4" s="8"/>
    </row>
    <row r="5" spans="1:4" x14ac:dyDescent="0.25">
      <c r="A5" s="475"/>
      <c r="B5" s="231" t="str">
        <f t="shared" si="0"/>
        <v>010111</v>
      </c>
      <c r="C5" s="4" t="s">
        <v>598</v>
      </c>
      <c r="D5" s="8"/>
    </row>
    <row r="6" spans="1:4" x14ac:dyDescent="0.25">
      <c r="A6" s="475"/>
      <c r="B6" s="231" t="str">
        <f t="shared" si="0"/>
        <v>100000</v>
      </c>
      <c r="C6" s="5" t="s">
        <v>599</v>
      </c>
      <c r="D6" s="8"/>
    </row>
    <row r="7" spans="1:4" x14ac:dyDescent="0.25">
      <c r="A7" s="475" t="s">
        <v>21</v>
      </c>
      <c r="B7" s="231"/>
      <c r="C7" s="3" t="s">
        <v>171</v>
      </c>
      <c r="D7" s="8"/>
    </row>
    <row r="8" spans="1:4" x14ac:dyDescent="0.25">
      <c r="A8" s="475"/>
      <c r="B8" s="231" t="str">
        <f t="shared" si="0"/>
        <v>000100</v>
      </c>
      <c r="C8" s="4" t="s">
        <v>658</v>
      </c>
      <c r="D8" s="8"/>
    </row>
    <row r="9" spans="1:4" x14ac:dyDescent="0.25">
      <c r="A9" s="475"/>
      <c r="B9" s="231" t="str">
        <f t="shared" si="0"/>
        <v>000101</v>
      </c>
      <c r="C9" s="4" t="s">
        <v>659</v>
      </c>
      <c r="D9" s="8"/>
    </row>
    <row r="10" spans="1:4" x14ac:dyDescent="0.25">
      <c r="A10" s="475"/>
      <c r="B10" s="231" t="str">
        <f t="shared" si="0"/>
        <v>000110</v>
      </c>
      <c r="C10" s="4" t="s">
        <v>660</v>
      </c>
      <c r="D10" s="8"/>
    </row>
    <row r="11" spans="1:4" x14ac:dyDescent="0.25">
      <c r="A11" s="475"/>
      <c r="B11" s="231" t="str">
        <f t="shared" si="0"/>
        <v>000111</v>
      </c>
      <c r="C11" s="4" t="s">
        <v>661</v>
      </c>
      <c r="D11" s="8"/>
    </row>
    <row r="12" spans="1:4" x14ac:dyDescent="0.25">
      <c r="A12" s="475"/>
      <c r="B12" s="231" t="str">
        <f t="shared" si="0"/>
        <v>001000</v>
      </c>
      <c r="C12" s="4" t="s">
        <v>662</v>
      </c>
      <c r="D12" s="8"/>
    </row>
    <row r="13" spans="1:4" x14ac:dyDescent="0.25">
      <c r="A13" s="475"/>
      <c r="B13" s="231" t="str">
        <f t="shared" si="0"/>
        <v>001001</v>
      </c>
      <c r="C13" s="4" t="s">
        <v>663</v>
      </c>
      <c r="D13" s="8"/>
    </row>
    <row r="14" spans="1:4" x14ac:dyDescent="0.25">
      <c r="A14" s="475"/>
      <c r="B14" s="231" t="str">
        <f t="shared" si="0"/>
        <v>001010</v>
      </c>
      <c r="C14" s="4" t="s">
        <v>664</v>
      </c>
      <c r="D14" s="8"/>
    </row>
    <row r="15" spans="1:4" x14ac:dyDescent="0.25">
      <c r="A15" s="475"/>
      <c r="B15" s="231" t="str">
        <f t="shared" si="0"/>
        <v>001110</v>
      </c>
      <c r="C15" s="4" t="s">
        <v>665</v>
      </c>
      <c r="D15" s="8"/>
    </row>
    <row r="16" spans="1:4" x14ac:dyDescent="0.25">
      <c r="A16" s="475"/>
      <c r="B16" s="231" t="str">
        <f t="shared" si="0"/>
        <v>010001</v>
      </c>
      <c r="C16" s="4" t="s">
        <v>705</v>
      </c>
      <c r="D16" s="8"/>
    </row>
    <row r="17" spans="1:4" x14ac:dyDescent="0.25">
      <c r="A17" s="475"/>
      <c r="B17" s="231" t="str">
        <f t="shared" si="0"/>
        <v>010100</v>
      </c>
      <c r="C17" s="4" t="s">
        <v>666</v>
      </c>
      <c r="D17" s="8"/>
    </row>
    <row r="18" spans="1:4" x14ac:dyDescent="0.25">
      <c r="A18" s="475"/>
      <c r="B18" s="231" t="str">
        <f t="shared" si="0"/>
        <v>011000</v>
      </c>
      <c r="C18" s="4" t="s">
        <v>706</v>
      </c>
      <c r="D18" s="111"/>
    </row>
    <row r="19" spans="1:4" x14ac:dyDescent="0.25">
      <c r="A19" s="475" t="s">
        <v>25</v>
      </c>
      <c r="B19" s="231"/>
      <c r="C19" s="3" t="s">
        <v>172</v>
      </c>
      <c r="D19" s="111"/>
    </row>
    <row r="20" spans="1:4" x14ac:dyDescent="0.25">
      <c r="A20" s="475"/>
      <c r="B20" s="231" t="str">
        <f t="shared" si="0"/>
        <v>00</v>
      </c>
      <c r="C20" s="6" t="s">
        <v>600</v>
      </c>
      <c r="D20" s="8"/>
    </row>
    <row r="21" spans="1:4" x14ac:dyDescent="0.25">
      <c r="A21" s="475"/>
      <c r="B21" s="231" t="str">
        <f t="shared" si="0"/>
        <v>01</v>
      </c>
      <c r="C21" s="6" t="s">
        <v>601</v>
      </c>
      <c r="D21" s="8"/>
    </row>
    <row r="22" spans="1:4" x14ac:dyDescent="0.25">
      <c r="A22" s="475"/>
      <c r="B22" s="231" t="str">
        <f t="shared" si="0"/>
        <v>10</v>
      </c>
      <c r="C22" s="6" t="s">
        <v>602</v>
      </c>
      <c r="D22" s="8"/>
    </row>
    <row r="23" spans="1:4" x14ac:dyDescent="0.25">
      <c r="A23" s="475"/>
      <c r="B23" s="231" t="str">
        <f t="shared" si="0"/>
        <v>11</v>
      </c>
      <c r="C23" s="6" t="s">
        <v>603</v>
      </c>
      <c r="D23" s="8"/>
    </row>
    <row r="24" spans="1:4" ht="15" customHeight="1" x14ac:dyDescent="0.25">
      <c r="A24" s="474" t="s">
        <v>24</v>
      </c>
      <c r="B24" s="231"/>
      <c r="C24" s="3" t="s">
        <v>207</v>
      </c>
      <c r="D24" s="8"/>
    </row>
    <row r="25" spans="1:4" ht="15" customHeight="1" x14ac:dyDescent="0.25">
      <c r="A25" s="474"/>
      <c r="B25" s="231" t="str">
        <f t="shared" si="0"/>
        <v>10</v>
      </c>
      <c r="C25" s="6" t="s">
        <v>604</v>
      </c>
      <c r="D25" s="8"/>
    </row>
    <row r="26" spans="1:4" ht="15" customHeight="1" x14ac:dyDescent="0.25">
      <c r="A26" s="474" t="s">
        <v>23</v>
      </c>
      <c r="B26" s="231"/>
      <c r="C26" s="3" t="s">
        <v>210</v>
      </c>
      <c r="D26" s="8"/>
    </row>
    <row r="27" spans="1:4" ht="15" customHeight="1" x14ac:dyDescent="0.25">
      <c r="A27" s="474"/>
      <c r="B27" s="231" t="str">
        <f t="shared" si="0"/>
        <v>11</v>
      </c>
      <c r="C27" s="6" t="s">
        <v>608</v>
      </c>
      <c r="D27" s="8"/>
    </row>
    <row r="28" spans="1:4" ht="15" customHeight="1" x14ac:dyDescent="0.25">
      <c r="A28" s="474" t="s">
        <v>22</v>
      </c>
      <c r="B28" s="231"/>
      <c r="C28" s="3" t="s">
        <v>169</v>
      </c>
      <c r="D28" s="8"/>
    </row>
    <row r="29" spans="1:4" ht="15" customHeight="1" x14ac:dyDescent="0.25">
      <c r="A29" s="474"/>
      <c r="B29" s="231" t="str">
        <f t="shared" si="0"/>
        <v>00</v>
      </c>
      <c r="C29" s="30" t="s">
        <v>605</v>
      </c>
      <c r="D29" s="8"/>
    </row>
    <row r="30" spans="1:4" ht="15" customHeight="1" x14ac:dyDescent="0.25">
      <c r="A30" s="474"/>
      <c r="B30" s="231" t="str">
        <f t="shared" si="0"/>
        <v>01</v>
      </c>
      <c r="C30" s="6" t="s">
        <v>606</v>
      </c>
      <c r="D30" s="8"/>
    </row>
    <row r="31" spans="1:4" ht="15" customHeight="1" x14ac:dyDescent="0.25">
      <c r="A31" s="474"/>
      <c r="B31" s="231" t="str">
        <f t="shared" si="0"/>
        <v>10</v>
      </c>
      <c r="C31" s="3" t="s">
        <v>607</v>
      </c>
      <c r="D31" s="8"/>
    </row>
    <row r="32" spans="1:4" ht="15" customHeight="1" x14ac:dyDescent="0.25">
      <c r="A32" s="474"/>
      <c r="B32" s="231" t="str">
        <f t="shared" si="0"/>
        <v>11</v>
      </c>
      <c r="C32" s="6" t="s">
        <v>608</v>
      </c>
      <c r="D32" s="8"/>
    </row>
    <row r="33" spans="1:4" s="163" customFormat="1" ht="15" customHeight="1" x14ac:dyDescent="0.25">
      <c r="A33" s="474" t="s">
        <v>807</v>
      </c>
      <c r="B33" s="237"/>
      <c r="C33" s="3" t="s">
        <v>812</v>
      </c>
      <c r="D33" s="8"/>
    </row>
    <row r="34" spans="1:4" s="163" customFormat="1" ht="15" customHeight="1" x14ac:dyDescent="0.25">
      <c r="A34" s="474"/>
      <c r="B34" s="237" t="str">
        <f t="shared" ref="B34:B35" si="1">LEFT(C34,LEN(C34)-(LEN(C34)-FIND("-",C34,1))-2)</f>
        <v>0</v>
      </c>
      <c r="C34" s="30" t="s">
        <v>808</v>
      </c>
      <c r="D34" s="8" t="s">
        <v>811</v>
      </c>
    </row>
    <row r="35" spans="1:4" s="163" customFormat="1" ht="15" customHeight="1" x14ac:dyDescent="0.25">
      <c r="A35" s="474"/>
      <c r="B35" s="237" t="str">
        <f t="shared" si="1"/>
        <v>1</v>
      </c>
      <c r="C35" s="6" t="s">
        <v>809</v>
      </c>
      <c r="D35" s="8" t="s">
        <v>810</v>
      </c>
    </row>
    <row r="36" spans="1:4" x14ac:dyDescent="0.25">
      <c r="A36" s="469" t="s">
        <v>26</v>
      </c>
      <c r="B36" s="231"/>
      <c r="C36" s="3" t="s">
        <v>173</v>
      </c>
      <c r="D36" s="8"/>
    </row>
    <row r="37" spans="1:4" x14ac:dyDescent="0.25">
      <c r="A37" s="469"/>
      <c r="B37" s="231" t="str">
        <f t="shared" si="0"/>
        <v>0110</v>
      </c>
      <c r="C37" s="5" t="s">
        <v>609</v>
      </c>
      <c r="D37" s="8"/>
    </row>
    <row r="38" spans="1:4" x14ac:dyDescent="0.25">
      <c r="A38" s="469"/>
      <c r="B38" s="231" t="str">
        <f t="shared" si="0"/>
        <v>1101</v>
      </c>
      <c r="C38" s="5" t="s">
        <v>610</v>
      </c>
      <c r="D38" s="8"/>
    </row>
    <row r="39" spans="1:4" x14ac:dyDescent="0.25">
      <c r="A39" s="469" t="s">
        <v>142</v>
      </c>
      <c r="B39" s="231"/>
      <c r="C39" s="7" t="s">
        <v>204</v>
      </c>
      <c r="D39" s="8"/>
    </row>
    <row r="40" spans="1:4" x14ac:dyDescent="0.25">
      <c r="A40" s="469"/>
      <c r="B40" s="231" t="str">
        <f t="shared" si="0"/>
        <v>0</v>
      </c>
      <c r="C40" s="5" t="s">
        <v>403</v>
      </c>
      <c r="D40" s="8"/>
    </row>
    <row r="41" spans="1:4" x14ac:dyDescent="0.25">
      <c r="A41" s="469"/>
      <c r="B41" s="231" t="str">
        <f t="shared" si="0"/>
        <v>1</v>
      </c>
      <c r="C41" s="5" t="s">
        <v>404</v>
      </c>
      <c r="D41" s="8"/>
    </row>
    <row r="42" spans="1:4" x14ac:dyDescent="0.25">
      <c r="A42" s="478" t="s">
        <v>138</v>
      </c>
      <c r="B42" s="231"/>
      <c r="C42" s="3" t="s">
        <v>205</v>
      </c>
      <c r="D42" s="8"/>
    </row>
    <row r="43" spans="1:4" x14ac:dyDescent="0.25">
      <c r="A43" s="479"/>
      <c r="B43" s="231" t="str">
        <f t="shared" si="0"/>
        <v>00</v>
      </c>
      <c r="C43" s="6" t="s">
        <v>611</v>
      </c>
      <c r="D43" s="8"/>
    </row>
    <row r="44" spans="1:4" x14ac:dyDescent="0.25">
      <c r="A44" s="479"/>
      <c r="B44" s="231" t="str">
        <f t="shared" si="0"/>
        <v>01</v>
      </c>
      <c r="C44" s="6" t="s">
        <v>612</v>
      </c>
      <c r="D44" s="8"/>
    </row>
    <row r="45" spans="1:4" x14ac:dyDescent="0.25">
      <c r="A45" s="469" t="s">
        <v>139</v>
      </c>
      <c r="B45" s="231"/>
      <c r="C45" s="3" t="s">
        <v>206</v>
      </c>
      <c r="D45" s="8"/>
    </row>
    <row r="46" spans="1:4" x14ac:dyDescent="0.25">
      <c r="A46" s="469"/>
      <c r="B46" s="231" t="str">
        <f t="shared" si="0"/>
        <v>00110</v>
      </c>
      <c r="C46" s="5" t="s">
        <v>667</v>
      </c>
      <c r="D46" s="8"/>
    </row>
    <row r="47" spans="1:4" x14ac:dyDescent="0.25">
      <c r="A47" s="469"/>
      <c r="B47" s="231" t="str">
        <f t="shared" si="0"/>
        <v>01100</v>
      </c>
      <c r="C47" s="5" t="s">
        <v>668</v>
      </c>
      <c r="D47" s="8"/>
    </row>
    <row r="48" spans="1:4" x14ac:dyDescent="0.25">
      <c r="A48" s="469"/>
      <c r="B48" s="231" t="str">
        <f t="shared" si="0"/>
        <v>01110</v>
      </c>
      <c r="C48" s="5" t="s">
        <v>669</v>
      </c>
      <c r="D48" s="8"/>
    </row>
    <row r="49" spans="1:4" ht="15" customHeight="1" x14ac:dyDescent="0.25">
      <c r="A49" s="469" t="s">
        <v>30</v>
      </c>
      <c r="B49" s="231"/>
      <c r="C49" s="3" t="s">
        <v>208</v>
      </c>
      <c r="D49" s="8"/>
    </row>
    <row r="50" spans="1:4" ht="15" customHeight="1" x14ac:dyDescent="0.25">
      <c r="A50" s="469"/>
      <c r="B50" s="231" t="str">
        <f t="shared" si="0"/>
        <v>00</v>
      </c>
      <c r="C50" s="3" t="s">
        <v>613</v>
      </c>
      <c r="D50" s="8" t="s">
        <v>838</v>
      </c>
    </row>
    <row r="51" spans="1:4" ht="15" customHeight="1" x14ac:dyDescent="0.25">
      <c r="A51" s="469"/>
      <c r="B51" s="231" t="str">
        <f t="shared" si="0"/>
        <v>01</v>
      </c>
      <c r="C51" s="5" t="s">
        <v>614</v>
      </c>
      <c r="D51" s="8"/>
    </row>
    <row r="52" spans="1:4" ht="30" x14ac:dyDescent="0.25">
      <c r="A52" s="476" t="s">
        <v>29</v>
      </c>
      <c r="B52" s="231"/>
      <c r="C52" s="3" t="s">
        <v>226</v>
      </c>
      <c r="D52" s="8"/>
    </row>
    <row r="53" spans="1:4" x14ac:dyDescent="0.25">
      <c r="A53" s="477"/>
      <c r="B53" s="231" t="str">
        <f t="shared" si="0"/>
        <v>00</v>
      </c>
      <c r="C53" s="5" t="s">
        <v>615</v>
      </c>
      <c r="D53" s="8"/>
    </row>
    <row r="54" spans="1:4" ht="15" customHeight="1" x14ac:dyDescent="0.25">
      <c r="A54" s="469" t="s">
        <v>28</v>
      </c>
      <c r="B54" s="231"/>
      <c r="C54" s="3" t="s">
        <v>209</v>
      </c>
      <c r="D54" s="8"/>
    </row>
    <row r="55" spans="1:4" ht="15" customHeight="1" x14ac:dyDescent="0.25">
      <c r="A55" s="469"/>
      <c r="B55" s="231" t="str">
        <f t="shared" si="0"/>
        <v>01</v>
      </c>
      <c r="C55" s="5" t="s">
        <v>616</v>
      </c>
      <c r="D55" s="8"/>
    </row>
    <row r="56" spans="1:4" ht="15" customHeight="1" x14ac:dyDescent="0.25">
      <c r="A56" s="469" t="s">
        <v>27</v>
      </c>
      <c r="B56" s="231"/>
      <c r="C56" s="3" t="s">
        <v>211</v>
      </c>
      <c r="D56" s="8"/>
    </row>
    <row r="57" spans="1:4" ht="15" customHeight="1" x14ac:dyDescent="0.25">
      <c r="A57" s="469"/>
      <c r="B57" s="231" t="str">
        <f t="shared" si="0"/>
        <v>10</v>
      </c>
      <c r="C57" s="3" t="s">
        <v>670</v>
      </c>
      <c r="D57" s="8"/>
    </row>
    <row r="58" spans="1:4" ht="15" customHeight="1" x14ac:dyDescent="0.25">
      <c r="A58" s="469"/>
      <c r="B58" s="231" t="str">
        <f t="shared" si="0"/>
        <v>11</v>
      </c>
      <c r="C58" s="5" t="s">
        <v>671</v>
      </c>
      <c r="D58" s="8"/>
    </row>
    <row r="59" spans="1:4" ht="15" customHeight="1" x14ac:dyDescent="0.25">
      <c r="A59" s="474" t="s">
        <v>31</v>
      </c>
      <c r="B59" s="231"/>
      <c r="C59" s="5" t="s">
        <v>212</v>
      </c>
      <c r="D59" s="8"/>
    </row>
    <row r="60" spans="1:4" ht="15" customHeight="1" x14ac:dyDescent="0.25">
      <c r="A60" s="474"/>
      <c r="B60" s="231" t="str">
        <f t="shared" si="0"/>
        <v>01000000</v>
      </c>
      <c r="C60" s="32" t="s">
        <v>213</v>
      </c>
      <c r="D60" s="8"/>
    </row>
    <row r="61" spans="1:4" ht="15" customHeight="1" x14ac:dyDescent="0.25">
      <c r="A61" s="474"/>
      <c r="B61" s="231" t="str">
        <f t="shared" si="0"/>
        <v>01000100</v>
      </c>
      <c r="C61" s="32" t="s">
        <v>536</v>
      </c>
      <c r="D61" s="8"/>
    </row>
    <row r="62" spans="1:4" ht="15" customHeight="1" x14ac:dyDescent="0.25">
      <c r="A62" s="474"/>
      <c r="B62" s="231" t="str">
        <f t="shared" si="0"/>
        <v>01010000</v>
      </c>
      <c r="C62" s="32" t="s">
        <v>434</v>
      </c>
      <c r="D62" s="8"/>
    </row>
    <row r="63" spans="1:4" ht="15" customHeight="1" x14ac:dyDescent="0.25">
      <c r="A63" s="474"/>
      <c r="B63" s="231" t="str">
        <f t="shared" si="0"/>
        <v>01011000</v>
      </c>
      <c r="C63" s="32" t="s">
        <v>707</v>
      </c>
      <c r="D63" s="8"/>
    </row>
    <row r="64" spans="1:4" x14ac:dyDescent="0.25">
      <c r="A64" s="474"/>
      <c r="B64" s="231" t="str">
        <f t="shared" si="0"/>
        <v>01100000</v>
      </c>
      <c r="C64" s="32" t="s">
        <v>617</v>
      </c>
      <c r="D64" s="8"/>
    </row>
    <row r="65" spans="1:4" x14ac:dyDescent="0.25">
      <c r="A65" s="474"/>
      <c r="B65" s="231" t="str">
        <f t="shared" si="0"/>
        <v>01100100</v>
      </c>
      <c r="C65" s="32" t="s">
        <v>618</v>
      </c>
      <c r="D65" s="8"/>
    </row>
    <row r="66" spans="1:4" x14ac:dyDescent="0.25">
      <c r="A66" s="474"/>
      <c r="B66" s="231" t="str">
        <f t="shared" si="0"/>
        <v>01100101</v>
      </c>
      <c r="C66" s="32" t="s">
        <v>537</v>
      </c>
      <c r="D66" s="8"/>
    </row>
    <row r="67" spans="1:4" s="163" customFormat="1" x14ac:dyDescent="0.25">
      <c r="A67" s="474"/>
      <c r="B67" s="262" t="str">
        <f t="shared" si="0"/>
        <v>01101100</v>
      </c>
      <c r="C67" s="32" t="s">
        <v>863</v>
      </c>
      <c r="D67" s="8"/>
    </row>
    <row r="68" spans="1:4" s="163" customFormat="1" x14ac:dyDescent="0.25">
      <c r="A68" s="474"/>
      <c r="B68" s="262" t="str">
        <f t="shared" si="0"/>
        <v>01101110</v>
      </c>
      <c r="C68" s="32" t="s">
        <v>865</v>
      </c>
      <c r="D68" s="8"/>
    </row>
    <row r="69" spans="1:4" s="163" customFormat="1" x14ac:dyDescent="0.25">
      <c r="A69" s="474"/>
      <c r="B69" s="262" t="str">
        <f t="shared" si="0"/>
        <v>01101111</v>
      </c>
      <c r="C69" s="32" t="s">
        <v>866</v>
      </c>
      <c r="D69" s="8"/>
    </row>
    <row r="70" spans="1:4" x14ac:dyDescent="0.25">
      <c r="A70" s="474"/>
      <c r="B70" s="262" t="str">
        <f t="shared" si="0"/>
        <v>01110000</v>
      </c>
      <c r="C70" s="32" t="s">
        <v>435</v>
      </c>
      <c r="D70" s="8"/>
    </row>
    <row r="71" spans="1:4" s="163" customFormat="1" x14ac:dyDescent="0.25">
      <c r="A71" s="474"/>
      <c r="B71" s="262" t="str">
        <f t="shared" ref="B71:B74" si="2">LEFT(C71,LEN(C71)-(LEN(C71)-FIND("-",C71,1))-2)</f>
        <v>01110110</v>
      </c>
      <c r="C71" s="32" t="s">
        <v>864</v>
      </c>
      <c r="D71" s="8"/>
    </row>
    <row r="72" spans="1:4" s="163" customFormat="1" x14ac:dyDescent="0.25">
      <c r="A72" s="474"/>
      <c r="B72" s="263" t="str">
        <f t="shared" si="2"/>
        <v>01110011</v>
      </c>
      <c r="C72" s="32" t="s">
        <v>868</v>
      </c>
      <c r="D72" s="8"/>
    </row>
    <row r="73" spans="1:4" x14ac:dyDescent="0.25">
      <c r="A73" s="474"/>
      <c r="B73" s="262" t="str">
        <f t="shared" si="2"/>
        <v>10000000</v>
      </c>
      <c r="C73" s="32" t="s">
        <v>436</v>
      </c>
      <c r="D73" s="8"/>
    </row>
    <row r="74" spans="1:4" x14ac:dyDescent="0.25">
      <c r="A74" s="474"/>
      <c r="B74" s="262" t="str">
        <f t="shared" si="2"/>
        <v>10001000</v>
      </c>
      <c r="C74" s="32" t="s">
        <v>214</v>
      </c>
      <c r="D74" s="8"/>
    </row>
    <row r="75" spans="1:4" x14ac:dyDescent="0.25">
      <c r="A75" s="474"/>
      <c r="B75" s="231" t="str">
        <f t="shared" ref="B75:B141" si="3">LEFT(C75,LEN(C75)-(LEN(C75)-FIND("-",C75,1))-2)</f>
        <v>10010000</v>
      </c>
      <c r="C75" s="32" t="s">
        <v>437</v>
      </c>
      <c r="D75" s="8"/>
    </row>
    <row r="76" spans="1:4" x14ac:dyDescent="0.25">
      <c r="A76" s="474"/>
      <c r="B76" s="231" t="str">
        <f t="shared" si="3"/>
        <v>10011000</v>
      </c>
      <c r="C76" s="32" t="s">
        <v>215</v>
      </c>
      <c r="D76" s="8"/>
    </row>
    <row r="77" spans="1:4" x14ac:dyDescent="0.25">
      <c r="A77" s="474"/>
      <c r="B77" s="231" t="str">
        <f t="shared" si="3"/>
        <v>10100000</v>
      </c>
      <c r="C77" s="32" t="s">
        <v>438</v>
      </c>
      <c r="D77" s="8"/>
    </row>
    <row r="78" spans="1:4" x14ac:dyDescent="0.25">
      <c r="A78" s="474"/>
      <c r="B78" s="231" t="str">
        <f t="shared" si="3"/>
        <v>10110000</v>
      </c>
      <c r="C78" s="32" t="s">
        <v>439</v>
      </c>
      <c r="D78" s="8"/>
    </row>
    <row r="79" spans="1:4" x14ac:dyDescent="0.25">
      <c r="A79" s="474"/>
      <c r="B79" s="231" t="str">
        <f t="shared" si="3"/>
        <v>10110001</v>
      </c>
      <c r="C79" s="32" t="s">
        <v>216</v>
      </c>
      <c r="D79" s="8"/>
    </row>
    <row r="80" spans="1:4" ht="15" customHeight="1" x14ac:dyDescent="0.25">
      <c r="A80" s="469" t="s">
        <v>156</v>
      </c>
      <c r="B80" s="231"/>
      <c r="C80" s="7" t="s">
        <v>235</v>
      </c>
      <c r="D80" s="8" t="s">
        <v>444</v>
      </c>
    </row>
    <row r="81" spans="1:4" ht="15" customHeight="1" x14ac:dyDescent="0.25">
      <c r="A81" s="469"/>
      <c r="B81" s="231" t="str">
        <f t="shared" si="3"/>
        <v>00</v>
      </c>
      <c r="C81" s="5" t="s">
        <v>681</v>
      </c>
      <c r="D81" s="8"/>
    </row>
    <row r="82" spans="1:4" ht="15" customHeight="1" x14ac:dyDescent="0.25">
      <c r="A82" s="469"/>
      <c r="B82" s="231" t="str">
        <f t="shared" si="3"/>
        <v>01</v>
      </c>
      <c r="C82" s="5" t="s">
        <v>682</v>
      </c>
      <c r="D82" s="8"/>
    </row>
    <row r="83" spans="1:4" ht="15" customHeight="1" x14ac:dyDescent="0.25">
      <c r="A83" s="469"/>
      <c r="B83" s="231" t="str">
        <f t="shared" si="3"/>
        <v>10</v>
      </c>
      <c r="C83" s="5" t="s">
        <v>683</v>
      </c>
      <c r="D83" s="8"/>
    </row>
    <row r="84" spans="1:4" ht="15" customHeight="1" x14ac:dyDescent="0.25">
      <c r="A84" s="469" t="s">
        <v>33</v>
      </c>
      <c r="B84" s="231"/>
      <c r="C84" s="3" t="s">
        <v>217</v>
      </c>
      <c r="D84" s="8"/>
    </row>
    <row r="85" spans="1:4" ht="15" customHeight="1" x14ac:dyDescent="0.25">
      <c r="A85" s="469"/>
      <c r="B85" s="231" t="str">
        <f t="shared" si="3"/>
        <v>01</v>
      </c>
      <c r="C85" s="5" t="s">
        <v>218</v>
      </c>
      <c r="D85" s="8"/>
    </row>
    <row r="86" spans="1:4" x14ac:dyDescent="0.25">
      <c r="A86" s="469"/>
      <c r="B86" s="231" t="str">
        <f t="shared" si="3"/>
        <v>11</v>
      </c>
      <c r="C86" s="5" t="s">
        <v>619</v>
      </c>
      <c r="D86" s="8"/>
    </row>
    <row r="87" spans="1:4" ht="15.75" customHeight="1" x14ac:dyDescent="0.25">
      <c r="A87" s="471" t="s">
        <v>32</v>
      </c>
      <c r="B87" s="231"/>
      <c r="C87" s="5" t="s">
        <v>219</v>
      </c>
      <c r="D87" s="8" t="s">
        <v>674</v>
      </c>
    </row>
    <row r="88" spans="1:4" x14ac:dyDescent="0.25">
      <c r="A88" s="472"/>
      <c r="B88" s="231" t="str">
        <f t="shared" si="3"/>
        <v>0</v>
      </c>
      <c r="C88" s="5" t="s">
        <v>403</v>
      </c>
      <c r="D88" s="8"/>
    </row>
    <row r="89" spans="1:4" x14ac:dyDescent="0.25">
      <c r="A89" s="473"/>
      <c r="B89" s="231" t="str">
        <f t="shared" si="3"/>
        <v>1</v>
      </c>
      <c r="C89" s="5" t="s">
        <v>404</v>
      </c>
      <c r="D89" s="8"/>
    </row>
    <row r="90" spans="1:4" x14ac:dyDescent="0.25">
      <c r="A90" s="474" t="s">
        <v>36</v>
      </c>
      <c r="B90" s="231"/>
      <c r="C90" s="5" t="s">
        <v>220</v>
      </c>
      <c r="D90" s="8"/>
    </row>
    <row r="91" spans="1:4" x14ac:dyDescent="0.25">
      <c r="A91" s="474"/>
      <c r="B91" s="231" t="str">
        <f t="shared" si="3"/>
        <v>01000000</v>
      </c>
      <c r="C91" s="32" t="s">
        <v>213</v>
      </c>
      <c r="D91" s="8"/>
    </row>
    <row r="92" spans="1:4" x14ac:dyDescent="0.25">
      <c r="A92" s="474"/>
      <c r="B92" s="231" t="str">
        <f t="shared" si="3"/>
        <v>01000100</v>
      </c>
      <c r="C92" s="32" t="s">
        <v>536</v>
      </c>
      <c r="D92" s="8"/>
    </row>
    <row r="93" spans="1:4" x14ac:dyDescent="0.25">
      <c r="A93" s="474"/>
      <c r="B93" s="231" t="str">
        <f t="shared" si="3"/>
        <v>01010000</v>
      </c>
      <c r="C93" s="32" t="s">
        <v>434</v>
      </c>
      <c r="D93" s="8"/>
    </row>
    <row r="94" spans="1:4" x14ac:dyDescent="0.25">
      <c r="A94" s="474"/>
      <c r="B94" s="231" t="str">
        <f t="shared" si="3"/>
        <v>01011000</v>
      </c>
      <c r="C94" s="32" t="s">
        <v>707</v>
      </c>
      <c r="D94" s="8"/>
    </row>
    <row r="95" spans="1:4" x14ac:dyDescent="0.25">
      <c r="A95" s="474"/>
      <c r="B95" s="231" t="str">
        <f t="shared" si="3"/>
        <v>01100000</v>
      </c>
      <c r="C95" s="32" t="s">
        <v>617</v>
      </c>
      <c r="D95" s="8"/>
    </row>
    <row r="96" spans="1:4" x14ac:dyDescent="0.25">
      <c r="A96" s="474"/>
      <c r="B96" s="262" t="str">
        <f t="shared" si="3"/>
        <v>01100100</v>
      </c>
      <c r="C96" s="32" t="s">
        <v>618</v>
      </c>
      <c r="D96" s="8"/>
    </row>
    <row r="97" spans="1:4" x14ac:dyDescent="0.25">
      <c r="A97" s="474"/>
      <c r="B97" s="262" t="str">
        <f t="shared" si="3"/>
        <v>01100101</v>
      </c>
      <c r="C97" s="32" t="s">
        <v>537</v>
      </c>
      <c r="D97" s="8"/>
    </row>
    <row r="98" spans="1:4" s="163" customFormat="1" x14ac:dyDescent="0.25">
      <c r="A98" s="474"/>
      <c r="B98" s="262" t="str">
        <f t="shared" si="3"/>
        <v>01101100</v>
      </c>
      <c r="C98" s="32" t="s">
        <v>863</v>
      </c>
      <c r="D98" s="8"/>
    </row>
    <row r="99" spans="1:4" s="163" customFormat="1" x14ac:dyDescent="0.25">
      <c r="A99" s="474"/>
      <c r="B99" s="262" t="str">
        <f t="shared" si="3"/>
        <v>01101110</v>
      </c>
      <c r="C99" s="32" t="s">
        <v>865</v>
      </c>
      <c r="D99" s="8"/>
    </row>
    <row r="100" spans="1:4" s="163" customFormat="1" x14ac:dyDescent="0.25">
      <c r="A100" s="474"/>
      <c r="B100" s="262" t="str">
        <f t="shared" si="3"/>
        <v>01101111</v>
      </c>
      <c r="C100" s="32" t="s">
        <v>866</v>
      </c>
      <c r="D100" s="8"/>
    </row>
    <row r="101" spans="1:4" x14ac:dyDescent="0.25">
      <c r="A101" s="474"/>
      <c r="B101" s="262" t="str">
        <f t="shared" si="3"/>
        <v>01110000</v>
      </c>
      <c r="C101" s="32" t="s">
        <v>435</v>
      </c>
      <c r="D101" s="8"/>
    </row>
    <row r="102" spans="1:4" s="163" customFormat="1" x14ac:dyDescent="0.25">
      <c r="A102" s="474"/>
      <c r="B102" s="262" t="str">
        <f t="shared" si="3"/>
        <v>01110110</v>
      </c>
      <c r="C102" s="32" t="s">
        <v>864</v>
      </c>
      <c r="D102" s="8"/>
    </row>
    <row r="103" spans="1:4" s="163" customFormat="1" x14ac:dyDescent="0.25">
      <c r="A103" s="474"/>
      <c r="B103" s="262" t="str">
        <f t="shared" si="3"/>
        <v>01110011</v>
      </c>
      <c r="C103" s="32" t="s">
        <v>868</v>
      </c>
      <c r="D103" s="8"/>
    </row>
    <row r="104" spans="1:4" x14ac:dyDescent="0.25">
      <c r="A104" s="474"/>
      <c r="B104" s="262" t="str">
        <f t="shared" si="3"/>
        <v>10000000</v>
      </c>
      <c r="C104" s="32" t="s">
        <v>436</v>
      </c>
      <c r="D104" s="8"/>
    </row>
    <row r="105" spans="1:4" x14ac:dyDescent="0.25">
      <c r="A105" s="474"/>
      <c r="B105" s="262" t="str">
        <f t="shared" si="3"/>
        <v>10001000</v>
      </c>
      <c r="C105" s="32" t="s">
        <v>214</v>
      </c>
      <c r="D105" s="8"/>
    </row>
    <row r="106" spans="1:4" x14ac:dyDescent="0.25">
      <c r="A106" s="474"/>
      <c r="B106" s="231" t="str">
        <f t="shared" si="3"/>
        <v>10010000</v>
      </c>
      <c r="C106" s="32" t="s">
        <v>437</v>
      </c>
      <c r="D106" s="8"/>
    </row>
    <row r="107" spans="1:4" x14ac:dyDescent="0.25">
      <c r="A107" s="474"/>
      <c r="B107" s="231" t="str">
        <f t="shared" si="3"/>
        <v>10011000</v>
      </c>
      <c r="C107" s="32" t="s">
        <v>215</v>
      </c>
      <c r="D107" s="8"/>
    </row>
    <row r="108" spans="1:4" x14ac:dyDescent="0.25">
      <c r="A108" s="474"/>
      <c r="B108" s="231" t="str">
        <f t="shared" si="3"/>
        <v>10100000</v>
      </c>
      <c r="C108" s="32" t="s">
        <v>438</v>
      </c>
      <c r="D108" s="8"/>
    </row>
    <row r="109" spans="1:4" x14ac:dyDescent="0.25">
      <c r="A109" s="474"/>
      <c r="B109" s="231" t="str">
        <f t="shared" si="3"/>
        <v>10110000</v>
      </c>
      <c r="C109" s="32" t="s">
        <v>439</v>
      </c>
      <c r="D109" s="8"/>
    </row>
    <row r="110" spans="1:4" x14ac:dyDescent="0.25">
      <c r="A110" s="474"/>
      <c r="B110" s="231" t="str">
        <f t="shared" si="3"/>
        <v>10110001</v>
      </c>
      <c r="C110" s="32" t="s">
        <v>216</v>
      </c>
      <c r="D110" s="8"/>
    </row>
    <row r="111" spans="1:4" ht="15" customHeight="1" x14ac:dyDescent="0.25">
      <c r="A111" s="469" t="s">
        <v>157</v>
      </c>
      <c r="B111" s="231"/>
      <c r="C111" s="7" t="s">
        <v>236</v>
      </c>
      <c r="D111" s="8" t="s">
        <v>444</v>
      </c>
    </row>
    <row r="112" spans="1:4" ht="15" customHeight="1" x14ac:dyDescent="0.25">
      <c r="A112" s="469"/>
      <c r="B112" s="231" t="str">
        <f t="shared" si="3"/>
        <v>00</v>
      </c>
      <c r="C112" s="5" t="s">
        <v>681</v>
      </c>
      <c r="D112" s="8"/>
    </row>
    <row r="113" spans="1:4" ht="15" customHeight="1" x14ac:dyDescent="0.25">
      <c r="A113" s="469"/>
      <c r="B113" s="231" t="str">
        <f t="shared" si="3"/>
        <v>01</v>
      </c>
      <c r="C113" s="5" t="s">
        <v>682</v>
      </c>
      <c r="D113" s="8"/>
    </row>
    <row r="114" spans="1:4" ht="15" customHeight="1" x14ac:dyDescent="0.25">
      <c r="A114" s="469"/>
      <c r="B114" s="231" t="str">
        <f t="shared" si="3"/>
        <v>10</v>
      </c>
      <c r="C114" s="5" t="s">
        <v>683</v>
      </c>
      <c r="D114" s="8"/>
    </row>
    <row r="115" spans="1:4" ht="15.75" customHeight="1" x14ac:dyDescent="0.25">
      <c r="A115" s="469" t="s">
        <v>143</v>
      </c>
      <c r="B115" s="231"/>
      <c r="C115" s="7" t="s">
        <v>221</v>
      </c>
      <c r="D115" s="8"/>
    </row>
    <row r="116" spans="1:4" ht="15" customHeight="1" x14ac:dyDescent="0.25">
      <c r="A116" s="469"/>
      <c r="B116" s="231" t="str">
        <f t="shared" si="3"/>
        <v>0</v>
      </c>
      <c r="C116" s="5" t="s">
        <v>403</v>
      </c>
      <c r="D116" s="8"/>
    </row>
    <row r="117" spans="1:4" ht="15" customHeight="1" x14ac:dyDescent="0.25">
      <c r="A117" s="469"/>
      <c r="B117" s="231" t="str">
        <f t="shared" si="3"/>
        <v>1</v>
      </c>
      <c r="C117" s="5" t="s">
        <v>404</v>
      </c>
      <c r="D117" s="8"/>
    </row>
    <row r="118" spans="1:4" ht="15" customHeight="1" x14ac:dyDescent="0.25">
      <c r="A118" s="469" t="s">
        <v>37</v>
      </c>
      <c r="B118" s="231"/>
      <c r="C118" s="3" t="s">
        <v>222</v>
      </c>
      <c r="D118" s="8"/>
    </row>
    <row r="119" spans="1:4" ht="15" customHeight="1" x14ac:dyDescent="0.25">
      <c r="A119" s="469"/>
      <c r="B119" s="231" t="str">
        <f t="shared" si="3"/>
        <v>01</v>
      </c>
      <c r="C119" s="5" t="s">
        <v>218</v>
      </c>
      <c r="D119" s="8"/>
    </row>
    <row r="120" spans="1:4" ht="15" customHeight="1" x14ac:dyDescent="0.25">
      <c r="A120" s="469"/>
      <c r="B120" s="231" t="str">
        <f t="shared" si="3"/>
        <v>11</v>
      </c>
      <c r="C120" s="5" t="s">
        <v>619</v>
      </c>
      <c r="D120" s="8"/>
    </row>
    <row r="121" spans="1:4" ht="15.75" customHeight="1" x14ac:dyDescent="0.25">
      <c r="A121" s="470" t="s">
        <v>162</v>
      </c>
      <c r="B121" s="231"/>
      <c r="C121" s="7" t="s">
        <v>445</v>
      </c>
      <c r="D121" s="8"/>
    </row>
    <row r="122" spans="1:4" ht="15" customHeight="1" x14ac:dyDescent="0.25">
      <c r="A122" s="470"/>
      <c r="B122" s="231" t="str">
        <f t="shared" si="3"/>
        <v>0</v>
      </c>
      <c r="C122" s="5" t="s">
        <v>429</v>
      </c>
      <c r="D122" s="8" t="s">
        <v>684</v>
      </c>
    </row>
    <row r="123" spans="1:4" ht="15" customHeight="1" x14ac:dyDescent="0.25">
      <c r="A123" s="471" t="s">
        <v>161</v>
      </c>
      <c r="B123" s="231"/>
      <c r="C123" s="7" t="s">
        <v>425</v>
      </c>
      <c r="D123" s="8"/>
    </row>
    <row r="124" spans="1:4" ht="15" customHeight="1" x14ac:dyDescent="0.25">
      <c r="A124" s="472"/>
      <c r="B124" s="231" t="str">
        <f t="shared" si="3"/>
        <v>0</v>
      </c>
      <c r="C124" s="5" t="s">
        <v>429</v>
      </c>
      <c r="D124" s="8" t="s">
        <v>684</v>
      </c>
    </row>
    <row r="125" spans="1:4" ht="15" customHeight="1" x14ac:dyDescent="0.25">
      <c r="A125" s="469" t="s">
        <v>144</v>
      </c>
      <c r="B125" s="231"/>
      <c r="C125" s="7" t="s">
        <v>223</v>
      </c>
      <c r="D125" s="8"/>
    </row>
    <row r="126" spans="1:4" ht="15" customHeight="1" x14ac:dyDescent="0.25">
      <c r="A126" s="469"/>
      <c r="B126" s="231" t="str">
        <f t="shared" si="3"/>
        <v>0</v>
      </c>
      <c r="C126" s="5" t="s">
        <v>403</v>
      </c>
      <c r="D126" s="8"/>
    </row>
    <row r="127" spans="1:4" ht="15" customHeight="1" x14ac:dyDescent="0.25">
      <c r="A127" s="469"/>
      <c r="B127" s="231" t="str">
        <f t="shared" si="3"/>
        <v>1</v>
      </c>
      <c r="C127" s="5" t="s">
        <v>404</v>
      </c>
      <c r="D127" s="8"/>
    </row>
    <row r="128" spans="1:4" x14ac:dyDescent="0.25">
      <c r="A128" s="469" t="s">
        <v>140</v>
      </c>
      <c r="B128" s="231"/>
      <c r="C128" s="7" t="s">
        <v>237</v>
      </c>
      <c r="D128" s="8" t="s">
        <v>444</v>
      </c>
    </row>
    <row r="129" spans="1:4" x14ac:dyDescent="0.25">
      <c r="A129" s="469"/>
      <c r="B129" s="231" t="str">
        <f t="shared" si="3"/>
        <v>00</v>
      </c>
      <c r="C129" s="5" t="s">
        <v>681</v>
      </c>
      <c r="D129" s="8"/>
    </row>
    <row r="130" spans="1:4" x14ac:dyDescent="0.25">
      <c r="A130" s="469"/>
      <c r="B130" s="231" t="str">
        <f t="shared" si="3"/>
        <v>01</v>
      </c>
      <c r="C130" s="5" t="s">
        <v>682</v>
      </c>
      <c r="D130" s="8"/>
    </row>
    <row r="131" spans="1:4" x14ac:dyDescent="0.25">
      <c r="A131" s="469"/>
      <c r="B131" s="231" t="str">
        <f t="shared" si="3"/>
        <v>10</v>
      </c>
      <c r="C131" s="5" t="s">
        <v>683</v>
      </c>
      <c r="D131" s="8"/>
    </row>
    <row r="132" spans="1:4" x14ac:dyDescent="0.25">
      <c r="A132" s="474" t="s">
        <v>40</v>
      </c>
      <c r="B132" s="231"/>
      <c r="C132" s="5" t="s">
        <v>224</v>
      </c>
      <c r="D132" s="8"/>
    </row>
    <row r="133" spans="1:4" x14ac:dyDescent="0.25">
      <c r="A133" s="474"/>
      <c r="B133" s="231" t="str">
        <f t="shared" si="3"/>
        <v>00000</v>
      </c>
      <c r="C133" s="5" t="s">
        <v>620</v>
      </c>
      <c r="D133" s="8"/>
    </row>
    <row r="134" spans="1:4" x14ac:dyDescent="0.25">
      <c r="A134" s="474"/>
      <c r="B134" s="231" t="str">
        <f t="shared" si="3"/>
        <v>00001</v>
      </c>
      <c r="C134" s="5" t="s">
        <v>621</v>
      </c>
      <c r="D134" s="8"/>
    </row>
    <row r="135" spans="1:4" x14ac:dyDescent="0.25">
      <c r="A135" s="474"/>
      <c r="B135" s="231" t="str">
        <f t="shared" si="3"/>
        <v>00010</v>
      </c>
      <c r="C135" s="5" t="s">
        <v>622</v>
      </c>
      <c r="D135" s="8"/>
    </row>
    <row r="136" spans="1:4" x14ac:dyDescent="0.25">
      <c r="A136" s="474"/>
      <c r="B136" s="231" t="str">
        <f t="shared" si="3"/>
        <v>00011</v>
      </c>
      <c r="C136" s="5" t="s">
        <v>623</v>
      </c>
      <c r="D136" s="8"/>
    </row>
    <row r="137" spans="1:4" x14ac:dyDescent="0.25">
      <c r="A137" s="474"/>
      <c r="B137" s="231" t="str">
        <f t="shared" si="3"/>
        <v>00100</v>
      </c>
      <c r="C137" s="5" t="s">
        <v>624</v>
      </c>
      <c r="D137" s="8"/>
    </row>
    <row r="138" spans="1:4" x14ac:dyDescent="0.25">
      <c r="A138" s="474"/>
      <c r="B138" s="231" t="str">
        <f t="shared" si="3"/>
        <v>00101</v>
      </c>
      <c r="C138" s="5" t="s">
        <v>625</v>
      </c>
      <c r="D138" s="8"/>
    </row>
    <row r="139" spans="1:4" x14ac:dyDescent="0.25">
      <c r="A139" s="474"/>
      <c r="B139" s="231" t="str">
        <f t="shared" si="3"/>
        <v>00110</v>
      </c>
      <c r="C139" s="5" t="s">
        <v>626</v>
      </c>
      <c r="D139" s="8"/>
    </row>
    <row r="140" spans="1:4" x14ac:dyDescent="0.25">
      <c r="A140" s="474"/>
      <c r="B140" s="231" t="str">
        <f t="shared" si="3"/>
        <v>00111</v>
      </c>
      <c r="C140" s="5" t="s">
        <v>627</v>
      </c>
      <c r="D140" s="8"/>
    </row>
    <row r="141" spans="1:4" x14ac:dyDescent="0.25">
      <c r="A141" s="474"/>
      <c r="B141" s="231" t="str">
        <f t="shared" si="3"/>
        <v>01000</v>
      </c>
      <c r="C141" s="5" t="s">
        <v>628</v>
      </c>
      <c r="D141" s="8"/>
    </row>
    <row r="142" spans="1:4" x14ac:dyDescent="0.25">
      <c r="A142" s="474"/>
      <c r="B142" s="231" t="str">
        <f t="shared" ref="B142:B204" si="4">LEFT(C142,LEN(C142)-(LEN(C142)-FIND("-",C142,1))-2)</f>
        <v>01110</v>
      </c>
      <c r="C142" s="5" t="s">
        <v>629</v>
      </c>
      <c r="D142" s="8"/>
    </row>
    <row r="143" spans="1:4" x14ac:dyDescent="0.25">
      <c r="A143" s="474"/>
      <c r="B143" s="231" t="str">
        <f t="shared" si="4"/>
        <v>10000</v>
      </c>
      <c r="C143" s="5" t="s">
        <v>630</v>
      </c>
      <c r="D143" s="8"/>
    </row>
    <row r="144" spans="1:4" x14ac:dyDescent="0.25">
      <c r="A144" s="474"/>
      <c r="B144" s="231" t="str">
        <f t="shared" si="4"/>
        <v>10001</v>
      </c>
      <c r="C144" s="5" t="s">
        <v>631</v>
      </c>
      <c r="D144" s="8"/>
    </row>
    <row r="145" spans="1:4" x14ac:dyDescent="0.25">
      <c r="A145" s="474"/>
      <c r="B145" s="231" t="str">
        <f t="shared" si="4"/>
        <v>10101</v>
      </c>
      <c r="C145" s="5" t="s">
        <v>632</v>
      </c>
      <c r="D145" s="8"/>
    </row>
    <row r="146" spans="1:4" x14ac:dyDescent="0.25">
      <c r="A146" s="469" t="s">
        <v>158</v>
      </c>
      <c r="B146" s="231"/>
      <c r="C146" s="5" t="s">
        <v>225</v>
      </c>
      <c r="D146" s="29"/>
    </row>
    <row r="147" spans="1:4" ht="15" customHeight="1" x14ac:dyDescent="0.25">
      <c r="A147" s="469"/>
      <c r="B147" s="231" t="str">
        <f t="shared" si="4"/>
        <v>001</v>
      </c>
      <c r="C147" s="5" t="s">
        <v>228</v>
      </c>
      <c r="D147" s="489" t="s">
        <v>840</v>
      </c>
    </row>
    <row r="148" spans="1:4" ht="15" customHeight="1" x14ac:dyDescent="0.25">
      <c r="A148" s="469"/>
      <c r="B148" s="231" t="str">
        <f t="shared" si="4"/>
        <v>010</v>
      </c>
      <c r="C148" s="5" t="s">
        <v>229</v>
      </c>
      <c r="D148" s="490"/>
    </row>
    <row r="149" spans="1:4" x14ac:dyDescent="0.25">
      <c r="A149" s="469"/>
      <c r="B149" s="231" t="str">
        <f t="shared" si="4"/>
        <v>011</v>
      </c>
      <c r="C149" s="5" t="s">
        <v>230</v>
      </c>
      <c r="D149" s="8" t="s">
        <v>839</v>
      </c>
    </row>
    <row r="150" spans="1:4" x14ac:dyDescent="0.25">
      <c r="A150" s="469"/>
      <c r="B150" s="231" t="str">
        <f t="shared" si="4"/>
        <v>100</v>
      </c>
      <c r="C150" s="5" t="s">
        <v>231</v>
      </c>
      <c r="D150" s="491" t="s">
        <v>841</v>
      </c>
    </row>
    <row r="151" spans="1:4" x14ac:dyDescent="0.25">
      <c r="A151" s="469"/>
      <c r="B151" s="231" t="str">
        <f t="shared" si="4"/>
        <v>101</v>
      </c>
      <c r="C151" s="5" t="s">
        <v>232</v>
      </c>
      <c r="D151" s="490"/>
    </row>
    <row r="152" spans="1:4" x14ac:dyDescent="0.25">
      <c r="A152" s="469"/>
      <c r="B152" s="231" t="str">
        <f t="shared" si="4"/>
        <v>110</v>
      </c>
      <c r="C152" s="5" t="s">
        <v>233</v>
      </c>
      <c r="D152" s="490"/>
    </row>
    <row r="153" spans="1:4" x14ac:dyDescent="0.25">
      <c r="A153" s="469" t="s">
        <v>159</v>
      </c>
      <c r="B153" s="231"/>
      <c r="C153" s="5" t="s">
        <v>227</v>
      </c>
      <c r="D153" s="99"/>
    </row>
    <row r="154" spans="1:4" x14ac:dyDescent="0.25">
      <c r="A154" s="469"/>
      <c r="B154" s="231" t="str">
        <f t="shared" si="4"/>
        <v>001</v>
      </c>
      <c r="C154" s="5" t="s">
        <v>228</v>
      </c>
      <c r="D154" s="489" t="s">
        <v>840</v>
      </c>
    </row>
    <row r="155" spans="1:4" x14ac:dyDescent="0.25">
      <c r="A155" s="469"/>
      <c r="B155" s="231" t="str">
        <f t="shared" si="4"/>
        <v>010</v>
      </c>
      <c r="C155" s="5" t="s">
        <v>229</v>
      </c>
      <c r="D155" s="490"/>
    </row>
    <row r="156" spans="1:4" x14ac:dyDescent="0.25">
      <c r="A156" s="469"/>
      <c r="B156" s="231" t="str">
        <f t="shared" si="4"/>
        <v>011</v>
      </c>
      <c r="C156" s="5" t="s">
        <v>230</v>
      </c>
      <c r="D156" s="8" t="s">
        <v>839</v>
      </c>
    </row>
    <row r="157" spans="1:4" x14ac:dyDescent="0.25">
      <c r="A157" s="469"/>
      <c r="B157" s="231" t="str">
        <f t="shared" si="4"/>
        <v>100</v>
      </c>
      <c r="C157" s="5" t="s">
        <v>231</v>
      </c>
      <c r="D157" s="491" t="s">
        <v>841</v>
      </c>
    </row>
    <row r="158" spans="1:4" x14ac:dyDescent="0.25">
      <c r="A158" s="469"/>
      <c r="B158" s="231" t="str">
        <f t="shared" si="4"/>
        <v>101</v>
      </c>
      <c r="C158" s="5" t="s">
        <v>232</v>
      </c>
      <c r="D158" s="490"/>
    </row>
    <row r="159" spans="1:4" x14ac:dyDescent="0.25">
      <c r="A159" s="469"/>
      <c r="B159" s="231" t="str">
        <f t="shared" si="4"/>
        <v>110</v>
      </c>
      <c r="C159" s="5" t="s">
        <v>233</v>
      </c>
      <c r="D159" s="490"/>
    </row>
    <row r="160" spans="1:4" x14ac:dyDescent="0.25">
      <c r="A160" s="469" t="s">
        <v>41</v>
      </c>
      <c r="B160" s="231"/>
      <c r="C160" s="3" t="s">
        <v>234</v>
      </c>
      <c r="D160" s="8"/>
    </row>
    <row r="161" spans="1:4" ht="15" customHeight="1" x14ac:dyDescent="0.25">
      <c r="A161" s="469"/>
      <c r="B161" s="231" t="str">
        <f t="shared" si="4"/>
        <v>01</v>
      </c>
      <c r="C161" s="5" t="s">
        <v>218</v>
      </c>
      <c r="D161" s="8"/>
    </row>
    <row r="162" spans="1:4" ht="15" customHeight="1" x14ac:dyDescent="0.25">
      <c r="A162" s="469"/>
      <c r="B162" s="231" t="str">
        <f t="shared" si="4"/>
        <v>11</v>
      </c>
      <c r="C162" s="5" t="s">
        <v>619</v>
      </c>
      <c r="D162" s="8"/>
    </row>
    <row r="163" spans="1:4" ht="15" customHeight="1" x14ac:dyDescent="0.25">
      <c r="A163" s="469" t="s">
        <v>47</v>
      </c>
      <c r="B163" s="231"/>
      <c r="C163" s="3" t="s">
        <v>238</v>
      </c>
      <c r="D163" s="8"/>
    </row>
    <row r="164" spans="1:4" x14ac:dyDescent="0.25">
      <c r="A164" s="469"/>
      <c r="B164" s="231" t="str">
        <f t="shared" si="4"/>
        <v>0</v>
      </c>
      <c r="C164" s="5" t="s">
        <v>633</v>
      </c>
      <c r="D164" s="8" t="s">
        <v>691</v>
      </c>
    </row>
    <row r="165" spans="1:4" ht="15" customHeight="1" x14ac:dyDescent="0.25">
      <c r="A165" s="469"/>
      <c r="B165" s="231" t="str">
        <f t="shared" si="4"/>
        <v>1</v>
      </c>
      <c r="C165" s="5" t="s">
        <v>634</v>
      </c>
      <c r="D165" s="8" t="s">
        <v>690</v>
      </c>
    </row>
    <row r="166" spans="1:4" ht="15" customHeight="1" x14ac:dyDescent="0.25">
      <c r="A166" s="478" t="s">
        <v>45</v>
      </c>
      <c r="B166" s="231"/>
      <c r="C166" s="5" t="s">
        <v>239</v>
      </c>
      <c r="D166" s="8"/>
    </row>
    <row r="167" spans="1:4" ht="15" customHeight="1" x14ac:dyDescent="0.25">
      <c r="A167" s="479"/>
      <c r="B167" s="231" t="str">
        <f t="shared" si="4"/>
        <v>000</v>
      </c>
      <c r="C167" s="5" t="s">
        <v>635</v>
      </c>
      <c r="D167" s="8"/>
    </row>
    <row r="168" spans="1:4" ht="15" customHeight="1" x14ac:dyDescent="0.25">
      <c r="A168" s="479"/>
      <c r="B168" s="231" t="str">
        <f t="shared" si="4"/>
        <v>001</v>
      </c>
      <c r="C168" s="5" t="s">
        <v>636</v>
      </c>
      <c r="D168" s="8"/>
    </row>
    <row r="169" spans="1:4" x14ac:dyDescent="0.25">
      <c r="A169" s="479"/>
      <c r="B169" s="231" t="str">
        <f t="shared" si="4"/>
        <v>010</v>
      </c>
      <c r="C169" s="5" t="s">
        <v>637</v>
      </c>
      <c r="D169" s="8"/>
    </row>
    <row r="170" spans="1:4" x14ac:dyDescent="0.25">
      <c r="A170" s="479"/>
      <c r="B170" s="231" t="str">
        <f t="shared" si="4"/>
        <v>011</v>
      </c>
      <c r="C170" s="5" t="s">
        <v>638</v>
      </c>
      <c r="D170" s="8"/>
    </row>
    <row r="171" spans="1:4" x14ac:dyDescent="0.25">
      <c r="A171" s="479"/>
      <c r="B171" s="231" t="str">
        <f t="shared" si="4"/>
        <v>100</v>
      </c>
      <c r="C171" s="5" t="s">
        <v>639</v>
      </c>
      <c r="D171" s="8"/>
    </row>
    <row r="172" spans="1:4" x14ac:dyDescent="0.25">
      <c r="A172" s="479"/>
      <c r="B172" s="231" t="str">
        <f t="shared" si="4"/>
        <v>101</v>
      </c>
      <c r="C172" s="5" t="s">
        <v>640</v>
      </c>
      <c r="D172" s="8"/>
    </row>
    <row r="173" spans="1:4" x14ac:dyDescent="0.25">
      <c r="A173" s="479"/>
      <c r="B173" s="231" t="str">
        <f t="shared" si="4"/>
        <v>110</v>
      </c>
      <c r="C173" s="5" t="s">
        <v>641</v>
      </c>
      <c r="D173" s="8"/>
    </row>
    <row r="174" spans="1:4" x14ac:dyDescent="0.25">
      <c r="A174" s="480"/>
      <c r="B174" s="231" t="str">
        <f t="shared" si="4"/>
        <v>111</v>
      </c>
      <c r="C174" s="5" t="s">
        <v>642</v>
      </c>
      <c r="D174" s="8"/>
    </row>
    <row r="175" spans="1:4" x14ac:dyDescent="0.25">
      <c r="A175" s="469" t="s">
        <v>46</v>
      </c>
      <c r="B175" s="231"/>
      <c r="C175" s="3" t="s">
        <v>240</v>
      </c>
      <c r="D175" s="8"/>
    </row>
    <row r="176" spans="1:4" x14ac:dyDescent="0.25">
      <c r="A176" s="469"/>
      <c r="B176" s="231" t="str">
        <f t="shared" si="4"/>
        <v>0</v>
      </c>
      <c r="C176" s="5" t="s">
        <v>633</v>
      </c>
      <c r="D176" s="8" t="s">
        <v>447</v>
      </c>
    </row>
    <row r="177" spans="1:4" x14ac:dyDescent="0.25">
      <c r="A177" s="469"/>
      <c r="B177" s="231" t="str">
        <f t="shared" si="4"/>
        <v>1</v>
      </c>
      <c r="C177" s="5" t="s">
        <v>634</v>
      </c>
      <c r="D177" s="8" t="s">
        <v>446</v>
      </c>
    </row>
    <row r="178" spans="1:4" ht="15" customHeight="1" x14ac:dyDescent="0.25">
      <c r="A178" s="478" t="s">
        <v>44</v>
      </c>
      <c r="B178" s="231"/>
      <c r="C178" s="5" t="s">
        <v>241</v>
      </c>
      <c r="D178" s="8"/>
    </row>
    <row r="179" spans="1:4" ht="15" customHeight="1" x14ac:dyDescent="0.25">
      <c r="A179" s="479"/>
      <c r="B179" s="231" t="str">
        <f t="shared" si="4"/>
        <v>000</v>
      </c>
      <c r="C179" s="5" t="s">
        <v>635</v>
      </c>
      <c r="D179" s="8"/>
    </row>
    <row r="180" spans="1:4" ht="15" customHeight="1" x14ac:dyDescent="0.25">
      <c r="A180" s="479"/>
      <c r="B180" s="231" t="str">
        <f t="shared" si="4"/>
        <v>001</v>
      </c>
      <c r="C180" s="5" t="s">
        <v>636</v>
      </c>
      <c r="D180" s="8"/>
    </row>
    <row r="181" spans="1:4" ht="15" customHeight="1" x14ac:dyDescent="0.25">
      <c r="A181" s="479"/>
      <c r="B181" s="231" t="str">
        <f t="shared" si="4"/>
        <v>010</v>
      </c>
      <c r="C181" s="5" t="s">
        <v>637</v>
      </c>
      <c r="D181" s="8"/>
    </row>
    <row r="182" spans="1:4" ht="15" customHeight="1" x14ac:dyDescent="0.25">
      <c r="A182" s="479"/>
      <c r="B182" s="231" t="str">
        <f t="shared" si="4"/>
        <v>011</v>
      </c>
      <c r="C182" s="5" t="s">
        <v>638</v>
      </c>
      <c r="D182" s="8"/>
    </row>
    <row r="183" spans="1:4" ht="15" customHeight="1" x14ac:dyDescent="0.25">
      <c r="A183" s="479"/>
      <c r="B183" s="231" t="str">
        <f t="shared" si="4"/>
        <v>100</v>
      </c>
      <c r="C183" s="5" t="s">
        <v>639</v>
      </c>
      <c r="D183" s="8"/>
    </row>
    <row r="184" spans="1:4" ht="15" customHeight="1" x14ac:dyDescent="0.25">
      <c r="A184" s="479"/>
      <c r="B184" s="231" t="str">
        <f t="shared" si="4"/>
        <v>101</v>
      </c>
      <c r="C184" s="5" t="s">
        <v>640</v>
      </c>
      <c r="D184" s="8"/>
    </row>
    <row r="185" spans="1:4" ht="15" customHeight="1" x14ac:dyDescent="0.25">
      <c r="A185" s="479"/>
      <c r="B185" s="231" t="str">
        <f t="shared" si="4"/>
        <v>110</v>
      </c>
      <c r="C185" s="5" t="s">
        <v>641</v>
      </c>
      <c r="D185" s="8"/>
    </row>
    <row r="186" spans="1:4" ht="15" customHeight="1" x14ac:dyDescent="0.25">
      <c r="A186" s="480"/>
      <c r="B186" s="231" t="str">
        <f t="shared" si="4"/>
        <v>111</v>
      </c>
      <c r="C186" s="5" t="s">
        <v>642</v>
      </c>
      <c r="D186" s="8"/>
    </row>
    <row r="187" spans="1:4" ht="15" customHeight="1" x14ac:dyDescent="0.25">
      <c r="A187" s="481" t="s">
        <v>50</v>
      </c>
      <c r="B187" s="231"/>
      <c r="C187" s="3" t="s">
        <v>242</v>
      </c>
      <c r="D187" s="8"/>
    </row>
    <row r="188" spans="1:4" ht="15" customHeight="1" x14ac:dyDescent="0.25">
      <c r="A188" s="482"/>
      <c r="B188" s="231" t="str">
        <f t="shared" si="4"/>
        <v>000</v>
      </c>
      <c r="C188" s="5" t="s">
        <v>243</v>
      </c>
      <c r="D188" s="8"/>
    </row>
    <row r="189" spans="1:4" ht="15" customHeight="1" x14ac:dyDescent="0.25">
      <c r="A189" s="482"/>
      <c r="B189" s="231" t="str">
        <f t="shared" si="4"/>
        <v>001</v>
      </c>
      <c r="C189" s="5" t="s">
        <v>244</v>
      </c>
      <c r="D189" s="8"/>
    </row>
    <row r="190" spans="1:4" x14ac:dyDescent="0.25">
      <c r="A190" s="482"/>
      <c r="B190" s="231" t="str">
        <f t="shared" si="4"/>
        <v>010</v>
      </c>
      <c r="C190" s="5" t="s">
        <v>245</v>
      </c>
      <c r="D190" s="8"/>
    </row>
    <row r="191" spans="1:4" x14ac:dyDescent="0.25">
      <c r="A191" s="482"/>
      <c r="B191" s="231" t="str">
        <f t="shared" si="4"/>
        <v>011</v>
      </c>
      <c r="C191" s="5" t="s">
        <v>246</v>
      </c>
      <c r="D191" s="8"/>
    </row>
    <row r="192" spans="1:4" x14ac:dyDescent="0.25">
      <c r="A192" s="482"/>
      <c r="B192" s="231" t="str">
        <f t="shared" si="4"/>
        <v>100</v>
      </c>
      <c r="C192" s="5" t="s">
        <v>247</v>
      </c>
      <c r="D192" s="8"/>
    </row>
    <row r="193" spans="1:4" x14ac:dyDescent="0.25">
      <c r="A193" s="482"/>
      <c r="B193" s="231" t="str">
        <f t="shared" si="4"/>
        <v>101</v>
      </c>
      <c r="C193" s="5" t="s">
        <v>248</v>
      </c>
      <c r="D193" s="8"/>
    </row>
    <row r="194" spans="1:4" x14ac:dyDescent="0.25">
      <c r="A194" s="482"/>
      <c r="B194" s="231" t="str">
        <f t="shared" si="4"/>
        <v>110</v>
      </c>
      <c r="C194" s="5" t="s">
        <v>249</v>
      </c>
      <c r="D194" s="8"/>
    </row>
    <row r="195" spans="1:4" x14ac:dyDescent="0.25">
      <c r="A195" s="483"/>
      <c r="B195" s="231" t="str">
        <f t="shared" si="4"/>
        <v>111</v>
      </c>
      <c r="C195" s="5" t="s">
        <v>825</v>
      </c>
      <c r="D195" s="8"/>
    </row>
    <row r="196" spans="1:4" x14ac:dyDescent="0.25">
      <c r="A196" s="481" t="s">
        <v>49</v>
      </c>
      <c r="B196" s="231"/>
      <c r="C196" s="3" t="s">
        <v>250</v>
      </c>
      <c r="D196" s="8"/>
    </row>
    <row r="197" spans="1:4" x14ac:dyDescent="0.25">
      <c r="A197" s="482"/>
      <c r="B197" s="231" t="str">
        <f t="shared" si="4"/>
        <v>000</v>
      </c>
      <c r="C197" s="5" t="s">
        <v>243</v>
      </c>
      <c r="D197" s="8"/>
    </row>
    <row r="198" spans="1:4" x14ac:dyDescent="0.25">
      <c r="A198" s="482"/>
      <c r="B198" s="231" t="str">
        <f t="shared" si="4"/>
        <v>001</v>
      </c>
      <c r="C198" s="5" t="s">
        <v>244</v>
      </c>
      <c r="D198" s="8"/>
    </row>
    <row r="199" spans="1:4" x14ac:dyDescent="0.25">
      <c r="A199" s="482"/>
      <c r="B199" s="231" t="str">
        <f t="shared" si="4"/>
        <v>010</v>
      </c>
      <c r="C199" s="5" t="s">
        <v>245</v>
      </c>
      <c r="D199" s="8"/>
    </row>
    <row r="200" spans="1:4" x14ac:dyDescent="0.25">
      <c r="A200" s="482"/>
      <c r="B200" s="231" t="str">
        <f t="shared" si="4"/>
        <v>011</v>
      </c>
      <c r="C200" s="5" t="s">
        <v>246</v>
      </c>
      <c r="D200" s="8"/>
    </row>
    <row r="201" spans="1:4" x14ac:dyDescent="0.25">
      <c r="A201" s="482"/>
      <c r="B201" s="231" t="str">
        <f t="shared" si="4"/>
        <v>100</v>
      </c>
      <c r="C201" s="5" t="s">
        <v>247</v>
      </c>
      <c r="D201" s="8"/>
    </row>
    <row r="202" spans="1:4" x14ac:dyDescent="0.25">
      <c r="A202" s="482"/>
      <c r="B202" s="231" t="str">
        <f t="shared" si="4"/>
        <v>101</v>
      </c>
      <c r="C202" s="5" t="s">
        <v>248</v>
      </c>
      <c r="D202" s="8"/>
    </row>
    <row r="203" spans="1:4" x14ac:dyDescent="0.25">
      <c r="A203" s="482"/>
      <c r="B203" s="231" t="str">
        <f t="shared" si="4"/>
        <v>110</v>
      </c>
      <c r="C203" s="5" t="s">
        <v>249</v>
      </c>
      <c r="D203" s="8"/>
    </row>
    <row r="204" spans="1:4" x14ac:dyDescent="0.25">
      <c r="A204" s="483"/>
      <c r="B204" s="231" t="str">
        <f t="shared" si="4"/>
        <v>111</v>
      </c>
      <c r="C204" s="5" t="s">
        <v>825</v>
      </c>
      <c r="D204" s="8"/>
    </row>
    <row r="205" spans="1:4" x14ac:dyDescent="0.25">
      <c r="A205" s="481" t="s">
        <v>52</v>
      </c>
      <c r="B205" s="231"/>
      <c r="C205" s="3" t="s">
        <v>251</v>
      </c>
      <c r="D205" s="8"/>
    </row>
    <row r="206" spans="1:4" x14ac:dyDescent="0.25">
      <c r="A206" s="482"/>
      <c r="B206" s="231" t="str">
        <f t="shared" ref="B206:B282" si="5">LEFT(C206,LEN(C206)-(LEN(C206)-FIND("-",C206,1))-2)</f>
        <v>000</v>
      </c>
      <c r="C206" s="5" t="s">
        <v>243</v>
      </c>
      <c r="D206" s="8"/>
    </row>
    <row r="207" spans="1:4" x14ac:dyDescent="0.25">
      <c r="A207" s="482"/>
      <c r="B207" s="231" t="str">
        <f t="shared" si="5"/>
        <v>001</v>
      </c>
      <c r="C207" s="5" t="s">
        <v>244</v>
      </c>
      <c r="D207" s="8"/>
    </row>
    <row r="208" spans="1:4" x14ac:dyDescent="0.25">
      <c r="A208" s="482"/>
      <c r="B208" s="231" t="str">
        <f t="shared" si="5"/>
        <v>010</v>
      </c>
      <c r="C208" s="5" t="s">
        <v>245</v>
      </c>
      <c r="D208" s="8"/>
    </row>
    <row r="209" spans="1:4" x14ac:dyDescent="0.25">
      <c r="A209" s="482"/>
      <c r="B209" s="231" t="str">
        <f t="shared" si="5"/>
        <v>011</v>
      </c>
      <c r="C209" s="5" t="s">
        <v>246</v>
      </c>
      <c r="D209" s="8"/>
    </row>
    <row r="210" spans="1:4" x14ac:dyDescent="0.25">
      <c r="A210" s="482"/>
      <c r="B210" s="231" t="str">
        <f t="shared" si="5"/>
        <v>100</v>
      </c>
      <c r="C210" s="5" t="s">
        <v>247</v>
      </c>
      <c r="D210" s="8"/>
    </row>
    <row r="211" spans="1:4" x14ac:dyDescent="0.25">
      <c r="A211" s="482"/>
      <c r="B211" s="231" t="str">
        <f t="shared" si="5"/>
        <v>101</v>
      </c>
      <c r="C211" s="5" t="s">
        <v>248</v>
      </c>
      <c r="D211" s="8"/>
    </row>
    <row r="212" spans="1:4" x14ac:dyDescent="0.25">
      <c r="A212" s="482"/>
      <c r="B212" s="231" t="str">
        <f t="shared" si="5"/>
        <v>110</v>
      </c>
      <c r="C212" s="5" t="s">
        <v>249</v>
      </c>
      <c r="D212" s="8"/>
    </row>
    <row r="213" spans="1:4" x14ac:dyDescent="0.25">
      <c r="A213" s="483"/>
      <c r="B213" s="231" t="str">
        <f t="shared" si="5"/>
        <v>111</v>
      </c>
      <c r="C213" s="5" t="s">
        <v>825</v>
      </c>
      <c r="D213" s="8"/>
    </row>
    <row r="214" spans="1:4" x14ac:dyDescent="0.25">
      <c r="A214" s="481" t="s">
        <v>51</v>
      </c>
      <c r="B214" s="231"/>
      <c r="C214" s="3" t="s">
        <v>252</v>
      </c>
      <c r="D214" s="8"/>
    </row>
    <row r="215" spans="1:4" x14ac:dyDescent="0.25">
      <c r="A215" s="482"/>
      <c r="B215" s="231" t="str">
        <f t="shared" si="5"/>
        <v>000</v>
      </c>
      <c r="C215" s="5" t="s">
        <v>243</v>
      </c>
      <c r="D215" s="8"/>
    </row>
    <row r="216" spans="1:4" x14ac:dyDescent="0.25">
      <c r="A216" s="482"/>
      <c r="B216" s="231" t="str">
        <f t="shared" si="5"/>
        <v>001</v>
      </c>
      <c r="C216" s="5" t="s">
        <v>244</v>
      </c>
      <c r="D216" s="8"/>
    </row>
    <row r="217" spans="1:4" x14ac:dyDescent="0.25">
      <c r="A217" s="482"/>
      <c r="B217" s="231" t="str">
        <f t="shared" si="5"/>
        <v>010</v>
      </c>
      <c r="C217" s="5" t="s">
        <v>245</v>
      </c>
      <c r="D217" s="8"/>
    </row>
    <row r="218" spans="1:4" x14ac:dyDescent="0.25">
      <c r="A218" s="482"/>
      <c r="B218" s="231" t="str">
        <f t="shared" si="5"/>
        <v>011</v>
      </c>
      <c r="C218" s="5" t="s">
        <v>246</v>
      </c>
      <c r="D218" s="8"/>
    </row>
    <row r="219" spans="1:4" x14ac:dyDescent="0.25">
      <c r="A219" s="482"/>
      <c r="B219" s="231" t="str">
        <f t="shared" si="5"/>
        <v>100</v>
      </c>
      <c r="C219" s="5" t="s">
        <v>247</v>
      </c>
      <c r="D219" s="8"/>
    </row>
    <row r="220" spans="1:4" x14ac:dyDescent="0.25">
      <c r="A220" s="482"/>
      <c r="B220" s="231" t="str">
        <f t="shared" si="5"/>
        <v>101</v>
      </c>
      <c r="C220" s="5" t="s">
        <v>248</v>
      </c>
      <c r="D220" s="8"/>
    </row>
    <row r="221" spans="1:4" ht="15" customHeight="1" x14ac:dyDescent="0.25">
      <c r="A221" s="482"/>
      <c r="B221" s="231" t="str">
        <f t="shared" si="5"/>
        <v>110</v>
      </c>
      <c r="C221" s="5" t="s">
        <v>249</v>
      </c>
      <c r="D221" s="8"/>
    </row>
    <row r="222" spans="1:4" ht="15" customHeight="1" x14ac:dyDescent="0.25">
      <c r="A222" s="483"/>
      <c r="B222" s="231" t="str">
        <f t="shared" si="5"/>
        <v>111</v>
      </c>
      <c r="C222" s="5" t="s">
        <v>825</v>
      </c>
      <c r="D222" s="8"/>
    </row>
    <row r="223" spans="1:4" ht="15" customHeight="1" x14ac:dyDescent="0.25">
      <c r="A223" s="481" t="s">
        <v>53</v>
      </c>
      <c r="B223" s="231"/>
      <c r="C223" s="3" t="s">
        <v>254</v>
      </c>
      <c r="D223" s="8"/>
    </row>
    <row r="224" spans="1:4" ht="15" customHeight="1" x14ac:dyDescent="0.25">
      <c r="A224" s="482"/>
      <c r="B224" s="231" t="str">
        <f t="shared" si="5"/>
        <v>000</v>
      </c>
      <c r="C224" s="5" t="s">
        <v>243</v>
      </c>
      <c r="D224" s="8"/>
    </row>
    <row r="225" spans="1:4" ht="15" customHeight="1" x14ac:dyDescent="0.25">
      <c r="A225" s="482"/>
      <c r="B225" s="231" t="str">
        <f t="shared" si="5"/>
        <v>001</v>
      </c>
      <c r="C225" s="5" t="s">
        <v>244</v>
      </c>
      <c r="D225" s="8"/>
    </row>
    <row r="226" spans="1:4" ht="15" customHeight="1" x14ac:dyDescent="0.25">
      <c r="A226" s="482"/>
      <c r="B226" s="231" t="str">
        <f t="shared" si="5"/>
        <v>010</v>
      </c>
      <c r="C226" s="5" t="s">
        <v>245</v>
      </c>
      <c r="D226" s="8"/>
    </row>
    <row r="227" spans="1:4" ht="15" customHeight="1" x14ac:dyDescent="0.25">
      <c r="A227" s="482"/>
      <c r="B227" s="231" t="str">
        <f t="shared" si="5"/>
        <v>011</v>
      </c>
      <c r="C227" s="5" t="s">
        <v>246</v>
      </c>
      <c r="D227" s="8"/>
    </row>
    <row r="228" spans="1:4" ht="15" customHeight="1" x14ac:dyDescent="0.25">
      <c r="A228" s="482"/>
      <c r="B228" s="231" t="str">
        <f t="shared" si="5"/>
        <v>100</v>
      </c>
      <c r="C228" s="5" t="s">
        <v>247</v>
      </c>
      <c r="D228" s="8"/>
    </row>
    <row r="229" spans="1:4" ht="15" customHeight="1" x14ac:dyDescent="0.25">
      <c r="A229" s="482"/>
      <c r="B229" s="231" t="str">
        <f t="shared" si="5"/>
        <v>101</v>
      </c>
      <c r="C229" s="5" t="s">
        <v>248</v>
      </c>
      <c r="D229" s="8"/>
    </row>
    <row r="230" spans="1:4" ht="15" customHeight="1" x14ac:dyDescent="0.25">
      <c r="A230" s="482"/>
      <c r="B230" s="231" t="str">
        <f t="shared" si="5"/>
        <v>110</v>
      </c>
      <c r="C230" s="5" t="s">
        <v>249</v>
      </c>
      <c r="D230" s="8"/>
    </row>
    <row r="231" spans="1:4" ht="15" customHeight="1" x14ac:dyDescent="0.25">
      <c r="A231" s="483"/>
      <c r="B231" s="231" t="str">
        <f t="shared" si="5"/>
        <v>111</v>
      </c>
      <c r="C231" s="5" t="s">
        <v>825</v>
      </c>
      <c r="D231" s="8"/>
    </row>
    <row r="232" spans="1:4" s="163" customFormat="1" ht="15" customHeight="1" x14ac:dyDescent="0.25">
      <c r="A232" s="474" t="s">
        <v>805</v>
      </c>
      <c r="B232" s="237"/>
      <c r="C232" s="3" t="s">
        <v>832</v>
      </c>
      <c r="D232" s="8"/>
    </row>
    <row r="233" spans="1:4" s="163" customFormat="1" ht="15" customHeight="1" x14ac:dyDescent="0.25">
      <c r="A233" s="474"/>
      <c r="B233" s="237" t="str">
        <f t="shared" ref="B233:B236" si="6">LEFT(C233,LEN(C233)-(LEN(C233)-FIND("-",C233,1))-2)</f>
        <v>00</v>
      </c>
      <c r="C233" s="30" t="s">
        <v>813</v>
      </c>
      <c r="D233" s="8" t="s">
        <v>828</v>
      </c>
    </row>
    <row r="234" spans="1:4" s="163" customFormat="1" ht="15" customHeight="1" x14ac:dyDescent="0.25">
      <c r="A234" s="474"/>
      <c r="B234" s="237" t="str">
        <f t="shared" si="6"/>
        <v>01</v>
      </c>
      <c r="C234" s="6" t="s">
        <v>814</v>
      </c>
      <c r="D234" s="8"/>
    </row>
    <row r="235" spans="1:4" s="163" customFormat="1" ht="15" customHeight="1" x14ac:dyDescent="0.25">
      <c r="A235" s="474"/>
      <c r="B235" s="237" t="str">
        <f t="shared" si="6"/>
        <v>10</v>
      </c>
      <c r="C235" s="3" t="s">
        <v>875</v>
      </c>
      <c r="D235" s="8"/>
    </row>
    <row r="236" spans="1:4" s="163" customFormat="1" ht="15" customHeight="1" x14ac:dyDescent="0.25">
      <c r="A236" s="474"/>
      <c r="B236" s="237" t="str">
        <f t="shared" si="6"/>
        <v>11</v>
      </c>
      <c r="C236" s="6" t="s">
        <v>815</v>
      </c>
      <c r="D236" s="8"/>
    </row>
    <row r="237" spans="1:4" s="163" customFormat="1" ht="15" customHeight="1" x14ac:dyDescent="0.25">
      <c r="A237" s="474" t="s">
        <v>806</v>
      </c>
      <c r="B237" s="237"/>
      <c r="C237" s="3" t="s">
        <v>831</v>
      </c>
      <c r="D237" s="8"/>
    </row>
    <row r="238" spans="1:4" s="163" customFormat="1" ht="15" customHeight="1" x14ac:dyDescent="0.25">
      <c r="A238" s="474"/>
      <c r="B238" s="237" t="str">
        <f t="shared" ref="B238:B241" si="7">LEFT(C238,LEN(C238)-(LEN(C238)-FIND("-",C238,1))-2)</f>
        <v>00</v>
      </c>
      <c r="C238" s="30" t="s">
        <v>876</v>
      </c>
      <c r="D238" s="8" t="s">
        <v>828</v>
      </c>
    </row>
    <row r="239" spans="1:4" s="163" customFormat="1" ht="15" customHeight="1" x14ac:dyDescent="0.25">
      <c r="A239" s="474"/>
      <c r="B239" s="237" t="str">
        <f t="shared" si="7"/>
        <v>01</v>
      </c>
      <c r="C239" s="6" t="s">
        <v>816</v>
      </c>
      <c r="D239" s="8"/>
    </row>
    <row r="240" spans="1:4" s="163" customFormat="1" ht="15" customHeight="1" x14ac:dyDescent="0.25">
      <c r="A240" s="474"/>
      <c r="B240" s="237" t="str">
        <f t="shared" si="7"/>
        <v>10</v>
      </c>
      <c r="C240" s="3" t="s">
        <v>875</v>
      </c>
      <c r="D240" s="8"/>
    </row>
    <row r="241" spans="1:4" s="163" customFormat="1" ht="15" customHeight="1" x14ac:dyDescent="0.25">
      <c r="A241" s="474"/>
      <c r="B241" s="237" t="str">
        <f t="shared" si="7"/>
        <v>11</v>
      </c>
      <c r="C241" s="6" t="s">
        <v>817</v>
      </c>
      <c r="D241" s="8"/>
    </row>
    <row r="242" spans="1:4" s="163" customFormat="1" ht="15.75" customHeight="1" x14ac:dyDescent="0.25">
      <c r="A242" s="469" t="s">
        <v>804</v>
      </c>
      <c r="B242" s="237"/>
      <c r="C242" s="7" t="s">
        <v>823</v>
      </c>
      <c r="D242" s="8"/>
    </row>
    <row r="243" spans="1:4" s="163" customFormat="1" ht="15" customHeight="1" x14ac:dyDescent="0.25">
      <c r="A243" s="469"/>
      <c r="B243" s="237" t="str">
        <f t="shared" ref="B243:B244" si="8">LEFT(C243,LEN(C243)-(LEN(C243)-FIND("-",C243,1))-2)</f>
        <v>0</v>
      </c>
      <c r="C243" s="5" t="s">
        <v>672</v>
      </c>
      <c r="D243" s="8" t="s">
        <v>828</v>
      </c>
    </row>
    <row r="244" spans="1:4" s="163" customFormat="1" ht="15" customHeight="1" x14ac:dyDescent="0.25">
      <c r="A244" s="469"/>
      <c r="B244" s="237" t="str">
        <f t="shared" si="8"/>
        <v>1</v>
      </c>
      <c r="C244" s="5" t="s">
        <v>861</v>
      </c>
      <c r="D244" s="8"/>
    </row>
    <row r="245" spans="1:4" ht="15" customHeight="1" x14ac:dyDescent="0.25">
      <c r="A245" s="481" t="s">
        <v>55</v>
      </c>
      <c r="B245" s="231"/>
      <c r="C245" s="3" t="s">
        <v>256</v>
      </c>
      <c r="D245" s="8"/>
    </row>
    <row r="246" spans="1:4" ht="15" customHeight="1" x14ac:dyDescent="0.25">
      <c r="A246" s="482"/>
      <c r="B246" s="231" t="str">
        <f t="shared" si="5"/>
        <v>000</v>
      </c>
      <c r="C246" s="5" t="s">
        <v>568</v>
      </c>
      <c r="D246" s="8"/>
    </row>
    <row r="247" spans="1:4" ht="15" customHeight="1" x14ac:dyDescent="0.25">
      <c r="A247" s="482"/>
      <c r="B247" s="231" t="str">
        <f t="shared" si="5"/>
        <v>001</v>
      </c>
      <c r="C247" s="5" t="s">
        <v>255</v>
      </c>
      <c r="D247" s="8"/>
    </row>
    <row r="248" spans="1:4" ht="15" customHeight="1" x14ac:dyDescent="0.25">
      <c r="A248" s="482"/>
      <c r="B248" s="231" t="str">
        <f t="shared" si="5"/>
        <v>010</v>
      </c>
      <c r="C248" s="5" t="s">
        <v>257</v>
      </c>
      <c r="D248" s="8"/>
    </row>
    <row r="249" spans="1:4" ht="15" customHeight="1" x14ac:dyDescent="0.25">
      <c r="A249" s="482"/>
      <c r="B249" s="231" t="str">
        <f t="shared" si="5"/>
        <v>011</v>
      </c>
      <c r="C249" s="5" t="s">
        <v>258</v>
      </c>
      <c r="D249" s="8"/>
    </row>
    <row r="250" spans="1:4" ht="15" customHeight="1" x14ac:dyDescent="0.25">
      <c r="A250" s="482"/>
      <c r="B250" s="231" t="str">
        <f t="shared" si="5"/>
        <v>100</v>
      </c>
      <c r="C250" s="5" t="s">
        <v>259</v>
      </c>
      <c r="D250" s="8"/>
    </row>
    <row r="251" spans="1:4" ht="15" customHeight="1" x14ac:dyDescent="0.25">
      <c r="A251" s="482"/>
      <c r="B251" s="231" t="str">
        <f t="shared" si="5"/>
        <v>101</v>
      </c>
      <c r="C251" s="5" t="s">
        <v>260</v>
      </c>
      <c r="D251" s="8"/>
    </row>
    <row r="252" spans="1:4" x14ac:dyDescent="0.25">
      <c r="A252" s="482"/>
      <c r="B252" s="231" t="str">
        <f t="shared" si="5"/>
        <v>110</v>
      </c>
      <c r="C252" s="5" t="s">
        <v>261</v>
      </c>
      <c r="D252" s="8"/>
    </row>
    <row r="253" spans="1:4" x14ac:dyDescent="0.25">
      <c r="A253" s="483"/>
      <c r="B253" s="231" t="str">
        <f t="shared" si="5"/>
        <v>111</v>
      </c>
      <c r="C253" s="5" t="s">
        <v>262</v>
      </c>
      <c r="D253" s="8"/>
    </row>
    <row r="254" spans="1:4" x14ac:dyDescent="0.25">
      <c r="A254" s="481" t="s">
        <v>54</v>
      </c>
      <c r="B254" s="231"/>
      <c r="C254" s="3" t="s">
        <v>267</v>
      </c>
      <c r="D254" s="8"/>
    </row>
    <row r="255" spans="1:4" x14ac:dyDescent="0.25">
      <c r="A255" s="482"/>
      <c r="B255" s="231" t="str">
        <f t="shared" si="5"/>
        <v>000</v>
      </c>
      <c r="C255" s="5" t="s">
        <v>643</v>
      </c>
      <c r="D255" s="8"/>
    </row>
    <row r="256" spans="1:4" x14ac:dyDescent="0.25">
      <c r="A256" s="482"/>
      <c r="B256" s="231" t="str">
        <f t="shared" si="5"/>
        <v>001</v>
      </c>
      <c r="C256" s="5" t="s">
        <v>644</v>
      </c>
      <c r="D256" s="8"/>
    </row>
    <row r="257" spans="1:4" x14ac:dyDescent="0.25">
      <c r="A257" s="482"/>
      <c r="B257" s="231" t="str">
        <f t="shared" si="5"/>
        <v>010</v>
      </c>
      <c r="C257" s="5" t="s">
        <v>645</v>
      </c>
      <c r="D257" s="8"/>
    </row>
    <row r="258" spans="1:4" x14ac:dyDescent="0.25">
      <c r="A258" s="482"/>
      <c r="B258" s="231" t="str">
        <f t="shared" si="5"/>
        <v>011</v>
      </c>
      <c r="C258" s="5" t="s">
        <v>646</v>
      </c>
      <c r="D258" s="8"/>
    </row>
    <row r="259" spans="1:4" x14ac:dyDescent="0.25">
      <c r="A259" s="482"/>
      <c r="B259" s="231" t="str">
        <f t="shared" si="5"/>
        <v>100</v>
      </c>
      <c r="C259" s="5" t="s">
        <v>647</v>
      </c>
      <c r="D259" s="8"/>
    </row>
    <row r="260" spans="1:4" x14ac:dyDescent="0.25">
      <c r="A260" s="482"/>
      <c r="B260" s="231" t="str">
        <f t="shared" si="5"/>
        <v>101</v>
      </c>
      <c r="C260" s="5" t="s">
        <v>648</v>
      </c>
      <c r="D260" s="8"/>
    </row>
    <row r="261" spans="1:4" x14ac:dyDescent="0.25">
      <c r="A261" s="482"/>
      <c r="B261" s="231" t="str">
        <f t="shared" si="5"/>
        <v>110</v>
      </c>
      <c r="C261" s="5" t="s">
        <v>649</v>
      </c>
      <c r="D261" s="8"/>
    </row>
    <row r="262" spans="1:4" x14ac:dyDescent="0.25">
      <c r="A262" s="483"/>
      <c r="B262" s="231" t="str">
        <f t="shared" si="5"/>
        <v>111</v>
      </c>
      <c r="C262" s="5" t="s">
        <v>650</v>
      </c>
      <c r="D262" s="8"/>
    </row>
    <row r="263" spans="1:4" x14ac:dyDescent="0.25">
      <c r="A263" s="481" t="s">
        <v>57</v>
      </c>
      <c r="B263" s="231"/>
      <c r="C263" s="3" t="s">
        <v>263</v>
      </c>
      <c r="D263" s="8"/>
    </row>
    <row r="264" spans="1:4" x14ac:dyDescent="0.25">
      <c r="A264" s="482"/>
      <c r="B264" s="231" t="str">
        <f t="shared" si="5"/>
        <v>000</v>
      </c>
      <c r="C264" s="5" t="s">
        <v>568</v>
      </c>
      <c r="D264" s="8"/>
    </row>
    <row r="265" spans="1:4" x14ac:dyDescent="0.25">
      <c r="A265" s="482"/>
      <c r="B265" s="231" t="str">
        <f t="shared" si="5"/>
        <v>001</v>
      </c>
      <c r="C265" s="5" t="s">
        <v>255</v>
      </c>
      <c r="D265" s="8"/>
    </row>
    <row r="266" spans="1:4" x14ac:dyDescent="0.25">
      <c r="A266" s="482"/>
      <c r="B266" s="231" t="str">
        <f t="shared" si="5"/>
        <v>010</v>
      </c>
      <c r="C266" s="5" t="s">
        <v>257</v>
      </c>
      <c r="D266" s="8"/>
    </row>
    <row r="267" spans="1:4" x14ac:dyDescent="0.25">
      <c r="A267" s="482"/>
      <c r="B267" s="231" t="str">
        <f t="shared" si="5"/>
        <v>011</v>
      </c>
      <c r="C267" s="5" t="s">
        <v>258</v>
      </c>
      <c r="D267" s="8"/>
    </row>
    <row r="268" spans="1:4" x14ac:dyDescent="0.25">
      <c r="A268" s="482"/>
      <c r="B268" s="231" t="str">
        <f t="shared" si="5"/>
        <v>100</v>
      </c>
      <c r="C268" s="5" t="s">
        <v>259</v>
      </c>
      <c r="D268" s="8"/>
    </row>
    <row r="269" spans="1:4" x14ac:dyDescent="0.25">
      <c r="A269" s="482"/>
      <c r="B269" s="231" t="str">
        <f t="shared" si="5"/>
        <v>101</v>
      </c>
      <c r="C269" s="5" t="s">
        <v>260</v>
      </c>
      <c r="D269" s="8"/>
    </row>
    <row r="270" spans="1:4" x14ac:dyDescent="0.25">
      <c r="A270" s="482"/>
      <c r="B270" s="231" t="str">
        <f t="shared" si="5"/>
        <v>110</v>
      </c>
      <c r="C270" s="5" t="s">
        <v>261</v>
      </c>
      <c r="D270" s="8"/>
    </row>
    <row r="271" spans="1:4" x14ac:dyDescent="0.25">
      <c r="A271" s="483"/>
      <c r="B271" s="231" t="str">
        <f t="shared" si="5"/>
        <v>111</v>
      </c>
      <c r="C271" s="5" t="s">
        <v>262</v>
      </c>
      <c r="D271" s="8"/>
    </row>
    <row r="272" spans="1:4" x14ac:dyDescent="0.25">
      <c r="A272" s="481" t="s">
        <v>56</v>
      </c>
      <c r="B272" s="231"/>
      <c r="C272" s="3" t="s">
        <v>264</v>
      </c>
      <c r="D272" s="8"/>
    </row>
    <row r="273" spans="1:4" x14ac:dyDescent="0.25">
      <c r="A273" s="482"/>
      <c r="B273" s="231" t="str">
        <f t="shared" si="5"/>
        <v>000</v>
      </c>
      <c r="C273" s="5" t="s">
        <v>568</v>
      </c>
      <c r="D273" s="8"/>
    </row>
    <row r="274" spans="1:4" x14ac:dyDescent="0.25">
      <c r="A274" s="482"/>
      <c r="B274" s="231" t="str">
        <f t="shared" si="5"/>
        <v>001</v>
      </c>
      <c r="C274" s="5" t="s">
        <v>255</v>
      </c>
      <c r="D274" s="8"/>
    </row>
    <row r="275" spans="1:4" x14ac:dyDescent="0.25">
      <c r="A275" s="482"/>
      <c r="B275" s="231" t="str">
        <f t="shared" si="5"/>
        <v>010</v>
      </c>
      <c r="C275" s="5" t="s">
        <v>257</v>
      </c>
      <c r="D275" s="8"/>
    </row>
    <row r="276" spans="1:4" x14ac:dyDescent="0.25">
      <c r="A276" s="482"/>
      <c r="B276" s="231" t="str">
        <f t="shared" si="5"/>
        <v>011</v>
      </c>
      <c r="C276" s="5" t="s">
        <v>258</v>
      </c>
      <c r="D276" s="8"/>
    </row>
    <row r="277" spans="1:4" x14ac:dyDescent="0.25">
      <c r="A277" s="482"/>
      <c r="B277" s="231" t="str">
        <f t="shared" si="5"/>
        <v>100</v>
      </c>
      <c r="C277" s="5" t="s">
        <v>259</v>
      </c>
      <c r="D277" s="8"/>
    </row>
    <row r="278" spans="1:4" x14ac:dyDescent="0.25">
      <c r="A278" s="482"/>
      <c r="B278" s="231" t="str">
        <f t="shared" si="5"/>
        <v>101</v>
      </c>
      <c r="C278" s="5" t="s">
        <v>260</v>
      </c>
      <c r="D278" s="8"/>
    </row>
    <row r="279" spans="1:4" x14ac:dyDescent="0.25">
      <c r="A279" s="482"/>
      <c r="B279" s="231" t="str">
        <f t="shared" si="5"/>
        <v>110</v>
      </c>
      <c r="C279" s="5" t="s">
        <v>261</v>
      </c>
      <c r="D279" s="8"/>
    </row>
    <row r="280" spans="1:4" x14ac:dyDescent="0.25">
      <c r="A280" s="483"/>
      <c r="B280" s="231" t="str">
        <f t="shared" si="5"/>
        <v>111</v>
      </c>
      <c r="C280" s="5" t="s">
        <v>262</v>
      </c>
      <c r="D280" s="8"/>
    </row>
    <row r="281" spans="1:4" x14ac:dyDescent="0.25">
      <c r="A281" s="481" t="s">
        <v>59</v>
      </c>
      <c r="B281" s="231"/>
      <c r="C281" s="3" t="s">
        <v>265</v>
      </c>
      <c r="D281" s="8"/>
    </row>
    <row r="282" spans="1:4" x14ac:dyDescent="0.25">
      <c r="A282" s="482"/>
      <c r="B282" s="231" t="str">
        <f t="shared" si="5"/>
        <v>000</v>
      </c>
      <c r="C282" s="5" t="s">
        <v>568</v>
      </c>
      <c r="D282" s="8"/>
    </row>
    <row r="283" spans="1:4" x14ac:dyDescent="0.25">
      <c r="A283" s="482"/>
      <c r="B283" s="231" t="str">
        <f t="shared" ref="B283:B346" si="9">LEFT(C283,LEN(C283)-(LEN(C283)-FIND("-",C283,1))-2)</f>
        <v>001</v>
      </c>
      <c r="C283" s="5" t="s">
        <v>255</v>
      </c>
      <c r="D283" s="8"/>
    </row>
    <row r="284" spans="1:4" x14ac:dyDescent="0.25">
      <c r="A284" s="482"/>
      <c r="B284" s="231" t="str">
        <f t="shared" si="9"/>
        <v>010</v>
      </c>
      <c r="C284" s="5" t="s">
        <v>257</v>
      </c>
      <c r="D284" s="8"/>
    </row>
    <row r="285" spans="1:4" x14ac:dyDescent="0.25">
      <c r="A285" s="482"/>
      <c r="B285" s="231" t="str">
        <f t="shared" si="9"/>
        <v>011</v>
      </c>
      <c r="C285" s="5" t="s">
        <v>258</v>
      </c>
      <c r="D285" s="8"/>
    </row>
    <row r="286" spans="1:4" x14ac:dyDescent="0.25">
      <c r="A286" s="482"/>
      <c r="B286" s="231" t="str">
        <f t="shared" si="9"/>
        <v>100</v>
      </c>
      <c r="C286" s="5" t="s">
        <v>259</v>
      </c>
      <c r="D286" s="8"/>
    </row>
    <row r="287" spans="1:4" x14ac:dyDescent="0.25">
      <c r="A287" s="482"/>
      <c r="B287" s="231" t="str">
        <f t="shared" si="9"/>
        <v>101</v>
      </c>
      <c r="C287" s="5" t="s">
        <v>260</v>
      </c>
      <c r="D287" s="8"/>
    </row>
    <row r="288" spans="1:4" x14ac:dyDescent="0.25">
      <c r="A288" s="482"/>
      <c r="B288" s="231" t="str">
        <f t="shared" si="9"/>
        <v>110</v>
      </c>
      <c r="C288" s="5" t="s">
        <v>261</v>
      </c>
      <c r="D288" s="8"/>
    </row>
    <row r="289" spans="1:4" x14ac:dyDescent="0.25">
      <c r="A289" s="483"/>
      <c r="B289" s="231" t="str">
        <f t="shared" si="9"/>
        <v>111</v>
      </c>
      <c r="C289" s="5" t="s">
        <v>262</v>
      </c>
      <c r="D289" s="8"/>
    </row>
    <row r="290" spans="1:4" x14ac:dyDescent="0.25">
      <c r="A290" s="481" t="s">
        <v>58</v>
      </c>
      <c r="B290" s="231"/>
      <c r="C290" s="3" t="s">
        <v>266</v>
      </c>
      <c r="D290" s="8"/>
    </row>
    <row r="291" spans="1:4" x14ac:dyDescent="0.25">
      <c r="A291" s="482"/>
      <c r="B291" s="231" t="str">
        <f t="shared" si="9"/>
        <v>000</v>
      </c>
      <c r="C291" s="5" t="s">
        <v>568</v>
      </c>
      <c r="D291" s="8"/>
    </row>
    <row r="292" spans="1:4" x14ac:dyDescent="0.25">
      <c r="A292" s="482"/>
      <c r="B292" s="231" t="str">
        <f t="shared" si="9"/>
        <v>001</v>
      </c>
      <c r="C292" s="5" t="s">
        <v>255</v>
      </c>
      <c r="D292" s="8"/>
    </row>
    <row r="293" spans="1:4" x14ac:dyDescent="0.25">
      <c r="A293" s="482"/>
      <c r="B293" s="231" t="str">
        <f t="shared" si="9"/>
        <v>010</v>
      </c>
      <c r="C293" s="5" t="s">
        <v>257</v>
      </c>
      <c r="D293" s="8"/>
    </row>
    <row r="294" spans="1:4" x14ac:dyDescent="0.25">
      <c r="A294" s="482"/>
      <c r="B294" s="231" t="str">
        <f t="shared" si="9"/>
        <v>011</v>
      </c>
      <c r="C294" s="5" t="s">
        <v>258</v>
      </c>
      <c r="D294" s="8"/>
    </row>
    <row r="295" spans="1:4" x14ac:dyDescent="0.25">
      <c r="A295" s="482"/>
      <c r="B295" s="231" t="str">
        <f t="shared" si="9"/>
        <v>100</v>
      </c>
      <c r="C295" s="5" t="s">
        <v>259</v>
      </c>
      <c r="D295" s="8"/>
    </row>
    <row r="296" spans="1:4" x14ac:dyDescent="0.25">
      <c r="A296" s="482"/>
      <c r="B296" s="231" t="str">
        <f t="shared" si="9"/>
        <v>101</v>
      </c>
      <c r="C296" s="5" t="s">
        <v>260</v>
      </c>
      <c r="D296" s="8"/>
    </row>
    <row r="297" spans="1:4" x14ac:dyDescent="0.25">
      <c r="A297" s="482"/>
      <c r="B297" s="231" t="str">
        <f t="shared" si="9"/>
        <v>110</v>
      </c>
      <c r="C297" s="5" t="s">
        <v>261</v>
      </c>
      <c r="D297" s="8"/>
    </row>
    <row r="298" spans="1:4" x14ac:dyDescent="0.25">
      <c r="A298" s="483"/>
      <c r="B298" s="231" t="str">
        <f t="shared" si="9"/>
        <v>111</v>
      </c>
      <c r="C298" s="5" t="s">
        <v>262</v>
      </c>
      <c r="D298" s="8"/>
    </row>
    <row r="299" spans="1:4" x14ac:dyDescent="0.25">
      <c r="A299" s="484" t="s">
        <v>66</v>
      </c>
      <c r="B299" s="231"/>
      <c r="C299" s="3" t="s">
        <v>268</v>
      </c>
      <c r="D299" s="8"/>
    </row>
    <row r="300" spans="1:4" x14ac:dyDescent="0.25">
      <c r="A300" s="485"/>
      <c r="B300" s="231" t="str">
        <f t="shared" si="9"/>
        <v>0</v>
      </c>
      <c r="C300" s="7" t="s">
        <v>442</v>
      </c>
      <c r="D300" s="8"/>
    </row>
    <row r="301" spans="1:4" x14ac:dyDescent="0.25">
      <c r="A301" s="484" t="s">
        <v>65</v>
      </c>
      <c r="B301" s="231"/>
      <c r="C301" s="3" t="s">
        <v>269</v>
      </c>
      <c r="D301" s="8"/>
    </row>
    <row r="302" spans="1:4" ht="15" customHeight="1" x14ac:dyDescent="0.25">
      <c r="A302" s="485"/>
      <c r="B302" s="231" t="str">
        <f t="shared" si="9"/>
        <v>0</v>
      </c>
      <c r="C302" s="7" t="s">
        <v>442</v>
      </c>
      <c r="D302" s="8"/>
    </row>
    <row r="303" spans="1:4" x14ac:dyDescent="0.25">
      <c r="A303" s="484" t="s">
        <v>64</v>
      </c>
      <c r="B303" s="231"/>
      <c r="C303" s="3" t="s">
        <v>270</v>
      </c>
      <c r="D303" s="8"/>
    </row>
    <row r="304" spans="1:4" x14ac:dyDescent="0.25">
      <c r="A304" s="485"/>
      <c r="B304" s="231" t="str">
        <f t="shared" si="9"/>
        <v>0</v>
      </c>
      <c r="C304" s="7" t="s">
        <v>442</v>
      </c>
      <c r="D304" s="8"/>
    </row>
    <row r="305" spans="1:4" x14ac:dyDescent="0.25">
      <c r="A305" s="484" t="s">
        <v>63</v>
      </c>
      <c r="B305" s="231"/>
      <c r="C305" s="3" t="s">
        <v>271</v>
      </c>
      <c r="D305" s="8"/>
    </row>
    <row r="306" spans="1:4" x14ac:dyDescent="0.25">
      <c r="A306" s="485"/>
      <c r="B306" s="231" t="str">
        <f t="shared" si="9"/>
        <v>0</v>
      </c>
      <c r="C306" s="7" t="s">
        <v>442</v>
      </c>
      <c r="D306" s="8"/>
    </row>
    <row r="307" spans="1:4" x14ac:dyDescent="0.25">
      <c r="A307" s="484" t="s">
        <v>62</v>
      </c>
      <c r="B307" s="231"/>
      <c r="C307" s="3" t="s">
        <v>272</v>
      </c>
      <c r="D307" s="8"/>
    </row>
    <row r="308" spans="1:4" x14ac:dyDescent="0.25">
      <c r="A308" s="485"/>
      <c r="B308" s="231" t="str">
        <f t="shared" si="9"/>
        <v>0</v>
      </c>
      <c r="C308" s="7" t="s">
        <v>442</v>
      </c>
      <c r="D308" s="8"/>
    </row>
    <row r="309" spans="1:4" x14ac:dyDescent="0.25">
      <c r="A309" s="492"/>
      <c r="B309" s="231" t="str">
        <f t="shared" si="9"/>
        <v>1</v>
      </c>
      <c r="C309" s="7" t="s">
        <v>443</v>
      </c>
      <c r="D309" s="8"/>
    </row>
    <row r="310" spans="1:4" x14ac:dyDescent="0.25">
      <c r="A310" s="484" t="s">
        <v>61</v>
      </c>
      <c r="B310" s="231"/>
      <c r="C310" s="3" t="s">
        <v>428</v>
      </c>
      <c r="D310" s="8"/>
    </row>
    <row r="311" spans="1:4" x14ac:dyDescent="0.25">
      <c r="A311" s="485"/>
      <c r="B311" s="231" t="str">
        <f t="shared" si="9"/>
        <v>0</v>
      </c>
      <c r="C311" s="5" t="s">
        <v>403</v>
      </c>
      <c r="D311" s="8"/>
    </row>
    <row r="312" spans="1:4" x14ac:dyDescent="0.25">
      <c r="A312" s="492"/>
      <c r="B312" s="231" t="str">
        <f t="shared" si="9"/>
        <v>1</v>
      </c>
      <c r="C312" s="5" t="s">
        <v>404</v>
      </c>
      <c r="D312" s="8" t="s">
        <v>673</v>
      </c>
    </row>
    <row r="313" spans="1:4" x14ac:dyDescent="0.25">
      <c r="A313" s="469" t="s">
        <v>60</v>
      </c>
      <c r="B313" s="231"/>
      <c r="C313" s="3" t="s">
        <v>273</v>
      </c>
      <c r="D313" s="8"/>
    </row>
    <row r="314" spans="1:4" x14ac:dyDescent="0.25">
      <c r="A314" s="469"/>
      <c r="B314" s="231" t="str">
        <f t="shared" si="9"/>
        <v>00</v>
      </c>
      <c r="C314" s="5" t="s">
        <v>651</v>
      </c>
      <c r="D314" s="8"/>
    </row>
    <row r="315" spans="1:4" x14ac:dyDescent="0.25">
      <c r="A315" s="469"/>
      <c r="B315" s="231" t="str">
        <f t="shared" si="9"/>
        <v>01</v>
      </c>
      <c r="C315" s="5" t="s">
        <v>652</v>
      </c>
      <c r="D315" s="8"/>
    </row>
    <row r="316" spans="1:4" x14ac:dyDescent="0.25">
      <c r="A316" s="469"/>
      <c r="B316" s="231" t="str">
        <f t="shared" si="9"/>
        <v>10</v>
      </c>
      <c r="C316" s="5" t="s">
        <v>653</v>
      </c>
      <c r="D316" s="8"/>
    </row>
    <row r="317" spans="1:4" x14ac:dyDescent="0.25">
      <c r="A317" s="469"/>
      <c r="B317" s="231" t="str">
        <f t="shared" si="9"/>
        <v>11</v>
      </c>
      <c r="C317" s="5" t="s">
        <v>654</v>
      </c>
      <c r="D317" s="8"/>
    </row>
    <row r="318" spans="1:4" x14ac:dyDescent="0.25">
      <c r="A318" s="476" t="s">
        <v>452</v>
      </c>
      <c r="B318" s="231"/>
      <c r="C318" s="5" t="s">
        <v>451</v>
      </c>
      <c r="D318" s="8"/>
    </row>
    <row r="319" spans="1:4" x14ac:dyDescent="0.25">
      <c r="A319" s="493"/>
      <c r="B319" s="231" t="str">
        <f t="shared" si="9"/>
        <v>0</v>
      </c>
      <c r="C319" s="5" t="s">
        <v>462</v>
      </c>
      <c r="D319" s="8"/>
    </row>
    <row r="320" spans="1:4" x14ac:dyDescent="0.25">
      <c r="A320" s="477"/>
      <c r="B320" s="231" t="str">
        <f t="shared" si="9"/>
        <v>1</v>
      </c>
      <c r="C320" s="5" t="s">
        <v>463</v>
      </c>
      <c r="D320" s="8"/>
    </row>
    <row r="321" spans="1:4" x14ac:dyDescent="0.25">
      <c r="A321" s="476" t="s">
        <v>453</v>
      </c>
      <c r="B321" s="231"/>
      <c r="C321" s="5" t="s">
        <v>454</v>
      </c>
      <c r="D321" s="8"/>
    </row>
    <row r="322" spans="1:4" x14ac:dyDescent="0.25">
      <c r="A322" s="493"/>
      <c r="B322" s="231" t="str">
        <f t="shared" si="9"/>
        <v>0</v>
      </c>
      <c r="C322" s="5" t="s">
        <v>465</v>
      </c>
      <c r="D322" s="8"/>
    </row>
    <row r="323" spans="1:4" x14ac:dyDescent="0.25">
      <c r="A323" s="477"/>
      <c r="B323" s="231" t="str">
        <f t="shared" si="9"/>
        <v>1</v>
      </c>
      <c r="C323" s="5" t="s">
        <v>464</v>
      </c>
      <c r="D323" s="8"/>
    </row>
    <row r="324" spans="1:4" x14ac:dyDescent="0.25">
      <c r="A324" s="476" t="s">
        <v>455</v>
      </c>
      <c r="B324" s="231"/>
      <c r="C324" s="5" t="s">
        <v>456</v>
      </c>
      <c r="D324" s="8"/>
    </row>
    <row r="325" spans="1:4" x14ac:dyDescent="0.25">
      <c r="A325" s="493"/>
      <c r="B325" s="231" t="str">
        <f t="shared" si="9"/>
        <v>0</v>
      </c>
      <c r="C325" s="5" t="s">
        <v>466</v>
      </c>
      <c r="D325" s="8"/>
    </row>
    <row r="326" spans="1:4" x14ac:dyDescent="0.25">
      <c r="A326" s="477"/>
      <c r="B326" s="231" t="str">
        <f t="shared" si="9"/>
        <v>1</v>
      </c>
      <c r="C326" s="5" t="s">
        <v>467</v>
      </c>
      <c r="D326" s="8"/>
    </row>
    <row r="327" spans="1:4" x14ac:dyDescent="0.25">
      <c r="A327" s="476" t="s">
        <v>458</v>
      </c>
      <c r="B327" s="231"/>
      <c r="C327" s="5" t="s">
        <v>457</v>
      </c>
      <c r="D327" s="8"/>
    </row>
    <row r="328" spans="1:4" x14ac:dyDescent="0.25">
      <c r="A328" s="493"/>
      <c r="B328" s="231" t="str">
        <f t="shared" si="9"/>
        <v>0</v>
      </c>
      <c r="C328" s="5" t="s">
        <v>469</v>
      </c>
      <c r="D328" s="8"/>
    </row>
    <row r="329" spans="1:4" x14ac:dyDescent="0.25">
      <c r="A329" s="477"/>
      <c r="B329" s="231" t="str">
        <f t="shared" si="9"/>
        <v>1</v>
      </c>
      <c r="C329" s="5" t="s">
        <v>468</v>
      </c>
      <c r="D329" s="8"/>
    </row>
    <row r="330" spans="1:4" x14ac:dyDescent="0.25">
      <c r="A330" s="476" t="s">
        <v>459</v>
      </c>
      <c r="B330" s="231"/>
      <c r="C330" s="5" t="s">
        <v>460</v>
      </c>
      <c r="D330" s="8"/>
    </row>
    <row r="331" spans="1:4" x14ac:dyDescent="0.25">
      <c r="A331" s="493"/>
      <c r="B331" s="231" t="str">
        <f t="shared" si="9"/>
        <v>0</v>
      </c>
      <c r="C331" s="5" t="s">
        <v>471</v>
      </c>
      <c r="D331" s="8"/>
    </row>
    <row r="332" spans="1:4" x14ac:dyDescent="0.25">
      <c r="A332" s="477"/>
      <c r="B332" s="231" t="str">
        <f t="shared" si="9"/>
        <v>1</v>
      </c>
      <c r="C332" s="5" t="s">
        <v>470</v>
      </c>
      <c r="D332" s="8"/>
    </row>
    <row r="333" spans="1:4" x14ac:dyDescent="0.25">
      <c r="A333" s="476" t="s">
        <v>450</v>
      </c>
      <c r="B333" s="231"/>
      <c r="C333" s="5" t="s">
        <v>461</v>
      </c>
      <c r="D333" s="8"/>
    </row>
    <row r="334" spans="1:4" x14ac:dyDescent="0.25">
      <c r="A334" s="493"/>
      <c r="B334" s="231" t="str">
        <f t="shared" si="9"/>
        <v>0</v>
      </c>
      <c r="C334" s="5" t="s">
        <v>472</v>
      </c>
      <c r="D334" s="8"/>
    </row>
    <row r="335" spans="1:4" x14ac:dyDescent="0.25">
      <c r="A335" s="477"/>
      <c r="B335" s="231" t="str">
        <f t="shared" si="9"/>
        <v>1</v>
      </c>
      <c r="C335" s="5" t="s">
        <v>473</v>
      </c>
      <c r="D335" s="8"/>
    </row>
    <row r="336" spans="1:4" x14ac:dyDescent="0.25">
      <c r="A336" s="486" t="s">
        <v>71</v>
      </c>
      <c r="B336" s="231"/>
      <c r="C336" s="3" t="s">
        <v>274</v>
      </c>
      <c r="D336" s="161"/>
    </row>
    <row r="337" spans="1:4" x14ac:dyDescent="0.25">
      <c r="A337" s="487"/>
      <c r="B337" s="231" t="str">
        <f t="shared" si="9"/>
        <v>0</v>
      </c>
      <c r="C337" s="4" t="s">
        <v>672</v>
      </c>
      <c r="D337" s="8" t="s">
        <v>697</v>
      </c>
    </row>
    <row r="338" spans="1:4" ht="45" x14ac:dyDescent="0.25">
      <c r="A338" s="488"/>
      <c r="B338" s="231" t="str">
        <f t="shared" si="9"/>
        <v>1</v>
      </c>
      <c r="C338" s="4" t="s">
        <v>655</v>
      </c>
      <c r="D338" s="29" t="s">
        <v>835</v>
      </c>
    </row>
    <row r="339" spans="1:4" x14ac:dyDescent="0.25">
      <c r="A339" s="486" t="s">
        <v>70</v>
      </c>
      <c r="B339" s="231"/>
      <c r="C339" s="3" t="s">
        <v>276</v>
      </c>
      <c r="D339" s="161" t="s">
        <v>701</v>
      </c>
    </row>
    <row r="340" spans="1:4" x14ac:dyDescent="0.25">
      <c r="A340" s="487"/>
      <c r="B340" s="231" t="str">
        <f t="shared" si="9"/>
        <v>0</v>
      </c>
      <c r="C340" s="5" t="s">
        <v>403</v>
      </c>
      <c r="D340" s="8"/>
    </row>
    <row r="341" spans="1:4" x14ac:dyDescent="0.25">
      <c r="A341" s="488"/>
      <c r="B341" s="231" t="str">
        <f t="shared" si="9"/>
        <v>1</v>
      </c>
      <c r="C341" s="5" t="s">
        <v>404</v>
      </c>
      <c r="D341" s="8" t="s">
        <v>700</v>
      </c>
    </row>
    <row r="342" spans="1:4" x14ac:dyDescent="0.25">
      <c r="A342" s="486" t="s">
        <v>278</v>
      </c>
      <c r="B342" s="231"/>
      <c r="C342" s="3" t="s">
        <v>275</v>
      </c>
      <c r="D342" s="161"/>
    </row>
    <row r="343" spans="1:4" x14ac:dyDescent="0.25">
      <c r="A343" s="487"/>
      <c r="B343" s="231" t="str">
        <f t="shared" si="9"/>
        <v>0</v>
      </c>
      <c r="C343" s="5" t="s">
        <v>403</v>
      </c>
      <c r="D343" s="8" t="s">
        <v>699</v>
      </c>
    </row>
    <row r="344" spans="1:4" x14ac:dyDescent="0.25">
      <c r="A344" s="488"/>
      <c r="B344" s="231" t="str">
        <f t="shared" si="9"/>
        <v>1</v>
      </c>
      <c r="C344" s="5" t="s">
        <v>404</v>
      </c>
      <c r="D344" s="8" t="s">
        <v>698</v>
      </c>
    </row>
    <row r="345" spans="1:4" x14ac:dyDescent="0.25">
      <c r="A345" s="486" t="s">
        <v>69</v>
      </c>
      <c r="B345" s="231"/>
      <c r="C345" s="24" t="s">
        <v>833</v>
      </c>
      <c r="D345" s="161" t="s">
        <v>448</v>
      </c>
    </row>
    <row r="346" spans="1:4" x14ac:dyDescent="0.25">
      <c r="A346" s="487"/>
      <c r="B346" s="231" t="str">
        <f t="shared" si="9"/>
        <v>0</v>
      </c>
      <c r="C346" s="5" t="s">
        <v>330</v>
      </c>
      <c r="D346" s="8" t="s">
        <v>696</v>
      </c>
    </row>
    <row r="347" spans="1:4" ht="30" x14ac:dyDescent="0.25">
      <c r="A347" s="488"/>
      <c r="B347" s="231" t="str">
        <f t="shared" ref="B347:B379" si="10">LEFT(C347,LEN(C347)-(LEN(C347)-FIND("-",C347,1))-2)</f>
        <v>1</v>
      </c>
      <c r="C347" s="5" t="s">
        <v>836</v>
      </c>
      <c r="D347" s="29" t="s">
        <v>834</v>
      </c>
    </row>
    <row r="348" spans="1:4" x14ac:dyDescent="0.25">
      <c r="A348" s="486" t="s">
        <v>68</v>
      </c>
      <c r="B348" s="231"/>
      <c r="C348" s="3" t="s">
        <v>331</v>
      </c>
      <c r="D348" s="161"/>
    </row>
    <row r="349" spans="1:4" x14ac:dyDescent="0.25">
      <c r="A349" s="487"/>
      <c r="B349" s="231" t="str">
        <f t="shared" si="10"/>
        <v>0</v>
      </c>
      <c r="C349" s="5" t="s">
        <v>403</v>
      </c>
      <c r="D349" s="8" t="s">
        <v>695</v>
      </c>
    </row>
    <row r="350" spans="1:4" x14ac:dyDescent="0.25">
      <c r="A350" s="488"/>
      <c r="B350" s="231" t="str">
        <f t="shared" si="10"/>
        <v>1</v>
      </c>
      <c r="C350" s="5" t="s">
        <v>404</v>
      </c>
      <c r="D350" s="8" t="s">
        <v>694</v>
      </c>
    </row>
    <row r="351" spans="1:4" x14ac:dyDescent="0.25">
      <c r="A351" s="486" t="s">
        <v>277</v>
      </c>
      <c r="B351" s="231"/>
      <c r="C351" s="3" t="s">
        <v>166</v>
      </c>
      <c r="D351" s="8"/>
    </row>
    <row r="352" spans="1:4" x14ac:dyDescent="0.25">
      <c r="A352" s="487"/>
      <c r="B352" s="231" t="str">
        <f t="shared" si="10"/>
        <v>0</v>
      </c>
      <c r="C352" s="5" t="s">
        <v>656</v>
      </c>
      <c r="D352" s="8" t="s">
        <v>837</v>
      </c>
    </row>
    <row r="353" spans="1:4" x14ac:dyDescent="0.25">
      <c r="A353" s="488"/>
      <c r="B353" s="231" t="str">
        <f t="shared" si="10"/>
        <v>1</v>
      </c>
      <c r="C353" s="5" t="s">
        <v>657</v>
      </c>
      <c r="D353" s="8" t="s">
        <v>449</v>
      </c>
    </row>
    <row r="354" spans="1:4" x14ac:dyDescent="0.25">
      <c r="A354" s="486" t="s">
        <v>141</v>
      </c>
      <c r="B354" s="231"/>
      <c r="C354" s="3" t="s">
        <v>279</v>
      </c>
      <c r="D354" s="8"/>
    </row>
    <row r="355" spans="1:4" x14ac:dyDescent="0.25">
      <c r="A355" s="487"/>
      <c r="B355" s="231" t="str">
        <f t="shared" si="10"/>
        <v>0000</v>
      </c>
      <c r="C355" s="4" t="s">
        <v>280</v>
      </c>
      <c r="D355" s="8"/>
    </row>
    <row r="356" spans="1:4" x14ac:dyDescent="0.25">
      <c r="A356" s="487"/>
      <c r="B356" s="231" t="str">
        <f t="shared" si="10"/>
        <v>0001</v>
      </c>
      <c r="C356" s="4" t="s">
        <v>281</v>
      </c>
      <c r="D356" s="8" t="s">
        <v>521</v>
      </c>
    </row>
    <row r="357" spans="1:4" x14ac:dyDescent="0.25">
      <c r="A357" s="487"/>
      <c r="B357" s="231" t="str">
        <f t="shared" si="10"/>
        <v>0010</v>
      </c>
      <c r="C357" s="4" t="s">
        <v>282</v>
      </c>
      <c r="D357" s="8"/>
    </row>
    <row r="358" spans="1:4" x14ac:dyDescent="0.25">
      <c r="A358" s="487"/>
      <c r="B358" s="231" t="str">
        <f t="shared" si="10"/>
        <v>0011</v>
      </c>
      <c r="C358" s="4" t="s">
        <v>283</v>
      </c>
      <c r="D358" s="8"/>
    </row>
    <row r="359" spans="1:4" x14ac:dyDescent="0.25">
      <c r="A359" s="487"/>
      <c r="B359" s="231" t="str">
        <f t="shared" si="10"/>
        <v>0100</v>
      </c>
      <c r="C359" s="4" t="s">
        <v>284</v>
      </c>
      <c r="D359" s="8"/>
    </row>
    <row r="360" spans="1:4" x14ac:dyDescent="0.25">
      <c r="A360" s="487"/>
      <c r="B360" s="231" t="str">
        <f t="shared" si="10"/>
        <v>0101</v>
      </c>
      <c r="C360" s="4" t="s">
        <v>285</v>
      </c>
      <c r="D360" s="8"/>
    </row>
    <row r="361" spans="1:4" x14ac:dyDescent="0.25">
      <c r="A361" s="487"/>
      <c r="B361" s="231" t="str">
        <f t="shared" si="10"/>
        <v>0110</v>
      </c>
      <c r="C361" s="4" t="s">
        <v>286</v>
      </c>
      <c r="D361" s="8"/>
    </row>
    <row r="362" spans="1:4" x14ac:dyDescent="0.25">
      <c r="A362" s="487"/>
      <c r="B362" s="231" t="str">
        <f t="shared" si="10"/>
        <v>0111</v>
      </c>
      <c r="C362" s="4" t="s">
        <v>288</v>
      </c>
      <c r="D362" s="8"/>
    </row>
    <row r="363" spans="1:4" x14ac:dyDescent="0.25">
      <c r="A363" s="487"/>
      <c r="B363" s="231" t="str">
        <f t="shared" si="10"/>
        <v>1000</v>
      </c>
      <c r="C363" s="4" t="s">
        <v>289</v>
      </c>
      <c r="D363" s="8"/>
    </row>
    <row r="364" spans="1:4" x14ac:dyDescent="0.25">
      <c r="A364" s="487"/>
      <c r="B364" s="231" t="str">
        <f t="shared" si="10"/>
        <v>1001</v>
      </c>
      <c r="C364" s="4" t="s">
        <v>424</v>
      </c>
      <c r="D364" s="8"/>
    </row>
    <row r="365" spans="1:4" x14ac:dyDescent="0.25">
      <c r="A365" s="487"/>
      <c r="B365" s="231" t="str">
        <f t="shared" si="10"/>
        <v>1010</v>
      </c>
      <c r="C365" s="4" t="s">
        <v>290</v>
      </c>
      <c r="D365" s="8"/>
    </row>
    <row r="366" spans="1:4" x14ac:dyDescent="0.25">
      <c r="A366" s="487"/>
      <c r="B366" s="231" t="str">
        <f t="shared" si="10"/>
        <v>1011</v>
      </c>
      <c r="C366" s="4" t="s">
        <v>291</v>
      </c>
      <c r="D366" s="8"/>
    </row>
    <row r="367" spans="1:4" x14ac:dyDescent="0.25">
      <c r="A367" s="487"/>
      <c r="B367" s="231" t="str">
        <f t="shared" si="10"/>
        <v>1100</v>
      </c>
      <c r="C367" s="4" t="s">
        <v>292</v>
      </c>
      <c r="D367" s="8"/>
    </row>
    <row r="368" spans="1:4" x14ac:dyDescent="0.25">
      <c r="A368" s="487"/>
      <c r="B368" s="231" t="str">
        <f t="shared" si="10"/>
        <v>1101</v>
      </c>
      <c r="C368" s="4" t="s">
        <v>293</v>
      </c>
      <c r="D368" s="8"/>
    </row>
    <row r="369" spans="1:4" x14ac:dyDescent="0.25">
      <c r="A369" s="487"/>
      <c r="B369" s="231" t="str">
        <f t="shared" si="10"/>
        <v>1110</v>
      </c>
      <c r="C369" s="4" t="s">
        <v>294</v>
      </c>
      <c r="D369" s="8"/>
    </row>
    <row r="370" spans="1:4" x14ac:dyDescent="0.25">
      <c r="A370" s="488"/>
      <c r="B370" s="231" t="str">
        <f t="shared" si="10"/>
        <v>1111</v>
      </c>
      <c r="C370" s="4" t="s">
        <v>287</v>
      </c>
      <c r="D370" s="8"/>
    </row>
    <row r="371" spans="1:4" x14ac:dyDescent="0.25">
      <c r="A371" s="486" t="s">
        <v>115</v>
      </c>
      <c r="B371" s="231"/>
      <c r="C371" s="5" t="s">
        <v>295</v>
      </c>
      <c r="D371" s="8"/>
    </row>
    <row r="372" spans="1:4" x14ac:dyDescent="0.25">
      <c r="A372" s="487"/>
      <c r="B372" s="231" t="str">
        <f t="shared" si="10"/>
        <v>000</v>
      </c>
      <c r="C372" s="5" t="s">
        <v>322</v>
      </c>
      <c r="D372" s="8"/>
    </row>
    <row r="373" spans="1:4" x14ac:dyDescent="0.25">
      <c r="A373" s="487"/>
      <c r="B373" s="231" t="str">
        <f t="shared" si="10"/>
        <v>001</v>
      </c>
      <c r="C373" s="5" t="s">
        <v>323</v>
      </c>
      <c r="D373" s="8"/>
    </row>
    <row r="374" spans="1:4" x14ac:dyDescent="0.25">
      <c r="A374" s="487"/>
      <c r="B374" s="231" t="str">
        <f t="shared" si="10"/>
        <v>010</v>
      </c>
      <c r="C374" s="5" t="s">
        <v>324</v>
      </c>
      <c r="D374" s="8"/>
    </row>
    <row r="375" spans="1:4" x14ac:dyDescent="0.25">
      <c r="A375" s="487"/>
      <c r="B375" s="231" t="str">
        <f t="shared" si="10"/>
        <v>011</v>
      </c>
      <c r="C375" s="5" t="s">
        <v>325</v>
      </c>
      <c r="D375" s="8"/>
    </row>
    <row r="376" spans="1:4" x14ac:dyDescent="0.25">
      <c r="A376" s="487"/>
      <c r="B376" s="231" t="str">
        <f t="shared" si="10"/>
        <v>100</v>
      </c>
      <c r="C376" s="5" t="s">
        <v>326</v>
      </c>
      <c r="D376" s="8"/>
    </row>
    <row r="377" spans="1:4" x14ac:dyDescent="0.25">
      <c r="A377" s="487"/>
      <c r="B377" s="231" t="str">
        <f t="shared" si="10"/>
        <v>101</v>
      </c>
      <c r="C377" s="5" t="s">
        <v>327</v>
      </c>
      <c r="D377" s="8"/>
    </row>
    <row r="378" spans="1:4" x14ac:dyDescent="0.25">
      <c r="A378" s="487"/>
      <c r="B378" s="231" t="str">
        <f t="shared" si="10"/>
        <v>110</v>
      </c>
      <c r="C378" s="5" t="s">
        <v>328</v>
      </c>
      <c r="D378" s="8"/>
    </row>
    <row r="379" spans="1:4" x14ac:dyDescent="0.25">
      <c r="A379" s="488"/>
      <c r="B379" s="231" t="str">
        <f t="shared" si="10"/>
        <v>111</v>
      </c>
      <c r="C379" s="5" t="s">
        <v>329</v>
      </c>
      <c r="D379" s="8"/>
    </row>
  </sheetData>
  <sheetProtection algorithmName="SHA-512" hashValue="UVnPAzMjMqp36boqZOrisePh5n6jhaJxy3OLB+Msr5ndC7AyYlk6eXX+FSB7W0blSU29enaFA0daDnUUfNIpNg==" saltValue="+BpWmKK9vKTK/8eNavMk8Q==" spinCount="100000" sheet="1" objects="1" scenarios="1"/>
  <mergeCells count="74">
    <mergeCell ref="D147:D148"/>
    <mergeCell ref="D150:D152"/>
    <mergeCell ref="D154:D155"/>
    <mergeCell ref="D157:D159"/>
    <mergeCell ref="A345:A347"/>
    <mergeCell ref="A307:A309"/>
    <mergeCell ref="A310:A312"/>
    <mergeCell ref="A313:A317"/>
    <mergeCell ref="A318:A320"/>
    <mergeCell ref="A321:A323"/>
    <mergeCell ref="A324:A326"/>
    <mergeCell ref="A327:A329"/>
    <mergeCell ref="A330:A332"/>
    <mergeCell ref="A333:A335"/>
    <mergeCell ref="A299:A300"/>
    <mergeCell ref="A301:A302"/>
    <mergeCell ref="A348:A350"/>
    <mergeCell ref="A351:A353"/>
    <mergeCell ref="A354:A370"/>
    <mergeCell ref="A371:A379"/>
    <mergeCell ref="A336:A338"/>
    <mergeCell ref="A339:A341"/>
    <mergeCell ref="A342:A344"/>
    <mergeCell ref="A303:A304"/>
    <mergeCell ref="A305:A306"/>
    <mergeCell ref="A254:A262"/>
    <mergeCell ref="A263:A271"/>
    <mergeCell ref="A272:A280"/>
    <mergeCell ref="A281:A289"/>
    <mergeCell ref="A290:A298"/>
    <mergeCell ref="A223:A231"/>
    <mergeCell ref="A245:A253"/>
    <mergeCell ref="A187:A195"/>
    <mergeCell ref="A196:A204"/>
    <mergeCell ref="A205:A213"/>
    <mergeCell ref="A214:A222"/>
    <mergeCell ref="A242:A244"/>
    <mergeCell ref="A232:A236"/>
    <mergeCell ref="A237:A241"/>
    <mergeCell ref="A123:A124"/>
    <mergeCell ref="A175:A177"/>
    <mergeCell ref="A178:A186"/>
    <mergeCell ref="A146:A152"/>
    <mergeCell ref="A153:A159"/>
    <mergeCell ref="A160:A162"/>
    <mergeCell ref="A163:A165"/>
    <mergeCell ref="A166:A174"/>
    <mergeCell ref="A125:A127"/>
    <mergeCell ref="A128:A131"/>
    <mergeCell ref="A132:A145"/>
    <mergeCell ref="A2:A6"/>
    <mergeCell ref="A19:A23"/>
    <mergeCell ref="A54:A55"/>
    <mergeCell ref="A56:A58"/>
    <mergeCell ref="A59:A79"/>
    <mergeCell ref="A24:A25"/>
    <mergeCell ref="A26:A27"/>
    <mergeCell ref="A28:A32"/>
    <mergeCell ref="A36:A38"/>
    <mergeCell ref="A52:A53"/>
    <mergeCell ref="A39:A41"/>
    <mergeCell ref="A49:A51"/>
    <mergeCell ref="A42:A44"/>
    <mergeCell ref="A45:A48"/>
    <mergeCell ref="A7:A18"/>
    <mergeCell ref="A33:A35"/>
    <mergeCell ref="A118:A120"/>
    <mergeCell ref="A121:A122"/>
    <mergeCell ref="A111:A114"/>
    <mergeCell ref="A115:A117"/>
    <mergeCell ref="A80:A83"/>
    <mergeCell ref="A84:A86"/>
    <mergeCell ref="A87:A89"/>
    <mergeCell ref="A90:A110"/>
  </mergeCells>
  <conditionalFormatting sqref="A36">
    <cfRule type="expression" dxfId="62" priority="58">
      <formula>A36 = "-"</formula>
    </cfRule>
  </conditionalFormatting>
  <conditionalFormatting sqref="A42:A43">
    <cfRule type="expression" dxfId="61" priority="54">
      <formula>A42 = "-"</formula>
    </cfRule>
  </conditionalFormatting>
  <conditionalFormatting sqref="A39">
    <cfRule type="expression" dxfId="60" priority="55">
      <formula>A39 = "-"</formula>
    </cfRule>
  </conditionalFormatting>
  <conditionalFormatting sqref="A84">
    <cfRule type="expression" dxfId="59" priority="48">
      <formula>A84 = "-"</formula>
    </cfRule>
  </conditionalFormatting>
  <conditionalFormatting sqref="A118">
    <cfRule type="expression" dxfId="58" priority="43">
      <formula>A118 = "-"</formula>
    </cfRule>
  </conditionalFormatting>
  <conditionalFormatting sqref="A121">
    <cfRule type="expression" dxfId="57" priority="42">
      <formula>A121 = "-"</formula>
    </cfRule>
  </conditionalFormatting>
  <conditionalFormatting sqref="A115">
    <cfRule type="expression" dxfId="56" priority="44">
      <formula>A115 = "-"</formula>
    </cfRule>
  </conditionalFormatting>
  <conditionalFormatting sqref="A125">
    <cfRule type="expression" dxfId="55" priority="40">
      <formula>A125 = "-"</formula>
    </cfRule>
  </conditionalFormatting>
  <conditionalFormatting sqref="A163">
    <cfRule type="expression" dxfId="54" priority="32">
      <formula>A163 = "-"</formula>
    </cfRule>
  </conditionalFormatting>
  <conditionalFormatting sqref="A160">
    <cfRule type="expression" dxfId="53" priority="35">
      <formula>A160 = "-"</formula>
    </cfRule>
  </conditionalFormatting>
  <conditionalFormatting sqref="A178">
    <cfRule type="expression" dxfId="52" priority="29">
      <formula>A178 = "-"</formula>
    </cfRule>
  </conditionalFormatting>
  <conditionalFormatting sqref="A214">
    <cfRule type="expression" dxfId="51" priority="23">
      <formula>A214 = "-"</formula>
    </cfRule>
  </conditionalFormatting>
  <conditionalFormatting sqref="A290">
    <cfRule type="expression" dxfId="50" priority="6">
      <formula>A290 = "-"</formula>
    </cfRule>
  </conditionalFormatting>
  <conditionalFormatting sqref="A146">
    <cfRule type="expression" dxfId="49" priority="37">
      <formula>A146 = "-"</formula>
    </cfRule>
  </conditionalFormatting>
  <conditionalFormatting sqref="A153">
    <cfRule type="expression" dxfId="48" priority="36">
      <formula>A153 = "-"</formula>
    </cfRule>
  </conditionalFormatting>
  <conditionalFormatting sqref="A187">
    <cfRule type="expression" dxfId="47" priority="26">
      <formula>A187 = "-"</formula>
    </cfRule>
  </conditionalFormatting>
  <conditionalFormatting sqref="A166">
    <cfRule type="expression" dxfId="46" priority="31">
      <formula>A166 = "-"</formula>
    </cfRule>
  </conditionalFormatting>
  <conditionalFormatting sqref="A175">
    <cfRule type="expression" dxfId="45" priority="30">
      <formula>A175 = "-"</formula>
    </cfRule>
  </conditionalFormatting>
  <conditionalFormatting sqref="A263">
    <cfRule type="expression" dxfId="44" priority="11">
      <formula>A263 = "-"</formula>
    </cfRule>
  </conditionalFormatting>
  <conditionalFormatting sqref="A272">
    <cfRule type="expression" dxfId="43" priority="10">
      <formula>A272 = "-"</formula>
    </cfRule>
  </conditionalFormatting>
  <conditionalFormatting sqref="A196">
    <cfRule type="expression" dxfId="42" priority="25">
      <formula>A196 = "-"</formula>
    </cfRule>
  </conditionalFormatting>
  <conditionalFormatting sqref="A205">
    <cfRule type="expression" dxfId="41" priority="24">
      <formula>A205 = "-"</formula>
    </cfRule>
  </conditionalFormatting>
  <conditionalFormatting sqref="A223">
    <cfRule type="expression" dxfId="40" priority="22">
      <formula>A223 = "-"</formula>
    </cfRule>
  </conditionalFormatting>
  <conditionalFormatting sqref="A245">
    <cfRule type="expression" dxfId="39" priority="13">
      <formula>A245 = "-"</formula>
    </cfRule>
  </conditionalFormatting>
  <conditionalFormatting sqref="A254">
    <cfRule type="expression" dxfId="38" priority="12">
      <formula>A254 = "-"</formula>
    </cfRule>
  </conditionalFormatting>
  <conditionalFormatting sqref="A281">
    <cfRule type="expression" dxfId="37" priority="7">
      <formula>A281 = "-"</formula>
    </cfRule>
  </conditionalFormatting>
  <conditionalFormatting sqref="A313">
    <cfRule type="expression" dxfId="36" priority="4">
      <formula>A313 = "-"</formula>
    </cfRule>
  </conditionalFormatting>
  <conditionalFormatting sqref="A242">
    <cfRule type="expression" dxfId="35" priority="1">
      <formula>A242 = "-"</formula>
    </cfRule>
  </conditionalFormatting>
  <pageMargins left="0.7" right="0.7" top="0.75" bottom="0.75" header="0.3" footer="0.3"/>
  <pageSetup paperSize="9" orientation="portrait"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5"/>
  <sheetViews>
    <sheetView zoomScaleNormal="100" workbookViewId="0">
      <pane ySplit="3" topLeftCell="A4" activePane="bottomLeft" state="frozen"/>
      <selection activeCell="F169" sqref="F169"/>
      <selection pane="bottomLeft" activeCell="E25" sqref="E25"/>
    </sheetView>
  </sheetViews>
  <sheetFormatPr defaultColWidth="9.140625" defaultRowHeight="15.75" x14ac:dyDescent="0.25"/>
  <cols>
    <col min="1" max="1" width="24.7109375" style="59" bestFit="1" customWidth="1"/>
    <col min="2" max="2" width="10.42578125" style="77" bestFit="1" customWidth="1"/>
    <col min="3" max="3" width="5.7109375" style="59" hidden="1" customWidth="1"/>
    <col min="4" max="4" width="11.7109375" style="59" hidden="1" customWidth="1"/>
    <col min="5" max="12" width="20.7109375" style="59" customWidth="1"/>
    <col min="13" max="13" width="15.7109375" style="82" customWidth="1"/>
    <col min="14" max="14" width="15.7109375" style="83" customWidth="1"/>
    <col min="15" max="15" width="9.140625" style="59"/>
    <col min="16" max="16" width="39.42578125" style="59" bestFit="1" customWidth="1"/>
    <col min="17" max="16384" width="9.140625" style="59"/>
  </cols>
  <sheetData>
    <row r="1" spans="1:16" x14ac:dyDescent="0.25">
      <c r="A1" s="56"/>
      <c r="B1" s="57"/>
      <c r="C1" s="58"/>
      <c r="D1" s="58"/>
      <c r="E1" s="58"/>
      <c r="F1" s="58"/>
      <c r="G1" s="57"/>
      <c r="H1" s="57"/>
      <c r="I1" s="57"/>
      <c r="J1" s="57"/>
      <c r="K1" s="57"/>
    </row>
    <row r="2" spans="1:16" ht="26.25" x14ac:dyDescent="0.4">
      <c r="A2" s="495" t="s">
        <v>306</v>
      </c>
      <c r="B2" s="495"/>
      <c r="C2" s="495"/>
      <c r="D2" s="495"/>
      <c r="E2" s="495"/>
      <c r="F2" s="495"/>
      <c r="G2" s="495"/>
      <c r="H2" s="495"/>
      <c r="I2" s="495"/>
      <c r="J2" s="495"/>
      <c r="K2" s="495"/>
      <c r="L2" s="495"/>
      <c r="M2" s="495"/>
      <c r="N2" s="495"/>
      <c r="P2" s="84"/>
    </row>
    <row r="3" spans="1:16" s="87" customFormat="1" ht="31.5" x14ac:dyDescent="0.25">
      <c r="A3" s="85" t="s">
        <v>0</v>
      </c>
      <c r="B3" s="86" t="s">
        <v>1</v>
      </c>
      <c r="C3" s="85" t="s">
        <v>2</v>
      </c>
      <c r="D3" s="85" t="s">
        <v>12</v>
      </c>
      <c r="E3" s="64" t="s">
        <v>3</v>
      </c>
      <c r="F3" s="64" t="s">
        <v>5</v>
      </c>
      <c r="G3" s="64" t="s">
        <v>4</v>
      </c>
      <c r="H3" s="64" t="s">
        <v>6</v>
      </c>
      <c r="I3" s="64" t="s">
        <v>7</v>
      </c>
      <c r="J3" s="64" t="s">
        <v>8</v>
      </c>
      <c r="K3" s="64" t="s">
        <v>9</v>
      </c>
      <c r="L3" s="64" t="s">
        <v>10</v>
      </c>
      <c r="M3" s="64" t="s">
        <v>202</v>
      </c>
      <c r="N3" s="64" t="s">
        <v>203</v>
      </c>
      <c r="P3" s="65" t="s">
        <v>519</v>
      </c>
    </row>
    <row r="4" spans="1:16" x14ac:dyDescent="0.25">
      <c r="A4" s="66" t="s">
        <v>130</v>
      </c>
      <c r="B4" s="67" t="s">
        <v>296</v>
      </c>
      <c r="C4" s="66" t="s">
        <v>2</v>
      </c>
      <c r="D4" s="68" t="s">
        <v>13</v>
      </c>
      <c r="E4" s="497" t="s">
        <v>72</v>
      </c>
      <c r="F4" s="497"/>
      <c r="G4" s="497"/>
      <c r="H4" s="497"/>
      <c r="I4" s="497"/>
      <c r="J4" s="497"/>
      <c r="K4" s="497"/>
      <c r="L4" s="497"/>
      <c r="M4" s="70"/>
      <c r="N4" s="88"/>
    </row>
    <row r="5" spans="1:16" x14ac:dyDescent="0.25">
      <c r="A5" s="66"/>
      <c r="B5" s="67"/>
      <c r="C5" s="66"/>
      <c r="D5" s="68"/>
      <c r="E5" s="496" t="str">
        <f>OTP_conf_main_reg!E17</f>
        <v>10000000 - 1.2V</v>
      </c>
      <c r="F5" s="496"/>
      <c r="G5" s="496"/>
      <c r="H5" s="496"/>
      <c r="I5" s="496"/>
      <c r="J5" s="496"/>
      <c r="K5" s="496"/>
      <c r="L5" s="496"/>
      <c r="M5" s="71" t="str">
        <f>LEFT(E5,8)</f>
        <v>10000000</v>
      </c>
      <c r="N5" s="71" t="str">
        <f>"0x"&amp;BIN2HEX(M5,2)</f>
        <v>0x80</v>
      </c>
    </row>
    <row r="6" spans="1:16" x14ac:dyDescent="0.25">
      <c r="A6" s="66" t="s">
        <v>131</v>
      </c>
      <c r="B6" s="67" t="s">
        <v>297</v>
      </c>
      <c r="C6" s="66" t="s">
        <v>2</v>
      </c>
      <c r="D6" s="68" t="s">
        <v>13</v>
      </c>
      <c r="E6" s="497" t="s">
        <v>74</v>
      </c>
      <c r="F6" s="497"/>
      <c r="G6" s="497"/>
      <c r="H6" s="497"/>
      <c r="I6" s="497" t="s">
        <v>73</v>
      </c>
      <c r="J6" s="497"/>
      <c r="K6" s="497"/>
      <c r="L6" s="497"/>
      <c r="M6" s="70"/>
      <c r="N6" s="88"/>
    </row>
    <row r="7" spans="1:16" x14ac:dyDescent="0.25">
      <c r="A7" s="66"/>
      <c r="B7" s="67"/>
      <c r="C7" s="66"/>
      <c r="D7" s="68"/>
      <c r="E7" s="456" t="s">
        <v>346</v>
      </c>
      <c r="F7" s="456"/>
      <c r="G7" s="456"/>
      <c r="H7" s="456"/>
      <c r="I7" s="456" t="s">
        <v>346</v>
      </c>
      <c r="J7" s="456"/>
      <c r="K7" s="456"/>
      <c r="L7" s="456"/>
      <c r="M7" s="71" t="str">
        <f>CONCATENATE(LEFT(E7,4),LEFT(I7,4))</f>
        <v>11111111</v>
      </c>
      <c r="N7" s="71" t="str">
        <f>"0x"&amp;BIN2HEX(M7,2)</f>
        <v>0xFF</v>
      </c>
    </row>
    <row r="8" spans="1:16" x14ac:dyDescent="0.25">
      <c r="A8" s="66" t="s">
        <v>132</v>
      </c>
      <c r="B8" s="67" t="s">
        <v>298</v>
      </c>
      <c r="C8" s="66" t="s">
        <v>2</v>
      </c>
      <c r="D8" s="68" t="s">
        <v>13</v>
      </c>
      <c r="E8" s="79" t="s">
        <v>11</v>
      </c>
      <c r="F8" s="80" t="s">
        <v>11</v>
      </c>
      <c r="G8" s="89" t="s">
        <v>76</v>
      </c>
      <c r="H8" s="497" t="s">
        <v>75</v>
      </c>
      <c r="I8" s="497"/>
      <c r="J8" s="497"/>
      <c r="K8" s="497"/>
      <c r="L8" s="497"/>
      <c r="M8" s="70"/>
      <c r="N8" s="88"/>
    </row>
    <row r="9" spans="1:16" x14ac:dyDescent="0.25">
      <c r="A9" s="66"/>
      <c r="B9" s="67"/>
      <c r="C9" s="66"/>
      <c r="D9" s="68"/>
      <c r="E9" s="81">
        <v>0</v>
      </c>
      <c r="F9" s="81">
        <v>0</v>
      </c>
      <c r="G9" s="73" t="s">
        <v>349</v>
      </c>
      <c r="H9" s="456" t="s">
        <v>356</v>
      </c>
      <c r="I9" s="456"/>
      <c r="J9" s="456"/>
      <c r="K9" s="456"/>
      <c r="L9" s="456"/>
      <c r="M9" s="71" t="str">
        <f>CONCATENATE(E9,F9,LEFT(G9,1),LEFT(H9,5))</f>
        <v>00001111</v>
      </c>
      <c r="N9" s="71" t="str">
        <f>"0x"&amp;BIN2HEX(M9,2)</f>
        <v>0x0F</v>
      </c>
    </row>
    <row r="10" spans="1:16" x14ac:dyDescent="0.25">
      <c r="A10" s="66" t="s">
        <v>133</v>
      </c>
      <c r="B10" s="67" t="s">
        <v>299</v>
      </c>
      <c r="C10" s="66" t="s">
        <v>2</v>
      </c>
      <c r="D10" s="68" t="s">
        <v>13</v>
      </c>
      <c r="E10" s="497" t="s">
        <v>121</v>
      </c>
      <c r="F10" s="497"/>
      <c r="G10" s="497"/>
      <c r="H10" s="497"/>
      <c r="I10" s="497" t="s">
        <v>120</v>
      </c>
      <c r="J10" s="497"/>
      <c r="K10" s="497"/>
      <c r="L10" s="497"/>
      <c r="M10" s="70"/>
      <c r="N10" s="88"/>
    </row>
    <row r="11" spans="1:16" x14ac:dyDescent="0.25">
      <c r="A11" s="66"/>
      <c r="B11" s="67"/>
      <c r="C11" s="66"/>
      <c r="D11" s="68"/>
      <c r="E11" s="456" t="s">
        <v>334</v>
      </c>
      <c r="F11" s="456"/>
      <c r="G11" s="456"/>
      <c r="H11" s="456"/>
      <c r="I11" s="456" t="s">
        <v>337</v>
      </c>
      <c r="J11" s="456"/>
      <c r="K11" s="456"/>
      <c r="L11" s="456"/>
      <c r="M11" s="71" t="str">
        <f>CONCATENATE(LEFT(E11,4),LEFT(I11,4))</f>
        <v>00100101</v>
      </c>
      <c r="N11" s="71" t="str">
        <f>"0x"&amp;BIN2HEX(M11,2)</f>
        <v>0x25</v>
      </c>
    </row>
    <row r="12" spans="1:16" x14ac:dyDescent="0.25">
      <c r="A12" s="66" t="s">
        <v>134</v>
      </c>
      <c r="B12" s="67" t="s">
        <v>300</v>
      </c>
      <c r="C12" s="66" t="s">
        <v>2</v>
      </c>
      <c r="D12" s="68" t="s">
        <v>13</v>
      </c>
      <c r="E12" s="494" t="s">
        <v>123</v>
      </c>
      <c r="F12" s="494"/>
      <c r="G12" s="494"/>
      <c r="H12" s="494"/>
      <c r="I12" s="494" t="s">
        <v>122</v>
      </c>
      <c r="J12" s="494"/>
      <c r="K12" s="494"/>
      <c r="L12" s="494"/>
      <c r="M12" s="70"/>
      <c r="N12" s="88"/>
    </row>
    <row r="13" spans="1:16" x14ac:dyDescent="0.25">
      <c r="A13" s="66"/>
      <c r="B13" s="67"/>
      <c r="C13" s="66"/>
      <c r="D13" s="68"/>
      <c r="E13" s="498" t="s">
        <v>346</v>
      </c>
      <c r="F13" s="498"/>
      <c r="G13" s="498"/>
      <c r="H13" s="498"/>
      <c r="I13" s="498" t="s">
        <v>346</v>
      </c>
      <c r="J13" s="498"/>
      <c r="K13" s="498"/>
      <c r="L13" s="498"/>
      <c r="M13" s="71" t="str">
        <f>CONCATENATE(LEFT(E13,4),LEFT(I13,4))</f>
        <v>11111111</v>
      </c>
      <c r="N13" s="71" t="str">
        <f>"0x"&amp;BIN2HEX(M13,2)</f>
        <v>0xFF</v>
      </c>
    </row>
    <row r="14" spans="1:16" x14ac:dyDescent="0.25">
      <c r="A14" s="66" t="s">
        <v>135</v>
      </c>
      <c r="B14" s="67" t="s">
        <v>301</v>
      </c>
      <c r="C14" s="66" t="s">
        <v>2</v>
      </c>
      <c r="D14" s="68" t="s">
        <v>13</v>
      </c>
      <c r="E14" s="494" t="s">
        <v>125</v>
      </c>
      <c r="F14" s="494"/>
      <c r="G14" s="494"/>
      <c r="H14" s="494"/>
      <c r="I14" s="494" t="s">
        <v>124</v>
      </c>
      <c r="J14" s="494"/>
      <c r="K14" s="494"/>
      <c r="L14" s="494"/>
      <c r="M14" s="70"/>
      <c r="N14" s="88"/>
    </row>
    <row r="15" spans="1:16" x14ac:dyDescent="0.25">
      <c r="A15" s="66"/>
      <c r="B15" s="67"/>
      <c r="C15" s="66"/>
      <c r="D15" s="68"/>
      <c r="E15" s="456" t="s">
        <v>376</v>
      </c>
      <c r="F15" s="456"/>
      <c r="G15" s="456"/>
      <c r="H15" s="456"/>
      <c r="I15" s="456" t="s">
        <v>376</v>
      </c>
      <c r="J15" s="456"/>
      <c r="K15" s="456"/>
      <c r="L15" s="456"/>
      <c r="M15" s="71" t="str">
        <f>CONCATENATE(LEFT(E15,4),LEFT(I15,4))</f>
        <v>11111111</v>
      </c>
      <c r="N15" s="71" t="str">
        <f>"0x"&amp;BIN2HEX(M15,2)</f>
        <v>0xFF</v>
      </c>
    </row>
    <row r="16" spans="1:16" x14ac:dyDescent="0.25">
      <c r="A16" s="66" t="s">
        <v>136</v>
      </c>
      <c r="B16" s="67" t="s">
        <v>163</v>
      </c>
      <c r="C16" s="66" t="s">
        <v>2</v>
      </c>
      <c r="D16" s="68" t="s">
        <v>13</v>
      </c>
      <c r="E16" s="494" t="s">
        <v>127</v>
      </c>
      <c r="F16" s="494"/>
      <c r="G16" s="494"/>
      <c r="H16" s="494"/>
      <c r="I16" s="494" t="s">
        <v>126</v>
      </c>
      <c r="J16" s="494"/>
      <c r="K16" s="494"/>
      <c r="L16" s="494"/>
      <c r="M16" s="70"/>
      <c r="N16" s="88"/>
    </row>
    <row r="17" spans="1:14" x14ac:dyDescent="0.25">
      <c r="A17" s="66"/>
      <c r="B17" s="67"/>
      <c r="C17" s="66"/>
      <c r="D17" s="68"/>
      <c r="E17" s="456" t="s">
        <v>376</v>
      </c>
      <c r="F17" s="456"/>
      <c r="G17" s="456"/>
      <c r="H17" s="456"/>
      <c r="I17" s="456" t="s">
        <v>376</v>
      </c>
      <c r="J17" s="456"/>
      <c r="K17" s="456"/>
      <c r="L17" s="456"/>
      <c r="M17" s="71" t="str">
        <f>CONCATENATE(LEFT(E17,4),LEFT(I17,4))</f>
        <v>11111111</v>
      </c>
      <c r="N17" s="71" t="str">
        <f>"0x"&amp;BIN2HEX(M17,2)</f>
        <v>0xFF</v>
      </c>
    </row>
    <row r="18" spans="1:14" x14ac:dyDescent="0.25">
      <c r="A18" s="66" t="s">
        <v>137</v>
      </c>
      <c r="B18" s="67" t="s">
        <v>164</v>
      </c>
      <c r="C18" s="66" t="s">
        <v>2</v>
      </c>
      <c r="D18" s="68" t="s">
        <v>13</v>
      </c>
      <c r="E18" s="494" t="s">
        <v>129</v>
      </c>
      <c r="F18" s="494"/>
      <c r="G18" s="494"/>
      <c r="H18" s="494"/>
      <c r="I18" s="494" t="s">
        <v>128</v>
      </c>
      <c r="J18" s="494"/>
      <c r="K18" s="494"/>
      <c r="L18" s="494"/>
      <c r="M18" s="90"/>
      <c r="N18" s="91"/>
    </row>
    <row r="19" spans="1:14" x14ac:dyDescent="0.25">
      <c r="A19" s="66"/>
      <c r="B19" s="67"/>
      <c r="C19" s="66"/>
      <c r="D19" s="68"/>
      <c r="E19" s="498" t="s">
        <v>376</v>
      </c>
      <c r="F19" s="498"/>
      <c r="G19" s="498"/>
      <c r="H19" s="498"/>
      <c r="I19" s="498" t="s">
        <v>376</v>
      </c>
      <c r="J19" s="498"/>
      <c r="K19" s="498"/>
      <c r="L19" s="498"/>
      <c r="M19" s="71" t="str">
        <f>CONCATENATE(LEFT(E19,4),LEFT(I19,4))</f>
        <v>11111111</v>
      </c>
      <c r="N19" s="71" t="str">
        <f>"0x"&amp;BIN2HEX(M19,2)</f>
        <v>0xFF</v>
      </c>
    </row>
    <row r="20" spans="1:14" x14ac:dyDescent="0.25">
      <c r="A20" s="66" t="s">
        <v>117</v>
      </c>
      <c r="B20" s="67" t="s">
        <v>302</v>
      </c>
      <c r="C20" s="66" t="s">
        <v>2</v>
      </c>
      <c r="D20" s="68" t="s">
        <v>13</v>
      </c>
      <c r="E20" s="79" t="s">
        <v>11</v>
      </c>
      <c r="F20" s="69" t="s">
        <v>415</v>
      </c>
      <c r="G20" s="69" t="s">
        <v>82</v>
      </c>
      <c r="H20" s="69" t="s">
        <v>81</v>
      </c>
      <c r="I20" s="69" t="s">
        <v>80</v>
      </c>
      <c r="J20" s="69" t="s">
        <v>79</v>
      </c>
      <c r="K20" s="69" t="s">
        <v>78</v>
      </c>
      <c r="L20" s="79" t="s">
        <v>77</v>
      </c>
      <c r="M20" s="70"/>
      <c r="N20" s="88"/>
    </row>
    <row r="21" spans="1:14" x14ac:dyDescent="0.25">
      <c r="A21" s="66"/>
      <c r="B21" s="67"/>
      <c r="C21" s="66"/>
      <c r="D21" s="68"/>
      <c r="E21" s="81">
        <v>0</v>
      </c>
      <c r="F21" s="78" t="s">
        <v>384</v>
      </c>
      <c r="G21" s="94" t="s">
        <v>383</v>
      </c>
      <c r="H21" s="94" t="s">
        <v>383</v>
      </c>
      <c r="I21" s="94" t="s">
        <v>383</v>
      </c>
      <c r="J21" s="94" t="s">
        <v>383</v>
      </c>
      <c r="K21" s="94" t="s">
        <v>383</v>
      </c>
      <c r="L21" s="372" t="s">
        <v>383</v>
      </c>
      <c r="M21" s="71" t="str">
        <f>CONCATENATE(E21,LEFT(F21,1),LEFT(G21,1),LEFT(H21,1),LEFT(I21,1),LEFT(J21,1),LEFT(K21,1),LEFT(L21,1),)</f>
        <v>01000000</v>
      </c>
      <c r="N21" s="71" t="str">
        <f>"0x"&amp;BIN2HEX(M21,2)</f>
        <v>0x40</v>
      </c>
    </row>
    <row r="22" spans="1:14" x14ac:dyDescent="0.25">
      <c r="A22" s="66" t="s">
        <v>118</v>
      </c>
      <c r="B22" s="67" t="s">
        <v>303</v>
      </c>
      <c r="C22" s="66" t="s">
        <v>2</v>
      </c>
      <c r="D22" s="68" t="s">
        <v>13</v>
      </c>
      <c r="E22" s="494" t="s">
        <v>819</v>
      </c>
      <c r="F22" s="494"/>
      <c r="G22" s="69" t="s">
        <v>88</v>
      </c>
      <c r="H22" s="69" t="s">
        <v>87</v>
      </c>
      <c r="I22" s="288" t="s">
        <v>86</v>
      </c>
      <c r="J22" s="288" t="s">
        <v>85</v>
      </c>
      <c r="K22" s="288" t="s">
        <v>84</v>
      </c>
      <c r="L22" s="288" t="s">
        <v>83</v>
      </c>
      <c r="M22" s="70"/>
      <c r="N22" s="88"/>
    </row>
    <row r="23" spans="1:14" x14ac:dyDescent="0.25">
      <c r="A23" s="66"/>
      <c r="B23" s="67"/>
      <c r="C23" s="66"/>
      <c r="D23" s="68"/>
      <c r="E23" s="466" t="s">
        <v>304</v>
      </c>
      <c r="F23" s="464"/>
      <c r="G23" s="376" t="s">
        <v>383</v>
      </c>
      <c r="H23" s="376" t="s">
        <v>383</v>
      </c>
      <c r="I23" s="94" t="s">
        <v>383</v>
      </c>
      <c r="J23" s="94" t="s">
        <v>383</v>
      </c>
      <c r="K23" s="94" t="s">
        <v>383</v>
      </c>
      <c r="L23" s="94" t="s">
        <v>383</v>
      </c>
      <c r="M23" s="71" t="str">
        <f>CONCATENATE(E23,LEFT(G23,1),LEFT(H23,1),LEFT(I23,1),LEFT(J23,1),LEFT(K23,1),LEFT(L23,1),)</f>
        <v>00000000</v>
      </c>
      <c r="N23" s="71" t="str">
        <f>"0x"&amp;BIN2HEX(M23,2)</f>
        <v>0x00</v>
      </c>
    </row>
    <row r="24" spans="1:14" x14ac:dyDescent="0.25">
      <c r="A24" s="66" t="s">
        <v>119</v>
      </c>
      <c r="B24" s="67" t="s">
        <v>174</v>
      </c>
      <c r="C24" s="66" t="s">
        <v>2</v>
      </c>
      <c r="D24" s="68" t="s">
        <v>13</v>
      </c>
      <c r="E24" s="69" t="s">
        <v>96</v>
      </c>
      <c r="F24" s="69" t="s">
        <v>95</v>
      </c>
      <c r="G24" s="69" t="s">
        <v>94</v>
      </c>
      <c r="H24" s="69" t="s">
        <v>93</v>
      </c>
      <c r="I24" s="69" t="s">
        <v>92</v>
      </c>
      <c r="J24" s="69" t="s">
        <v>91</v>
      </c>
      <c r="K24" s="69" t="s">
        <v>90</v>
      </c>
      <c r="L24" s="69" t="s">
        <v>89</v>
      </c>
      <c r="M24" s="70"/>
      <c r="N24" s="88"/>
    </row>
    <row r="25" spans="1:14" x14ac:dyDescent="0.25">
      <c r="A25" s="66"/>
      <c r="B25" s="67"/>
      <c r="C25" s="66"/>
      <c r="D25" s="68"/>
      <c r="E25" s="287" t="s">
        <v>418</v>
      </c>
      <c r="F25" s="287" t="s">
        <v>422</v>
      </c>
      <c r="G25" s="94" t="s">
        <v>403</v>
      </c>
      <c r="H25" s="94" t="s">
        <v>403</v>
      </c>
      <c r="I25" s="94" t="s">
        <v>403</v>
      </c>
      <c r="J25" s="94" t="s">
        <v>403</v>
      </c>
      <c r="K25" s="94" t="s">
        <v>403</v>
      </c>
      <c r="L25" s="73" t="s">
        <v>403</v>
      </c>
      <c r="M25" s="71" t="str">
        <f>CONCATENATE(LEFT(E25,1),LEFT(F25,1),LEFT(G25,1),LEFT(H25,1),LEFT(I25,1),LEFT(J25,1),LEFT(K25,1),LEFT(L25,1),)</f>
        <v>01000000</v>
      </c>
      <c r="N25" s="71" t="str">
        <f>"0x"&amp;BIN2HEX(M25,2)</f>
        <v>0x40</v>
      </c>
    </row>
    <row r="26" spans="1:14" x14ac:dyDescent="0.25">
      <c r="A26" s="66" t="s">
        <v>114</v>
      </c>
      <c r="B26" s="67" t="s">
        <v>175</v>
      </c>
      <c r="C26" s="66" t="s">
        <v>2</v>
      </c>
      <c r="D26" s="68" t="s">
        <v>13</v>
      </c>
      <c r="E26" s="494" t="s">
        <v>818</v>
      </c>
      <c r="F26" s="494"/>
      <c r="G26" s="494"/>
      <c r="H26" s="79" t="s">
        <v>145</v>
      </c>
      <c r="I26" s="494" t="s">
        <v>562</v>
      </c>
      <c r="J26" s="494"/>
      <c r="K26" s="494"/>
      <c r="L26" s="494"/>
      <c r="M26" s="70"/>
      <c r="N26" s="88"/>
    </row>
    <row r="27" spans="1:14" x14ac:dyDescent="0.25">
      <c r="A27" s="66"/>
      <c r="B27" s="67"/>
      <c r="C27" s="66"/>
      <c r="D27" s="68"/>
      <c r="E27" s="466" t="s">
        <v>165</v>
      </c>
      <c r="F27" s="464"/>
      <c r="G27" s="464"/>
      <c r="H27" s="372" t="s">
        <v>404</v>
      </c>
      <c r="I27" s="455" t="s">
        <v>280</v>
      </c>
      <c r="J27" s="455"/>
      <c r="K27" s="455"/>
      <c r="L27" s="455"/>
      <c r="M27" s="71" t="str">
        <f>CONCATENATE(E27,LEFT(H27,1),LEFT(I27,4))</f>
        <v>00010000</v>
      </c>
      <c r="N27" s="71" t="str">
        <f>"0x"&amp;BIN2HEX(M27,2)</f>
        <v>0x10</v>
      </c>
    </row>
    <row r="28" spans="1:14" x14ac:dyDescent="0.25">
      <c r="A28" s="66" t="s">
        <v>543</v>
      </c>
      <c r="B28" s="67">
        <v>16</v>
      </c>
      <c r="C28" s="66"/>
      <c r="D28" s="68"/>
      <c r="E28" s="494" t="s">
        <v>820</v>
      </c>
      <c r="F28" s="494"/>
      <c r="G28" s="494" t="s">
        <v>545</v>
      </c>
      <c r="H28" s="494"/>
      <c r="I28" s="69" t="s">
        <v>549</v>
      </c>
      <c r="J28" s="494" t="s">
        <v>546</v>
      </c>
      <c r="K28" s="494"/>
      <c r="L28" s="69" t="s">
        <v>550</v>
      </c>
      <c r="M28" s="70"/>
      <c r="N28" s="88"/>
    </row>
    <row r="29" spans="1:14" x14ac:dyDescent="0.25">
      <c r="A29" s="66"/>
      <c r="B29" s="67"/>
      <c r="C29" s="66"/>
      <c r="D29" s="68"/>
      <c r="E29" s="466" t="s">
        <v>304</v>
      </c>
      <c r="F29" s="464"/>
      <c r="G29" s="462" t="s">
        <v>678</v>
      </c>
      <c r="H29" s="463"/>
      <c r="I29" s="98" t="s">
        <v>680</v>
      </c>
      <c r="J29" s="462" t="s">
        <v>678</v>
      </c>
      <c r="K29" s="463"/>
      <c r="L29" s="98" t="s">
        <v>680</v>
      </c>
      <c r="M29" s="71" t="str">
        <f>CONCATENATE(E29,LEFT(G29,2),LEFT(I29,1),LEFT(J29,2),LEFT(L29,1))</f>
        <v>00111111</v>
      </c>
      <c r="N29" s="71" t="str">
        <f>"0x"&amp;BIN2HEX(M29,2)</f>
        <v>0x3F</v>
      </c>
    </row>
    <row r="30" spans="1:14" x14ac:dyDescent="0.25">
      <c r="A30" s="66" t="s">
        <v>544</v>
      </c>
      <c r="B30" s="67">
        <v>17</v>
      </c>
      <c r="C30" s="66"/>
      <c r="D30" s="68"/>
      <c r="E30" s="499" t="s">
        <v>821</v>
      </c>
      <c r="F30" s="500"/>
      <c r="G30" s="500"/>
      <c r="H30" s="500"/>
      <c r="I30" s="501"/>
      <c r="J30" s="494" t="s">
        <v>547</v>
      </c>
      <c r="K30" s="494"/>
      <c r="L30" s="69" t="s">
        <v>548</v>
      </c>
      <c r="M30" s="70"/>
      <c r="N30" s="88"/>
    </row>
    <row r="31" spans="1:14" x14ac:dyDescent="0.25">
      <c r="A31" s="66"/>
      <c r="B31" s="67"/>
      <c r="C31" s="66"/>
      <c r="D31" s="68"/>
      <c r="E31" s="452" t="s">
        <v>253</v>
      </c>
      <c r="F31" s="502"/>
      <c r="G31" s="502"/>
      <c r="H31" s="502"/>
      <c r="I31" s="503"/>
      <c r="J31" s="449" t="s">
        <v>678</v>
      </c>
      <c r="K31" s="450"/>
      <c r="L31" s="238" t="s">
        <v>680</v>
      </c>
      <c r="M31" s="71" t="str">
        <f>CONCATENATE(E31,LEFT(J31,2),LEFT(L31,1))</f>
        <v>00000111</v>
      </c>
      <c r="N31" s="71" t="str">
        <f>"0x"&amp;BIN2HEX(M31,2)</f>
        <v>0x07</v>
      </c>
    </row>
    <row r="32" spans="1:14" x14ac:dyDescent="0.25">
      <c r="A32" s="75" t="s">
        <v>154</v>
      </c>
      <c r="B32" s="67">
        <v>18</v>
      </c>
      <c r="C32" s="66" t="s">
        <v>2</v>
      </c>
      <c r="D32" s="68" t="s">
        <v>13</v>
      </c>
      <c r="E32" s="494" t="s">
        <v>152</v>
      </c>
      <c r="F32" s="494"/>
      <c r="G32" s="494"/>
      <c r="H32" s="494"/>
      <c r="I32" s="494"/>
      <c r="J32" s="494"/>
      <c r="K32" s="494"/>
      <c r="L32" s="494"/>
      <c r="M32" s="70"/>
      <c r="N32" s="88"/>
    </row>
    <row r="33" spans="1:14" x14ac:dyDescent="0.25">
      <c r="A33" s="75"/>
      <c r="B33" s="67"/>
      <c r="C33" s="66"/>
      <c r="D33" s="68"/>
      <c r="E33" s="464" t="s">
        <v>441</v>
      </c>
      <c r="F33" s="464"/>
      <c r="G33" s="464"/>
      <c r="H33" s="464"/>
      <c r="I33" s="464"/>
      <c r="J33" s="464"/>
      <c r="K33" s="464"/>
      <c r="L33" s="464"/>
      <c r="M33" s="76" t="s">
        <v>440</v>
      </c>
      <c r="N33" s="71" t="str">
        <f>"0x"&amp;BIN2HEX(M33,2)</f>
        <v>0x00</v>
      </c>
    </row>
    <row r="34" spans="1:14" x14ac:dyDescent="0.25">
      <c r="A34" s="75" t="s">
        <v>155</v>
      </c>
      <c r="B34" s="67">
        <v>19</v>
      </c>
      <c r="C34" s="66" t="s">
        <v>2</v>
      </c>
      <c r="D34" s="68" t="s">
        <v>13</v>
      </c>
      <c r="E34" s="494" t="s">
        <v>153</v>
      </c>
      <c r="F34" s="494"/>
      <c r="G34" s="494"/>
      <c r="H34" s="494"/>
      <c r="I34" s="494"/>
      <c r="J34" s="494"/>
      <c r="K34" s="494"/>
      <c r="L34" s="494"/>
      <c r="M34" s="70"/>
      <c r="N34" s="88"/>
    </row>
    <row r="35" spans="1:14" x14ac:dyDescent="0.25">
      <c r="A35" s="75"/>
      <c r="B35" s="67"/>
      <c r="C35" s="66"/>
      <c r="D35" s="68"/>
      <c r="E35" s="464" t="s">
        <v>441</v>
      </c>
      <c r="F35" s="464"/>
      <c r="G35" s="464"/>
      <c r="H35" s="464"/>
      <c r="I35" s="464"/>
      <c r="J35" s="464"/>
      <c r="K35" s="464"/>
      <c r="L35" s="464"/>
      <c r="M35" s="76" t="s">
        <v>440</v>
      </c>
      <c r="N35" s="71" t="str">
        <f>"0x"&amp;BIN2HEX(M35,2)</f>
        <v>0x00</v>
      </c>
    </row>
  </sheetData>
  <sheetProtection algorithmName="SHA-512" hashValue="h3QhON+ch62PjJnpMfd7gNfOK0HwGac38Aobv4cJ1uiIUuzW8bpxH1T7ogbv0M7GDkFgZAoFd6HedmHlnn4PKQ==" saltValue="HQfrmwXNjTS64cQh2BRWCw==" spinCount="100000" sheet="1" objects="1" scenarios="1"/>
  <mergeCells count="49">
    <mergeCell ref="G28:H28"/>
    <mergeCell ref="J28:K28"/>
    <mergeCell ref="G29:H29"/>
    <mergeCell ref="J29:K29"/>
    <mergeCell ref="J31:K31"/>
    <mergeCell ref="J30:K30"/>
    <mergeCell ref="E33:L33"/>
    <mergeCell ref="E35:L35"/>
    <mergeCell ref="E19:H19"/>
    <mergeCell ref="I19:L19"/>
    <mergeCell ref="E23:F23"/>
    <mergeCell ref="E27:G27"/>
    <mergeCell ref="I27:L27"/>
    <mergeCell ref="E32:L32"/>
    <mergeCell ref="E34:L34"/>
    <mergeCell ref="I26:L26"/>
    <mergeCell ref="E26:G26"/>
    <mergeCell ref="E22:F22"/>
    <mergeCell ref="E28:F28"/>
    <mergeCell ref="E29:F29"/>
    <mergeCell ref="E30:I30"/>
    <mergeCell ref="E31:I31"/>
    <mergeCell ref="E18:H18"/>
    <mergeCell ref="E4:L4"/>
    <mergeCell ref="I6:L6"/>
    <mergeCell ref="E13:H13"/>
    <mergeCell ref="I13:L13"/>
    <mergeCell ref="E15:H15"/>
    <mergeCell ref="I15:L15"/>
    <mergeCell ref="E17:H17"/>
    <mergeCell ref="I17:L17"/>
    <mergeCell ref="I10:L10"/>
    <mergeCell ref="E10:H10"/>
    <mergeCell ref="I12:L12"/>
    <mergeCell ref="I14:L14"/>
    <mergeCell ref="I16:L16"/>
    <mergeCell ref="I18:L18"/>
    <mergeCell ref="E11:H11"/>
    <mergeCell ref="I11:L11"/>
    <mergeCell ref="E12:H12"/>
    <mergeCell ref="E14:H14"/>
    <mergeCell ref="E16:H16"/>
    <mergeCell ref="A2:N2"/>
    <mergeCell ref="E5:L5"/>
    <mergeCell ref="E7:H7"/>
    <mergeCell ref="I7:L7"/>
    <mergeCell ref="H9:L9"/>
    <mergeCell ref="E6:H6"/>
    <mergeCell ref="H8:L8"/>
  </mergeCells>
  <conditionalFormatting sqref="E4 I6 G8:H8 E10 I10 E24:K24 E22 G22:K22 E6 I12 E12 E14 I14 I16 E16 E18 I18 F20:K20">
    <cfRule type="expression" dxfId="34" priority="32">
      <formula>E4 = "-"</formula>
    </cfRule>
  </conditionalFormatting>
  <conditionalFormatting sqref="E26 H26:I26">
    <cfRule type="expression" dxfId="33" priority="29">
      <formula>E26 = "-"</formula>
    </cfRule>
  </conditionalFormatting>
  <conditionalFormatting sqref="E32">
    <cfRule type="expression" dxfId="32" priority="26">
      <formula>E32 = "-"</formula>
    </cfRule>
  </conditionalFormatting>
  <conditionalFormatting sqref="E34">
    <cfRule type="expression" dxfId="31" priority="25">
      <formula>E34 = "-"</formula>
    </cfRule>
  </conditionalFormatting>
  <conditionalFormatting sqref="E5">
    <cfRule type="expression" dxfId="30" priority="24">
      <formula>E5 = "-"</formula>
    </cfRule>
  </conditionalFormatting>
  <conditionalFormatting sqref="I7 E7">
    <cfRule type="expression" dxfId="29" priority="23">
      <formula>E7 = "-"</formula>
    </cfRule>
  </conditionalFormatting>
  <conditionalFormatting sqref="E9:H9">
    <cfRule type="expression" dxfId="28" priority="22">
      <formula>E9 = "-"</formula>
    </cfRule>
  </conditionalFormatting>
  <conditionalFormatting sqref="E11 I11">
    <cfRule type="expression" dxfId="27" priority="21">
      <formula>E11 = "-"</formula>
    </cfRule>
  </conditionalFormatting>
  <conditionalFormatting sqref="I13 E13">
    <cfRule type="expression" dxfId="26" priority="20">
      <formula>E13 = "-"</formula>
    </cfRule>
  </conditionalFormatting>
  <conditionalFormatting sqref="E15 I15">
    <cfRule type="expression" dxfId="25" priority="19">
      <formula>E15 = "-"</formula>
    </cfRule>
  </conditionalFormatting>
  <conditionalFormatting sqref="I17 E17">
    <cfRule type="expression" dxfId="24" priority="18">
      <formula>E17 = "-"</formula>
    </cfRule>
  </conditionalFormatting>
  <conditionalFormatting sqref="E19 I19">
    <cfRule type="expression" dxfId="23" priority="17">
      <formula>E19 = "-"</formula>
    </cfRule>
  </conditionalFormatting>
  <conditionalFormatting sqref="E21:K21">
    <cfRule type="expression" dxfId="22" priority="16">
      <formula>E21 = "-"</formula>
    </cfRule>
  </conditionalFormatting>
  <conditionalFormatting sqref="E23 G23:K23">
    <cfRule type="expression" dxfId="21" priority="15">
      <formula>E23 = "-"</formula>
    </cfRule>
  </conditionalFormatting>
  <conditionalFormatting sqref="E25:K25">
    <cfRule type="expression" dxfId="20" priority="14">
      <formula>E25 = "-"</formula>
    </cfRule>
  </conditionalFormatting>
  <conditionalFormatting sqref="E27 H27:I27 E31 I29">
    <cfRule type="expression" dxfId="19" priority="13">
      <formula>E27 = "-"</formula>
    </cfRule>
  </conditionalFormatting>
  <conditionalFormatting sqref="E33">
    <cfRule type="expression" dxfId="18" priority="10">
      <formula>E33 = "-"</formula>
    </cfRule>
  </conditionalFormatting>
  <conditionalFormatting sqref="E35">
    <cfRule type="expression" dxfId="17" priority="9">
      <formula>E35 = "-"</formula>
    </cfRule>
  </conditionalFormatting>
  <conditionalFormatting sqref="E28">
    <cfRule type="expression" dxfId="16" priority="8">
      <formula>E28 = "-"</formula>
    </cfRule>
  </conditionalFormatting>
  <conditionalFormatting sqref="E29">
    <cfRule type="expression" dxfId="15" priority="7">
      <formula>E29 = "-"</formula>
    </cfRule>
  </conditionalFormatting>
  <conditionalFormatting sqref="E30">
    <cfRule type="expression" dxfId="14" priority="6">
      <formula>E30 = "-"</formula>
    </cfRule>
  </conditionalFormatting>
  <conditionalFormatting sqref="G28">
    <cfRule type="expression" dxfId="13" priority="5">
      <formula>G28 = "-"</formula>
    </cfRule>
  </conditionalFormatting>
  <conditionalFormatting sqref="J28">
    <cfRule type="expression" dxfId="12" priority="2">
      <formula>J28 = "-"</formula>
    </cfRule>
  </conditionalFormatting>
  <conditionalFormatting sqref="J30">
    <cfRule type="expression" dxfId="11" priority="1">
      <formula>J30 = "-"</formula>
    </cfRule>
  </conditionalFormatting>
  <pageMargins left="0.7" right="0.7" top="0.75" bottom="0.75" header="0.3" footer="0.3"/>
  <pageSetup orientation="portrait" r:id="rId1"/>
  <ignoredErrors>
    <ignoredError sqref="E27 E23 B33 B16:B27 E29 E31" numberStoredAsText="1"/>
    <ignoredError sqref="M33:M35" numberStoredAsText="1" unlockedFormula="1"/>
    <ignoredError sqref="M5:N32 N33:N35" unlockedFormula="1"/>
  </ignoredErrors>
  <extLst>
    <ext xmlns:x14="http://schemas.microsoft.com/office/spreadsheetml/2009/9/main" uri="{CCE6A557-97BC-4b89-ADB6-D9C93CAAB3DF}">
      <x14:dataValidations xmlns:xm="http://schemas.microsoft.com/office/excel/2006/main" count="43">
        <x14:dataValidation type="list" allowBlank="1" showInputMessage="1" showErrorMessage="1" xr:uid="{00000000-0002-0000-0500-000000000000}">
          <x14:formula1>
            <xm:f>OTP_conf_failsafe_bits!$C$251:$C$253</xm:f>
          </x14:formula1>
          <xm:sqref>L23</xm:sqref>
        </x14:dataValidation>
        <x14:dataValidation type="list" allowBlank="1" showInputMessage="1" showErrorMessage="1" xr:uid="{00000000-0002-0000-0500-000001000000}">
          <x14:formula1>
            <xm:f>OTP_conf_failsafe_bits!$C$2:$C$18</xm:f>
          </x14:formula1>
          <xm:sqref>E7:H7</xm:sqref>
        </x14:dataValidation>
        <x14:dataValidation type="list" allowBlank="1" showInputMessage="1" showErrorMessage="1" xr:uid="{00000000-0002-0000-0500-000002000000}">
          <x14:formula1>
            <xm:f>OTP_conf_failsafe_bits!$C$19:$C$35</xm:f>
          </x14:formula1>
          <xm:sqref>I7:L7</xm:sqref>
        </x14:dataValidation>
        <x14:dataValidation type="list" allowBlank="1" showInputMessage="1" showErrorMessage="1" xr:uid="{00000000-0002-0000-0500-000003000000}">
          <x14:formula1>
            <xm:f>OTP_conf_failsafe_bits!$C$36:$C$38</xm:f>
          </x14:formula1>
          <xm:sqref>G9</xm:sqref>
        </x14:dataValidation>
        <x14:dataValidation type="list" allowBlank="1" showInputMessage="1" showErrorMessage="1" xr:uid="{00000000-0002-0000-0500-000005000000}">
          <x14:formula1>
            <xm:f>OTP_conf_failsafe_bits!$C$45:$C$61</xm:f>
          </x14:formula1>
          <xm:sqref>E11:H11</xm:sqref>
        </x14:dataValidation>
        <x14:dataValidation type="list" allowBlank="1" showInputMessage="1" showErrorMessage="1" xr:uid="{00000000-0002-0000-0500-000006000000}">
          <x14:formula1>
            <xm:f>OTP_conf_failsafe_bits!$C$62:$C$78</xm:f>
          </x14:formula1>
          <xm:sqref>I11:L11</xm:sqref>
        </x14:dataValidation>
        <x14:dataValidation type="list" allowBlank="1" showInputMessage="1" showErrorMessage="1" xr:uid="{00000000-0002-0000-0500-000007000000}">
          <x14:formula1>
            <xm:f>OTP_conf_failsafe_bits!$C$79:$C$95</xm:f>
          </x14:formula1>
          <xm:sqref>E13:H13</xm:sqref>
        </x14:dataValidation>
        <x14:dataValidation type="list" allowBlank="1" showInputMessage="1" showErrorMessage="1" xr:uid="{00000000-0002-0000-0500-000008000000}">
          <x14:formula1>
            <xm:f>OTP_conf_failsafe_bits!$C$96:$C$112</xm:f>
          </x14:formula1>
          <xm:sqref>I13:L13</xm:sqref>
        </x14:dataValidation>
        <x14:dataValidation type="list" allowBlank="1" showInputMessage="1" showErrorMessage="1" xr:uid="{00000000-0002-0000-0500-000009000000}">
          <x14:formula1>
            <xm:f>OTP_conf_failsafe_bits!$C$113:$C$129</xm:f>
          </x14:formula1>
          <xm:sqref>E15:H15</xm:sqref>
        </x14:dataValidation>
        <x14:dataValidation type="list" allowBlank="1" showInputMessage="1" showErrorMessage="1" xr:uid="{00000000-0002-0000-0500-00000A000000}">
          <x14:formula1>
            <xm:f>OTP_conf_failsafe_bits!$C$130:$C$146</xm:f>
          </x14:formula1>
          <xm:sqref>I15:L15</xm:sqref>
        </x14:dataValidation>
        <x14:dataValidation type="list" allowBlank="1" showInputMessage="1" showErrorMessage="1" xr:uid="{00000000-0002-0000-0500-00000B000000}">
          <x14:formula1>
            <xm:f>OTP_conf_failsafe_bits!$C$147:$C$163</xm:f>
          </x14:formula1>
          <xm:sqref>E17:H17</xm:sqref>
        </x14:dataValidation>
        <x14:dataValidation type="list" allowBlank="1" showInputMessage="1" showErrorMessage="1" xr:uid="{00000000-0002-0000-0500-00000C000000}">
          <x14:formula1>
            <xm:f>OTP_conf_failsafe_bits!$C$164:$C$180</xm:f>
          </x14:formula1>
          <xm:sqref>I17:L17</xm:sqref>
        </x14:dataValidation>
        <x14:dataValidation type="list" allowBlank="1" showInputMessage="1" showErrorMessage="1" xr:uid="{00000000-0002-0000-0500-00000D000000}">
          <x14:formula1>
            <xm:f>OTP_conf_failsafe_bits!$C$181:$C$197</xm:f>
          </x14:formula1>
          <xm:sqref>E19:H19</xm:sqref>
        </x14:dataValidation>
        <x14:dataValidation type="list" allowBlank="1" showInputMessage="1" showErrorMessage="1" xr:uid="{00000000-0002-0000-0500-00000E000000}">
          <x14:formula1>
            <xm:f>OTP_conf_failsafe_bits!$C$198:$C$214</xm:f>
          </x14:formula1>
          <xm:sqref>I19:L19</xm:sqref>
        </x14:dataValidation>
        <x14:dataValidation type="list" allowBlank="1" showInputMessage="1" showErrorMessage="1" xr:uid="{00000000-0002-0000-0500-00000F000000}">
          <x14:formula1>
            <xm:f>OTP_conf_failsafe_bits!$C$215:$C$217</xm:f>
          </x14:formula1>
          <xm:sqref>F21</xm:sqref>
        </x14:dataValidation>
        <x14:dataValidation type="list" allowBlank="1" showInputMessage="1" showErrorMessage="1" xr:uid="{00000000-0002-0000-0500-000010000000}">
          <x14:formula1>
            <xm:f>OTP_conf_failsafe_bits!$C$218:$C$220</xm:f>
          </x14:formula1>
          <xm:sqref>G21</xm:sqref>
        </x14:dataValidation>
        <x14:dataValidation type="list" allowBlank="1" showInputMessage="1" showErrorMessage="1" xr:uid="{00000000-0002-0000-0500-000011000000}">
          <x14:formula1>
            <xm:f>OTP_conf_failsafe_bits!$C$221:$C$223</xm:f>
          </x14:formula1>
          <xm:sqref>H21</xm:sqref>
        </x14:dataValidation>
        <x14:dataValidation type="list" allowBlank="1" showInputMessage="1" showErrorMessage="1" xr:uid="{00000000-0002-0000-0500-000012000000}">
          <x14:formula1>
            <xm:f>OTP_conf_failsafe_bits!$C$224:$C$226</xm:f>
          </x14:formula1>
          <xm:sqref>I21</xm:sqref>
        </x14:dataValidation>
        <x14:dataValidation type="list" allowBlank="1" showInputMessage="1" showErrorMessage="1" xr:uid="{00000000-0002-0000-0500-000013000000}">
          <x14:formula1>
            <xm:f>OTP_conf_failsafe_bits!$C$227:$C$229</xm:f>
          </x14:formula1>
          <xm:sqref>J21</xm:sqref>
        </x14:dataValidation>
        <x14:dataValidation type="list" allowBlank="1" showInputMessage="1" showErrorMessage="1" xr:uid="{00000000-0002-0000-0500-000014000000}">
          <x14:formula1>
            <xm:f>OTP_conf_failsafe_bits!$C$230:$C$232</xm:f>
          </x14:formula1>
          <xm:sqref>K21</xm:sqref>
        </x14:dataValidation>
        <x14:dataValidation type="list" allowBlank="1" showInputMessage="1" showErrorMessage="1" xr:uid="{00000000-0002-0000-0500-000015000000}">
          <x14:formula1>
            <xm:f>OTP_conf_failsafe_bits!$C$233:$C$235</xm:f>
          </x14:formula1>
          <xm:sqref>L21</xm:sqref>
        </x14:dataValidation>
        <x14:dataValidation type="list" allowBlank="1" showInputMessage="1" showErrorMessage="1" xr:uid="{00000000-0002-0000-0500-000016000000}">
          <x14:formula1>
            <xm:f>OTP_conf_failsafe_bits!$C$236:$C$238</xm:f>
          </x14:formula1>
          <xm:sqref>G23</xm:sqref>
        </x14:dataValidation>
        <x14:dataValidation type="list" allowBlank="1" showInputMessage="1" showErrorMessage="1" xr:uid="{00000000-0002-0000-0500-000017000000}">
          <x14:formula1>
            <xm:f>OTP_conf_failsafe_bits!$C$239:$C$241</xm:f>
          </x14:formula1>
          <xm:sqref>H23</xm:sqref>
        </x14:dataValidation>
        <x14:dataValidation type="list" allowBlank="1" showInputMessage="1" showErrorMessage="1" xr:uid="{00000000-0002-0000-0500-000018000000}">
          <x14:formula1>
            <xm:f>OTP_conf_failsafe_bits!$C$242:$C$244</xm:f>
          </x14:formula1>
          <xm:sqref>I23</xm:sqref>
        </x14:dataValidation>
        <x14:dataValidation type="list" allowBlank="1" showInputMessage="1" showErrorMessage="1" xr:uid="{00000000-0002-0000-0500-000019000000}">
          <x14:formula1>
            <xm:f>OTP_conf_failsafe_bits!$C$245:$C$247</xm:f>
          </x14:formula1>
          <xm:sqref>J23</xm:sqref>
        </x14:dataValidation>
        <x14:dataValidation type="list" allowBlank="1" showInputMessage="1" showErrorMessage="1" xr:uid="{00000000-0002-0000-0500-00001A000000}">
          <x14:formula1>
            <xm:f>OTP_conf_failsafe_bits!$C$248:$C$250</xm:f>
          </x14:formula1>
          <xm:sqref>K23</xm:sqref>
        </x14:dataValidation>
        <x14:dataValidation type="list" allowBlank="1" showDropDown="1" showInputMessage="1" showErrorMessage="1" xr:uid="{00000000-0002-0000-0500-00001B000000}">
          <x14:formula1>
            <xm:f>OTP_conf_failsafe_bits!$C$254:$C$256</xm:f>
          </x14:formula1>
          <xm:sqref>E25</xm:sqref>
        </x14:dataValidation>
        <x14:dataValidation type="list" allowBlank="1" showDropDown="1" showInputMessage="1" showErrorMessage="1" xr:uid="{00000000-0002-0000-0500-00001C000000}">
          <x14:formula1>
            <xm:f>OTP_conf_failsafe_bits!$C$257:$C$259</xm:f>
          </x14:formula1>
          <xm:sqref>F25</xm:sqref>
        </x14:dataValidation>
        <x14:dataValidation type="list" allowBlank="1" showInputMessage="1" showErrorMessage="1" xr:uid="{00000000-0002-0000-0500-00001D000000}">
          <x14:formula1>
            <xm:f>OTP_conf_failsafe_bits!$C$260:$C$262</xm:f>
          </x14:formula1>
          <xm:sqref>G25</xm:sqref>
        </x14:dataValidation>
        <x14:dataValidation type="list" allowBlank="1" showInputMessage="1" showErrorMessage="1" xr:uid="{00000000-0002-0000-0500-00001E000000}">
          <x14:formula1>
            <xm:f>OTP_conf_failsafe_bits!$C$263:$C$265</xm:f>
          </x14:formula1>
          <xm:sqref>H25</xm:sqref>
        </x14:dataValidation>
        <x14:dataValidation type="list" allowBlank="1" showInputMessage="1" showErrorMessage="1" xr:uid="{00000000-0002-0000-0500-00001F000000}">
          <x14:formula1>
            <xm:f>OTP_conf_failsafe_bits!$C$266:$C$268</xm:f>
          </x14:formula1>
          <xm:sqref>I25</xm:sqref>
        </x14:dataValidation>
        <x14:dataValidation type="list" allowBlank="1" showInputMessage="1" showErrorMessage="1" xr:uid="{00000000-0002-0000-0500-000020000000}">
          <x14:formula1>
            <xm:f>OTP_conf_failsafe_bits!$C$269:$C$271</xm:f>
          </x14:formula1>
          <xm:sqref>J25</xm:sqref>
        </x14:dataValidation>
        <x14:dataValidation type="list" allowBlank="1" showInputMessage="1" showErrorMessage="1" xr:uid="{00000000-0002-0000-0500-000021000000}">
          <x14:formula1>
            <xm:f>OTP_conf_failsafe_bits!$C$272:$C$274</xm:f>
          </x14:formula1>
          <xm:sqref>K25</xm:sqref>
        </x14:dataValidation>
        <x14:dataValidation type="list" allowBlank="1" showInputMessage="1" showErrorMessage="1" xr:uid="{00000000-0002-0000-0500-000022000000}">
          <x14:formula1>
            <xm:f>OTP_conf_failsafe_bits!$C$275:$C$277</xm:f>
          </x14:formula1>
          <xm:sqref>L25</xm:sqref>
        </x14:dataValidation>
        <x14:dataValidation type="list" allowBlank="1" showInputMessage="1" showErrorMessage="1" xr:uid="{00000000-0002-0000-0500-000023000000}">
          <x14:formula1>
            <xm:f>OTP_conf_failsafe_bits!$C$278:$C$280</xm:f>
          </x14:formula1>
          <xm:sqref>H27</xm:sqref>
        </x14:dataValidation>
        <x14:dataValidation type="list" allowBlank="1" showInputMessage="1" showErrorMessage="1" xr:uid="{00000000-0002-0000-0500-000024000000}">
          <x14:formula1>
            <xm:f>OTP_conf_failsafe_bits!$C$281:$C$297</xm:f>
          </x14:formula1>
          <xm:sqref>I27:L27</xm:sqref>
        </x14:dataValidation>
        <x14:dataValidation type="list" allowBlank="1" showInputMessage="1" showErrorMessage="1" xr:uid="{2953CD99-869B-4917-9B7A-07034E702312}">
          <x14:formula1>
            <xm:f>OTP_conf_failsafe_bits!$C$298:$C$302</xm:f>
          </x14:formula1>
          <xm:sqref>G29:H29</xm:sqref>
        </x14:dataValidation>
        <x14:dataValidation type="list" allowBlank="1" showInputMessage="1" showErrorMessage="1" xr:uid="{C983DBFC-B982-4524-823E-1ACA0BCE555F}">
          <x14:formula1>
            <xm:f>OTP_conf_failsafe_bits!$C$303:$C$305</xm:f>
          </x14:formula1>
          <xm:sqref>I29</xm:sqref>
        </x14:dataValidation>
        <x14:dataValidation type="list" allowBlank="1" showInputMessage="1" showErrorMessage="1" xr:uid="{E5F1E2B1-32B7-43C1-BAF0-17A94C1C248D}">
          <x14:formula1>
            <xm:f>OTP_conf_failsafe_bits!$C$306:$C$310</xm:f>
          </x14:formula1>
          <xm:sqref>J29:K29</xm:sqref>
        </x14:dataValidation>
        <x14:dataValidation type="list" allowBlank="1" showInputMessage="1" showErrorMessage="1" xr:uid="{9CC3A4D5-ED97-4CBB-872E-5028DC06AD09}">
          <x14:formula1>
            <xm:f>OTP_conf_failsafe_bits!$C$311:$C$313</xm:f>
          </x14:formula1>
          <xm:sqref>L29</xm:sqref>
        </x14:dataValidation>
        <x14:dataValidation type="list" allowBlank="1" showInputMessage="1" showErrorMessage="1" xr:uid="{ECD44B3B-405E-4120-B06C-6A6D83A98C8F}">
          <x14:formula1>
            <xm:f>OTP_conf_failsafe_bits!$C$314:$C$318</xm:f>
          </x14:formula1>
          <xm:sqref>J31:K31</xm:sqref>
        </x14:dataValidation>
        <x14:dataValidation type="list" allowBlank="1" showInputMessage="1" showErrorMessage="1" xr:uid="{2ECAA3FC-4569-4199-AB14-B5EDEB7B1ED8}">
          <x14:formula1>
            <xm:f>OTP_conf_failsafe_bits!$C$319:$C$321</xm:f>
          </x14:formula1>
          <xm:sqref>L31</xm:sqref>
        </x14:dataValidation>
        <x14:dataValidation type="list" allowBlank="1" showInputMessage="1" showErrorMessage="1" xr:uid="{00000000-0002-0000-0500-000004000000}">
          <x14:formula1>
            <xm:f>OTP_conf_failsafe_bits!$C$39:$C$44</xm:f>
          </x14:formula1>
          <xm:sqref>H9:L9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321"/>
  <sheetViews>
    <sheetView zoomScaleNormal="100" workbookViewId="0">
      <pane xSplit="1" ySplit="1" topLeftCell="C228" activePane="bottomRight" state="frozen"/>
      <selection activeCell="F169" sqref="F169"/>
      <selection pane="topRight" activeCell="F169" sqref="F169"/>
      <selection pane="bottomLeft" activeCell="F169" sqref="F169"/>
      <selection pane="bottomRight" activeCell="C254" sqref="C254"/>
    </sheetView>
  </sheetViews>
  <sheetFormatPr defaultColWidth="9.140625" defaultRowHeight="15" x14ac:dyDescent="0.25"/>
  <cols>
    <col min="1" max="1" width="22.85546875" style="1" bestFit="1" customWidth="1"/>
    <col min="2" max="2" width="9" style="1" hidden="1" customWidth="1"/>
    <col min="3" max="3" width="48.42578125" style="1" bestFit="1" customWidth="1"/>
    <col min="4" max="4" width="80.5703125" style="1" bestFit="1" customWidth="1"/>
    <col min="5" max="16384" width="9.140625" style="1"/>
  </cols>
  <sheetData>
    <row r="1" spans="1:4" s="12" customFormat="1" ht="18.75" x14ac:dyDescent="0.3">
      <c r="A1" s="9" t="s">
        <v>307</v>
      </c>
      <c r="B1" s="9"/>
      <c r="C1" s="10" t="s">
        <v>308</v>
      </c>
      <c r="D1" s="11" t="s">
        <v>309</v>
      </c>
    </row>
    <row r="2" spans="1:4" x14ac:dyDescent="0.25">
      <c r="A2" s="504" t="s">
        <v>74</v>
      </c>
      <c r="B2" s="231"/>
      <c r="C2" s="7" t="s">
        <v>347</v>
      </c>
      <c r="D2" s="2"/>
    </row>
    <row r="3" spans="1:4" ht="15.75" customHeight="1" x14ac:dyDescent="0.25">
      <c r="A3" s="505"/>
      <c r="B3" s="231" t="str">
        <f t="shared" ref="B3:B51" si="0">LEFT(C3,LEN(C3)-(LEN(C3)-FIND("-",C3,1))-2)</f>
        <v>0000</v>
      </c>
      <c r="C3" s="7" t="s">
        <v>333</v>
      </c>
      <c r="D3" s="2"/>
    </row>
    <row r="4" spans="1:4" x14ac:dyDescent="0.25">
      <c r="A4" s="505"/>
      <c r="B4" s="231" t="str">
        <f t="shared" si="0"/>
        <v>0001</v>
      </c>
      <c r="C4" s="7" t="s">
        <v>332</v>
      </c>
      <c r="D4" s="2"/>
    </row>
    <row r="5" spans="1:4" x14ac:dyDescent="0.25">
      <c r="A5" s="505"/>
      <c r="B5" s="231" t="str">
        <f t="shared" si="0"/>
        <v>0010</v>
      </c>
      <c r="C5" s="7" t="s">
        <v>334</v>
      </c>
      <c r="D5" s="2"/>
    </row>
    <row r="6" spans="1:4" x14ac:dyDescent="0.25">
      <c r="A6" s="505"/>
      <c r="B6" s="231" t="str">
        <f t="shared" si="0"/>
        <v>0011</v>
      </c>
      <c r="C6" s="7" t="s">
        <v>335</v>
      </c>
      <c r="D6" s="2"/>
    </row>
    <row r="7" spans="1:4" x14ac:dyDescent="0.25">
      <c r="A7" s="505"/>
      <c r="B7" s="231" t="str">
        <f t="shared" si="0"/>
        <v>0100</v>
      </c>
      <c r="C7" s="7" t="s">
        <v>336</v>
      </c>
      <c r="D7" s="2"/>
    </row>
    <row r="8" spans="1:4" x14ac:dyDescent="0.25">
      <c r="A8" s="505"/>
      <c r="B8" s="231" t="str">
        <f t="shared" si="0"/>
        <v>0101</v>
      </c>
      <c r="C8" s="7" t="s">
        <v>337</v>
      </c>
      <c r="D8" s="2"/>
    </row>
    <row r="9" spans="1:4" x14ac:dyDescent="0.25">
      <c r="A9" s="505"/>
      <c r="B9" s="231" t="str">
        <f t="shared" si="0"/>
        <v>0110</v>
      </c>
      <c r="C9" s="7" t="s">
        <v>338</v>
      </c>
      <c r="D9" s="2"/>
    </row>
    <row r="10" spans="1:4" x14ac:dyDescent="0.25">
      <c r="A10" s="505"/>
      <c r="B10" s="231" t="str">
        <f t="shared" si="0"/>
        <v>0111</v>
      </c>
      <c r="C10" s="7" t="s">
        <v>339</v>
      </c>
      <c r="D10" s="2"/>
    </row>
    <row r="11" spans="1:4" x14ac:dyDescent="0.25">
      <c r="A11" s="505"/>
      <c r="B11" s="231" t="str">
        <f t="shared" si="0"/>
        <v>1000</v>
      </c>
      <c r="C11" s="7" t="s">
        <v>340</v>
      </c>
      <c r="D11" s="2"/>
    </row>
    <row r="12" spans="1:4" x14ac:dyDescent="0.25">
      <c r="A12" s="505"/>
      <c r="B12" s="231" t="str">
        <f t="shared" si="0"/>
        <v>1001</v>
      </c>
      <c r="C12" s="7" t="s">
        <v>341</v>
      </c>
      <c r="D12" s="2"/>
    </row>
    <row r="13" spans="1:4" x14ac:dyDescent="0.25">
      <c r="A13" s="505"/>
      <c r="B13" s="231" t="str">
        <f t="shared" si="0"/>
        <v>1010</v>
      </c>
      <c r="C13" s="7" t="s">
        <v>516</v>
      </c>
      <c r="D13" s="2"/>
    </row>
    <row r="14" spans="1:4" x14ac:dyDescent="0.25">
      <c r="A14" s="505"/>
      <c r="B14" s="231" t="str">
        <f t="shared" si="0"/>
        <v>1011</v>
      </c>
      <c r="C14" s="7" t="s">
        <v>342</v>
      </c>
      <c r="D14" s="2"/>
    </row>
    <row r="15" spans="1:4" x14ac:dyDescent="0.25">
      <c r="A15" s="505"/>
      <c r="B15" s="231" t="str">
        <f t="shared" si="0"/>
        <v>1100</v>
      </c>
      <c r="C15" s="7" t="s">
        <v>343</v>
      </c>
      <c r="D15" s="2"/>
    </row>
    <row r="16" spans="1:4" x14ac:dyDescent="0.25">
      <c r="A16" s="505"/>
      <c r="B16" s="231" t="str">
        <f t="shared" si="0"/>
        <v>1101</v>
      </c>
      <c r="C16" s="7" t="s">
        <v>344</v>
      </c>
      <c r="D16" s="2"/>
    </row>
    <row r="17" spans="1:4" x14ac:dyDescent="0.25">
      <c r="A17" s="505"/>
      <c r="B17" s="231" t="str">
        <f t="shared" si="0"/>
        <v>1110</v>
      </c>
      <c r="C17" s="7" t="s">
        <v>345</v>
      </c>
      <c r="D17" s="2"/>
    </row>
    <row r="18" spans="1:4" x14ac:dyDescent="0.25">
      <c r="A18" s="506"/>
      <c r="B18" s="231" t="str">
        <f t="shared" si="0"/>
        <v>1111</v>
      </c>
      <c r="C18" s="7" t="s">
        <v>346</v>
      </c>
      <c r="D18" s="2"/>
    </row>
    <row r="19" spans="1:4" x14ac:dyDescent="0.25">
      <c r="A19" s="504" t="s">
        <v>73</v>
      </c>
      <c r="B19" s="231"/>
      <c r="C19" s="7" t="s">
        <v>348</v>
      </c>
      <c r="D19" s="2"/>
    </row>
    <row r="20" spans="1:4" x14ac:dyDescent="0.25">
      <c r="A20" s="505"/>
      <c r="B20" s="231" t="str">
        <f t="shared" si="0"/>
        <v>0000</v>
      </c>
      <c r="C20" s="7" t="s">
        <v>333</v>
      </c>
      <c r="D20" s="2"/>
    </row>
    <row r="21" spans="1:4" x14ac:dyDescent="0.25">
      <c r="A21" s="505"/>
      <c r="B21" s="231" t="str">
        <f t="shared" si="0"/>
        <v>0001</v>
      </c>
      <c r="C21" s="7" t="s">
        <v>332</v>
      </c>
      <c r="D21" s="2"/>
    </row>
    <row r="22" spans="1:4" x14ac:dyDescent="0.25">
      <c r="A22" s="505"/>
      <c r="B22" s="231" t="str">
        <f t="shared" si="0"/>
        <v>0010</v>
      </c>
      <c r="C22" s="7" t="s">
        <v>334</v>
      </c>
      <c r="D22" s="2"/>
    </row>
    <row r="23" spans="1:4" x14ac:dyDescent="0.25">
      <c r="A23" s="505"/>
      <c r="B23" s="231" t="str">
        <f t="shared" si="0"/>
        <v>0011</v>
      </c>
      <c r="C23" s="7" t="s">
        <v>335</v>
      </c>
      <c r="D23" s="2"/>
    </row>
    <row r="24" spans="1:4" x14ac:dyDescent="0.25">
      <c r="A24" s="505"/>
      <c r="B24" s="231" t="str">
        <f t="shared" si="0"/>
        <v>0100</v>
      </c>
      <c r="C24" s="7" t="s">
        <v>336</v>
      </c>
      <c r="D24" s="2"/>
    </row>
    <row r="25" spans="1:4" x14ac:dyDescent="0.25">
      <c r="A25" s="505"/>
      <c r="B25" s="231" t="str">
        <f t="shared" si="0"/>
        <v>0101</v>
      </c>
      <c r="C25" s="7" t="s">
        <v>337</v>
      </c>
      <c r="D25" s="2"/>
    </row>
    <row r="26" spans="1:4" x14ac:dyDescent="0.25">
      <c r="A26" s="505"/>
      <c r="B26" s="231" t="str">
        <f t="shared" si="0"/>
        <v>0110</v>
      </c>
      <c r="C26" s="7" t="s">
        <v>338</v>
      </c>
      <c r="D26" s="2"/>
    </row>
    <row r="27" spans="1:4" x14ac:dyDescent="0.25">
      <c r="A27" s="505"/>
      <c r="B27" s="231" t="str">
        <f t="shared" si="0"/>
        <v>0111</v>
      </c>
      <c r="C27" s="7" t="s">
        <v>339</v>
      </c>
      <c r="D27" s="2"/>
    </row>
    <row r="28" spans="1:4" x14ac:dyDescent="0.25">
      <c r="A28" s="505"/>
      <c r="B28" s="231" t="str">
        <f t="shared" si="0"/>
        <v>1000</v>
      </c>
      <c r="C28" s="7" t="s">
        <v>340</v>
      </c>
      <c r="D28" s="2"/>
    </row>
    <row r="29" spans="1:4" x14ac:dyDescent="0.25">
      <c r="A29" s="505"/>
      <c r="B29" s="231" t="str">
        <f t="shared" si="0"/>
        <v>1001</v>
      </c>
      <c r="C29" s="7" t="s">
        <v>341</v>
      </c>
      <c r="D29" s="2"/>
    </row>
    <row r="30" spans="1:4" x14ac:dyDescent="0.25">
      <c r="A30" s="505"/>
      <c r="B30" s="231" t="str">
        <f t="shared" si="0"/>
        <v>1010</v>
      </c>
      <c r="C30" s="7" t="s">
        <v>516</v>
      </c>
      <c r="D30" s="2"/>
    </row>
    <row r="31" spans="1:4" x14ac:dyDescent="0.25">
      <c r="A31" s="505"/>
      <c r="B31" s="231" t="str">
        <f t="shared" si="0"/>
        <v>1011</v>
      </c>
      <c r="C31" s="7" t="s">
        <v>342</v>
      </c>
      <c r="D31" s="2"/>
    </row>
    <row r="32" spans="1:4" x14ac:dyDescent="0.25">
      <c r="A32" s="505"/>
      <c r="B32" s="231" t="str">
        <f t="shared" si="0"/>
        <v>1100</v>
      </c>
      <c r="C32" s="7" t="s">
        <v>343</v>
      </c>
      <c r="D32" s="2"/>
    </row>
    <row r="33" spans="1:4" x14ac:dyDescent="0.25">
      <c r="A33" s="505"/>
      <c r="B33" s="231" t="str">
        <f t="shared" si="0"/>
        <v>1101</v>
      </c>
      <c r="C33" s="7" t="s">
        <v>344</v>
      </c>
      <c r="D33" s="2"/>
    </row>
    <row r="34" spans="1:4" x14ac:dyDescent="0.25">
      <c r="A34" s="505"/>
      <c r="B34" s="231" t="str">
        <f t="shared" si="0"/>
        <v>1110</v>
      </c>
      <c r="C34" s="7" t="s">
        <v>345</v>
      </c>
      <c r="D34" s="2"/>
    </row>
    <row r="35" spans="1:4" x14ac:dyDescent="0.25">
      <c r="A35" s="506"/>
      <c r="B35" s="231" t="str">
        <f t="shared" si="0"/>
        <v>1111</v>
      </c>
      <c r="C35" s="7" t="s">
        <v>346</v>
      </c>
      <c r="D35" s="2"/>
    </row>
    <row r="36" spans="1:4" x14ac:dyDescent="0.25">
      <c r="A36" s="504" t="s">
        <v>76</v>
      </c>
      <c r="B36" s="231"/>
      <c r="C36" s="2" t="s">
        <v>350</v>
      </c>
      <c r="D36" s="2"/>
    </row>
    <row r="37" spans="1:4" x14ac:dyDescent="0.25">
      <c r="A37" s="505"/>
      <c r="B37" s="231" t="str">
        <f t="shared" si="0"/>
        <v>0</v>
      </c>
      <c r="C37" s="2" t="s">
        <v>349</v>
      </c>
      <c r="D37" s="2"/>
    </row>
    <row r="38" spans="1:4" x14ac:dyDescent="0.25">
      <c r="A38" s="506"/>
      <c r="B38" s="231" t="str">
        <f t="shared" si="0"/>
        <v>1</v>
      </c>
      <c r="C38" s="2" t="s">
        <v>708</v>
      </c>
      <c r="D38" s="2"/>
    </row>
    <row r="39" spans="1:4" x14ac:dyDescent="0.25">
      <c r="A39" s="504" t="s">
        <v>75</v>
      </c>
      <c r="B39" s="231"/>
      <c r="C39" s="25" t="s">
        <v>351</v>
      </c>
      <c r="D39" s="2"/>
    </row>
    <row r="40" spans="1:4" x14ac:dyDescent="0.25">
      <c r="A40" s="505"/>
      <c r="B40" s="231" t="str">
        <f t="shared" si="0"/>
        <v>00000</v>
      </c>
      <c r="C40" s="25" t="s">
        <v>352</v>
      </c>
      <c r="D40" s="2"/>
    </row>
    <row r="41" spans="1:4" x14ac:dyDescent="0.25">
      <c r="A41" s="505"/>
      <c r="B41" s="231" t="str">
        <f t="shared" si="0"/>
        <v>00001</v>
      </c>
      <c r="C41" s="25" t="s">
        <v>353</v>
      </c>
      <c r="D41" s="157" t="s">
        <v>686</v>
      </c>
    </row>
    <row r="42" spans="1:4" x14ac:dyDescent="0.25">
      <c r="A42" s="505"/>
      <c r="B42" s="231" t="str">
        <f t="shared" si="0"/>
        <v>00011</v>
      </c>
      <c r="C42" s="25" t="s">
        <v>354</v>
      </c>
      <c r="D42" s="157" t="s">
        <v>687</v>
      </c>
    </row>
    <row r="43" spans="1:4" x14ac:dyDescent="0.25">
      <c r="A43" s="505"/>
      <c r="B43" s="231" t="str">
        <f t="shared" si="0"/>
        <v>00111</v>
      </c>
      <c r="C43" s="25" t="s">
        <v>355</v>
      </c>
      <c r="D43" s="157" t="s">
        <v>688</v>
      </c>
    </row>
    <row r="44" spans="1:4" x14ac:dyDescent="0.25">
      <c r="A44" s="505"/>
      <c r="B44" s="231" t="str">
        <f t="shared" si="0"/>
        <v>01111</v>
      </c>
      <c r="C44" s="25" t="s">
        <v>356</v>
      </c>
      <c r="D44" s="157" t="s">
        <v>689</v>
      </c>
    </row>
    <row r="45" spans="1:4" x14ac:dyDescent="0.25">
      <c r="A45" s="504" t="s">
        <v>121</v>
      </c>
      <c r="B45" s="231"/>
      <c r="C45" s="7" t="s">
        <v>357</v>
      </c>
      <c r="D45" s="2"/>
    </row>
    <row r="46" spans="1:4" x14ac:dyDescent="0.25">
      <c r="A46" s="505"/>
      <c r="B46" s="231" t="str">
        <f t="shared" si="0"/>
        <v>0000</v>
      </c>
      <c r="C46" s="7" t="s">
        <v>333</v>
      </c>
      <c r="D46" s="2"/>
    </row>
    <row r="47" spans="1:4" x14ac:dyDescent="0.25">
      <c r="A47" s="505"/>
      <c r="B47" s="231" t="str">
        <f t="shared" si="0"/>
        <v>0001</v>
      </c>
      <c r="C47" s="7" t="s">
        <v>332</v>
      </c>
      <c r="D47" s="2"/>
    </row>
    <row r="48" spans="1:4" x14ac:dyDescent="0.25">
      <c r="A48" s="505"/>
      <c r="B48" s="231" t="str">
        <f t="shared" si="0"/>
        <v>0010</v>
      </c>
      <c r="C48" s="7" t="s">
        <v>334</v>
      </c>
      <c r="D48" s="2"/>
    </row>
    <row r="49" spans="1:4" x14ac:dyDescent="0.25">
      <c r="A49" s="505"/>
      <c r="B49" s="231" t="str">
        <f t="shared" si="0"/>
        <v>0011</v>
      </c>
      <c r="C49" s="7" t="s">
        <v>335</v>
      </c>
      <c r="D49" s="2"/>
    </row>
    <row r="50" spans="1:4" x14ac:dyDescent="0.25">
      <c r="A50" s="505"/>
      <c r="B50" s="231" t="str">
        <f t="shared" si="0"/>
        <v>0100</v>
      </c>
      <c r="C50" s="7" t="s">
        <v>336</v>
      </c>
      <c r="D50" s="2"/>
    </row>
    <row r="51" spans="1:4" x14ac:dyDescent="0.25">
      <c r="A51" s="505"/>
      <c r="B51" s="231" t="str">
        <f t="shared" si="0"/>
        <v>0101</v>
      </c>
      <c r="C51" s="7" t="s">
        <v>337</v>
      </c>
      <c r="D51" s="2"/>
    </row>
    <row r="52" spans="1:4" x14ac:dyDescent="0.25">
      <c r="A52" s="505"/>
      <c r="B52" s="231" t="str">
        <f t="shared" ref="B52:B115" si="1">LEFT(C52,LEN(C52)-(LEN(C52)-FIND("-",C52,1))-2)</f>
        <v>0110</v>
      </c>
      <c r="C52" s="7" t="s">
        <v>338</v>
      </c>
      <c r="D52" s="2"/>
    </row>
    <row r="53" spans="1:4" x14ac:dyDescent="0.25">
      <c r="A53" s="505"/>
      <c r="B53" s="231" t="str">
        <f t="shared" si="1"/>
        <v>0111</v>
      </c>
      <c r="C53" s="7" t="s">
        <v>339</v>
      </c>
      <c r="D53" s="2"/>
    </row>
    <row r="54" spans="1:4" x14ac:dyDescent="0.25">
      <c r="A54" s="505"/>
      <c r="B54" s="231" t="str">
        <f t="shared" si="1"/>
        <v>1000</v>
      </c>
      <c r="C54" s="7" t="s">
        <v>340</v>
      </c>
      <c r="D54" s="2"/>
    </row>
    <row r="55" spans="1:4" x14ac:dyDescent="0.25">
      <c r="A55" s="505"/>
      <c r="B55" s="231" t="str">
        <f t="shared" si="1"/>
        <v>1001</v>
      </c>
      <c r="C55" s="7" t="s">
        <v>341</v>
      </c>
      <c r="D55" s="2"/>
    </row>
    <row r="56" spans="1:4" x14ac:dyDescent="0.25">
      <c r="A56" s="505"/>
      <c r="B56" s="231" t="str">
        <f t="shared" si="1"/>
        <v>1010</v>
      </c>
      <c r="C56" s="7" t="s">
        <v>516</v>
      </c>
      <c r="D56" s="2"/>
    </row>
    <row r="57" spans="1:4" x14ac:dyDescent="0.25">
      <c r="A57" s="505"/>
      <c r="B57" s="231" t="str">
        <f t="shared" si="1"/>
        <v>1011</v>
      </c>
      <c r="C57" s="7" t="s">
        <v>342</v>
      </c>
      <c r="D57" s="2"/>
    </row>
    <row r="58" spans="1:4" x14ac:dyDescent="0.25">
      <c r="A58" s="505"/>
      <c r="B58" s="231" t="str">
        <f t="shared" si="1"/>
        <v>1100</v>
      </c>
      <c r="C58" s="7" t="s">
        <v>343</v>
      </c>
      <c r="D58" s="2"/>
    </row>
    <row r="59" spans="1:4" x14ac:dyDescent="0.25">
      <c r="A59" s="505"/>
      <c r="B59" s="231" t="str">
        <f t="shared" si="1"/>
        <v>1101</v>
      </c>
      <c r="C59" s="7" t="s">
        <v>344</v>
      </c>
      <c r="D59" s="2"/>
    </row>
    <row r="60" spans="1:4" x14ac:dyDescent="0.25">
      <c r="A60" s="505"/>
      <c r="B60" s="231" t="str">
        <f t="shared" si="1"/>
        <v>1110</v>
      </c>
      <c r="C60" s="7" t="s">
        <v>345</v>
      </c>
      <c r="D60" s="2"/>
    </row>
    <row r="61" spans="1:4" x14ac:dyDescent="0.25">
      <c r="A61" s="506"/>
      <c r="B61" s="231" t="str">
        <f t="shared" si="1"/>
        <v>1111</v>
      </c>
      <c r="C61" s="7" t="s">
        <v>346</v>
      </c>
      <c r="D61" s="2"/>
    </row>
    <row r="62" spans="1:4" x14ac:dyDescent="0.25">
      <c r="A62" s="504" t="s">
        <v>120</v>
      </c>
      <c r="B62" s="231"/>
      <c r="C62" s="7" t="s">
        <v>360</v>
      </c>
      <c r="D62" s="2"/>
    </row>
    <row r="63" spans="1:4" x14ac:dyDescent="0.25">
      <c r="A63" s="505"/>
      <c r="B63" s="231" t="str">
        <f t="shared" si="1"/>
        <v>0000</v>
      </c>
      <c r="C63" s="7" t="s">
        <v>333</v>
      </c>
      <c r="D63" s="2"/>
    </row>
    <row r="64" spans="1:4" x14ac:dyDescent="0.25">
      <c r="A64" s="505"/>
      <c r="B64" s="231" t="str">
        <f t="shared" si="1"/>
        <v>0001</v>
      </c>
      <c r="C64" s="7" t="s">
        <v>332</v>
      </c>
      <c r="D64" s="2"/>
    </row>
    <row r="65" spans="1:4" x14ac:dyDescent="0.25">
      <c r="A65" s="505"/>
      <c r="B65" s="231" t="str">
        <f t="shared" si="1"/>
        <v>0010</v>
      </c>
      <c r="C65" s="7" t="s">
        <v>334</v>
      </c>
      <c r="D65" s="2"/>
    </row>
    <row r="66" spans="1:4" x14ac:dyDescent="0.25">
      <c r="A66" s="505"/>
      <c r="B66" s="231" t="str">
        <f t="shared" si="1"/>
        <v>0011</v>
      </c>
      <c r="C66" s="7" t="s">
        <v>335</v>
      </c>
      <c r="D66" s="2"/>
    </row>
    <row r="67" spans="1:4" x14ac:dyDescent="0.25">
      <c r="A67" s="505"/>
      <c r="B67" s="231" t="str">
        <f t="shared" si="1"/>
        <v>0100</v>
      </c>
      <c r="C67" s="7" t="s">
        <v>336</v>
      </c>
      <c r="D67" s="2"/>
    </row>
    <row r="68" spans="1:4" x14ac:dyDescent="0.25">
      <c r="A68" s="505"/>
      <c r="B68" s="231" t="str">
        <f t="shared" si="1"/>
        <v>0101</v>
      </c>
      <c r="C68" s="7" t="s">
        <v>337</v>
      </c>
      <c r="D68" s="2"/>
    </row>
    <row r="69" spans="1:4" x14ac:dyDescent="0.25">
      <c r="A69" s="505"/>
      <c r="B69" s="231" t="str">
        <f t="shared" si="1"/>
        <v>0110</v>
      </c>
      <c r="C69" s="7" t="s">
        <v>338</v>
      </c>
      <c r="D69" s="2"/>
    </row>
    <row r="70" spans="1:4" x14ac:dyDescent="0.25">
      <c r="A70" s="505"/>
      <c r="B70" s="231" t="str">
        <f t="shared" si="1"/>
        <v>0111</v>
      </c>
      <c r="C70" s="7" t="s">
        <v>339</v>
      </c>
      <c r="D70" s="2"/>
    </row>
    <row r="71" spans="1:4" x14ac:dyDescent="0.25">
      <c r="A71" s="505"/>
      <c r="B71" s="231" t="str">
        <f t="shared" si="1"/>
        <v>1000</v>
      </c>
      <c r="C71" s="7" t="s">
        <v>340</v>
      </c>
      <c r="D71" s="2"/>
    </row>
    <row r="72" spans="1:4" x14ac:dyDescent="0.25">
      <c r="A72" s="505"/>
      <c r="B72" s="231" t="str">
        <f t="shared" si="1"/>
        <v>1001</v>
      </c>
      <c r="C72" s="7" t="s">
        <v>341</v>
      </c>
      <c r="D72" s="2"/>
    </row>
    <row r="73" spans="1:4" x14ac:dyDescent="0.25">
      <c r="A73" s="505"/>
      <c r="B73" s="231" t="str">
        <f t="shared" si="1"/>
        <v>1010</v>
      </c>
      <c r="C73" s="7" t="s">
        <v>516</v>
      </c>
      <c r="D73" s="2"/>
    </row>
    <row r="74" spans="1:4" x14ac:dyDescent="0.25">
      <c r="A74" s="505"/>
      <c r="B74" s="231" t="str">
        <f t="shared" si="1"/>
        <v>1011</v>
      </c>
      <c r="C74" s="7" t="s">
        <v>342</v>
      </c>
      <c r="D74" s="2"/>
    </row>
    <row r="75" spans="1:4" x14ac:dyDescent="0.25">
      <c r="A75" s="505"/>
      <c r="B75" s="231" t="str">
        <f t="shared" si="1"/>
        <v>1100</v>
      </c>
      <c r="C75" s="7" t="s">
        <v>343</v>
      </c>
      <c r="D75" s="2"/>
    </row>
    <row r="76" spans="1:4" x14ac:dyDescent="0.25">
      <c r="A76" s="505"/>
      <c r="B76" s="231" t="str">
        <f t="shared" si="1"/>
        <v>1101</v>
      </c>
      <c r="C76" s="7" t="s">
        <v>344</v>
      </c>
      <c r="D76" s="2"/>
    </row>
    <row r="77" spans="1:4" x14ac:dyDescent="0.25">
      <c r="A77" s="505"/>
      <c r="B77" s="231" t="str">
        <f t="shared" si="1"/>
        <v>1110</v>
      </c>
      <c r="C77" s="7" t="s">
        <v>345</v>
      </c>
      <c r="D77" s="2"/>
    </row>
    <row r="78" spans="1:4" x14ac:dyDescent="0.25">
      <c r="A78" s="506"/>
      <c r="B78" s="231" t="str">
        <f t="shared" si="1"/>
        <v>1111</v>
      </c>
      <c r="C78" s="7" t="s">
        <v>346</v>
      </c>
      <c r="D78" s="2"/>
    </row>
    <row r="79" spans="1:4" x14ac:dyDescent="0.25">
      <c r="A79" s="504" t="s">
        <v>123</v>
      </c>
      <c r="B79" s="231"/>
      <c r="C79" s="7" t="s">
        <v>359</v>
      </c>
      <c r="D79" s="2"/>
    </row>
    <row r="80" spans="1:4" x14ac:dyDescent="0.25">
      <c r="A80" s="505"/>
      <c r="B80" s="231" t="str">
        <f t="shared" si="1"/>
        <v>0000</v>
      </c>
      <c r="C80" s="7" t="s">
        <v>333</v>
      </c>
      <c r="D80" s="2"/>
    </row>
    <row r="81" spans="1:4" x14ac:dyDescent="0.25">
      <c r="A81" s="505"/>
      <c r="B81" s="231" t="str">
        <f t="shared" si="1"/>
        <v>0001</v>
      </c>
      <c r="C81" s="7" t="s">
        <v>332</v>
      </c>
      <c r="D81" s="2"/>
    </row>
    <row r="82" spans="1:4" x14ac:dyDescent="0.25">
      <c r="A82" s="505"/>
      <c r="B82" s="231" t="str">
        <f t="shared" si="1"/>
        <v>0010</v>
      </c>
      <c r="C82" s="7" t="s">
        <v>334</v>
      </c>
      <c r="D82" s="2"/>
    </row>
    <row r="83" spans="1:4" x14ac:dyDescent="0.25">
      <c r="A83" s="505"/>
      <c r="B83" s="231" t="str">
        <f t="shared" si="1"/>
        <v>0011</v>
      </c>
      <c r="C83" s="7" t="s">
        <v>335</v>
      </c>
      <c r="D83" s="2"/>
    </row>
    <row r="84" spans="1:4" x14ac:dyDescent="0.25">
      <c r="A84" s="505"/>
      <c r="B84" s="231" t="str">
        <f t="shared" si="1"/>
        <v>0100</v>
      </c>
      <c r="C84" s="7" t="s">
        <v>336</v>
      </c>
      <c r="D84" s="2"/>
    </row>
    <row r="85" spans="1:4" x14ac:dyDescent="0.25">
      <c r="A85" s="505"/>
      <c r="B85" s="231" t="str">
        <f t="shared" si="1"/>
        <v>0101</v>
      </c>
      <c r="C85" s="7" t="s">
        <v>337</v>
      </c>
      <c r="D85" s="2"/>
    </row>
    <row r="86" spans="1:4" x14ac:dyDescent="0.25">
      <c r="A86" s="505"/>
      <c r="B86" s="231" t="str">
        <f t="shared" si="1"/>
        <v>0110</v>
      </c>
      <c r="C86" s="7" t="s">
        <v>338</v>
      </c>
      <c r="D86" s="2"/>
    </row>
    <row r="87" spans="1:4" x14ac:dyDescent="0.25">
      <c r="A87" s="505"/>
      <c r="B87" s="231" t="str">
        <f t="shared" si="1"/>
        <v>0111</v>
      </c>
      <c r="C87" s="7" t="s">
        <v>339</v>
      </c>
      <c r="D87" s="2"/>
    </row>
    <row r="88" spans="1:4" x14ac:dyDescent="0.25">
      <c r="A88" s="505"/>
      <c r="B88" s="231" t="str">
        <f t="shared" si="1"/>
        <v>1000</v>
      </c>
      <c r="C88" s="7" t="s">
        <v>340</v>
      </c>
      <c r="D88" s="2"/>
    </row>
    <row r="89" spans="1:4" x14ac:dyDescent="0.25">
      <c r="A89" s="505"/>
      <c r="B89" s="231" t="str">
        <f t="shared" si="1"/>
        <v>1001</v>
      </c>
      <c r="C89" s="7" t="s">
        <v>341</v>
      </c>
      <c r="D89" s="2"/>
    </row>
    <row r="90" spans="1:4" x14ac:dyDescent="0.25">
      <c r="A90" s="505"/>
      <c r="B90" s="231" t="str">
        <f t="shared" si="1"/>
        <v>1010</v>
      </c>
      <c r="C90" s="7" t="s">
        <v>516</v>
      </c>
      <c r="D90" s="2"/>
    </row>
    <row r="91" spans="1:4" x14ac:dyDescent="0.25">
      <c r="A91" s="505"/>
      <c r="B91" s="231" t="str">
        <f t="shared" si="1"/>
        <v>1011</v>
      </c>
      <c r="C91" s="7" t="s">
        <v>342</v>
      </c>
      <c r="D91" s="2"/>
    </row>
    <row r="92" spans="1:4" x14ac:dyDescent="0.25">
      <c r="A92" s="505"/>
      <c r="B92" s="231" t="str">
        <f t="shared" si="1"/>
        <v>1100</v>
      </c>
      <c r="C92" s="7" t="s">
        <v>343</v>
      </c>
      <c r="D92" s="2"/>
    </row>
    <row r="93" spans="1:4" x14ac:dyDescent="0.25">
      <c r="A93" s="505"/>
      <c r="B93" s="231" t="str">
        <f t="shared" si="1"/>
        <v>1101</v>
      </c>
      <c r="C93" s="7" t="s">
        <v>344</v>
      </c>
      <c r="D93" s="2"/>
    </row>
    <row r="94" spans="1:4" x14ac:dyDescent="0.25">
      <c r="A94" s="505"/>
      <c r="B94" s="231" t="str">
        <f t="shared" si="1"/>
        <v>1110</v>
      </c>
      <c r="C94" s="7" t="s">
        <v>345</v>
      </c>
      <c r="D94" s="2"/>
    </row>
    <row r="95" spans="1:4" x14ac:dyDescent="0.25">
      <c r="A95" s="506"/>
      <c r="B95" s="231" t="str">
        <f t="shared" si="1"/>
        <v>1111</v>
      </c>
      <c r="C95" s="7" t="s">
        <v>346</v>
      </c>
      <c r="D95" s="2"/>
    </row>
    <row r="96" spans="1:4" x14ac:dyDescent="0.25">
      <c r="A96" s="504" t="s">
        <v>122</v>
      </c>
      <c r="B96" s="231"/>
      <c r="C96" s="7" t="s">
        <v>358</v>
      </c>
      <c r="D96" s="2"/>
    </row>
    <row r="97" spans="1:4" x14ac:dyDescent="0.25">
      <c r="A97" s="505"/>
      <c r="B97" s="231" t="str">
        <f t="shared" si="1"/>
        <v>0000</v>
      </c>
      <c r="C97" s="7" t="s">
        <v>333</v>
      </c>
      <c r="D97" s="2"/>
    </row>
    <row r="98" spans="1:4" x14ac:dyDescent="0.25">
      <c r="A98" s="505"/>
      <c r="B98" s="231" t="str">
        <f t="shared" si="1"/>
        <v>0001</v>
      </c>
      <c r="C98" s="7" t="s">
        <v>332</v>
      </c>
      <c r="D98" s="2"/>
    </row>
    <row r="99" spans="1:4" x14ac:dyDescent="0.25">
      <c r="A99" s="505"/>
      <c r="B99" s="231" t="str">
        <f t="shared" si="1"/>
        <v>0010</v>
      </c>
      <c r="C99" s="7" t="s">
        <v>334</v>
      </c>
      <c r="D99" s="2"/>
    </row>
    <row r="100" spans="1:4" x14ac:dyDescent="0.25">
      <c r="A100" s="505"/>
      <c r="B100" s="231" t="str">
        <f t="shared" si="1"/>
        <v>0011</v>
      </c>
      <c r="C100" s="7" t="s">
        <v>335</v>
      </c>
      <c r="D100" s="2"/>
    </row>
    <row r="101" spans="1:4" x14ac:dyDescent="0.25">
      <c r="A101" s="505"/>
      <c r="B101" s="231" t="str">
        <f t="shared" si="1"/>
        <v>0100</v>
      </c>
      <c r="C101" s="7" t="s">
        <v>336</v>
      </c>
      <c r="D101" s="2"/>
    </row>
    <row r="102" spans="1:4" x14ac:dyDescent="0.25">
      <c r="A102" s="505"/>
      <c r="B102" s="231" t="str">
        <f t="shared" si="1"/>
        <v>0101</v>
      </c>
      <c r="C102" s="7" t="s">
        <v>337</v>
      </c>
      <c r="D102" s="2"/>
    </row>
    <row r="103" spans="1:4" x14ac:dyDescent="0.25">
      <c r="A103" s="505"/>
      <c r="B103" s="231" t="str">
        <f t="shared" si="1"/>
        <v>0110</v>
      </c>
      <c r="C103" s="7" t="s">
        <v>338</v>
      </c>
      <c r="D103" s="2"/>
    </row>
    <row r="104" spans="1:4" x14ac:dyDescent="0.25">
      <c r="A104" s="505"/>
      <c r="B104" s="231" t="str">
        <f t="shared" si="1"/>
        <v>0111</v>
      </c>
      <c r="C104" s="7" t="s">
        <v>339</v>
      </c>
      <c r="D104" s="2"/>
    </row>
    <row r="105" spans="1:4" x14ac:dyDescent="0.25">
      <c r="A105" s="505"/>
      <c r="B105" s="231" t="str">
        <f t="shared" si="1"/>
        <v>1000</v>
      </c>
      <c r="C105" s="7" t="s">
        <v>340</v>
      </c>
      <c r="D105" s="2"/>
    </row>
    <row r="106" spans="1:4" x14ac:dyDescent="0.25">
      <c r="A106" s="505"/>
      <c r="B106" s="231" t="str">
        <f t="shared" si="1"/>
        <v>1001</v>
      </c>
      <c r="C106" s="7" t="s">
        <v>341</v>
      </c>
      <c r="D106" s="2"/>
    </row>
    <row r="107" spans="1:4" x14ac:dyDescent="0.25">
      <c r="A107" s="505"/>
      <c r="B107" s="231" t="str">
        <f t="shared" si="1"/>
        <v>1010</v>
      </c>
      <c r="C107" s="7" t="s">
        <v>516</v>
      </c>
      <c r="D107" s="2"/>
    </row>
    <row r="108" spans="1:4" x14ac:dyDescent="0.25">
      <c r="A108" s="505"/>
      <c r="B108" s="231" t="str">
        <f t="shared" si="1"/>
        <v>1011</v>
      </c>
      <c r="C108" s="7" t="s">
        <v>342</v>
      </c>
      <c r="D108" s="2"/>
    </row>
    <row r="109" spans="1:4" x14ac:dyDescent="0.25">
      <c r="A109" s="505"/>
      <c r="B109" s="231" t="str">
        <f t="shared" si="1"/>
        <v>1100</v>
      </c>
      <c r="C109" s="7" t="s">
        <v>343</v>
      </c>
      <c r="D109" s="2"/>
    </row>
    <row r="110" spans="1:4" x14ac:dyDescent="0.25">
      <c r="A110" s="505"/>
      <c r="B110" s="231" t="str">
        <f t="shared" si="1"/>
        <v>1101</v>
      </c>
      <c r="C110" s="7" t="s">
        <v>344</v>
      </c>
      <c r="D110" s="2"/>
    </row>
    <row r="111" spans="1:4" x14ac:dyDescent="0.25">
      <c r="A111" s="505"/>
      <c r="B111" s="231" t="str">
        <f t="shared" si="1"/>
        <v>1110</v>
      </c>
      <c r="C111" s="7" t="s">
        <v>345</v>
      </c>
      <c r="D111" s="2"/>
    </row>
    <row r="112" spans="1:4" x14ac:dyDescent="0.25">
      <c r="A112" s="506"/>
      <c r="B112" s="231" t="str">
        <f t="shared" si="1"/>
        <v>1111</v>
      </c>
      <c r="C112" s="7" t="s">
        <v>346</v>
      </c>
      <c r="D112" s="2"/>
    </row>
    <row r="113" spans="1:4" x14ac:dyDescent="0.25">
      <c r="A113" s="504" t="s">
        <v>125</v>
      </c>
      <c r="B113" s="231"/>
      <c r="C113" s="7" t="s">
        <v>361</v>
      </c>
      <c r="D113" s="2"/>
    </row>
    <row r="114" spans="1:4" x14ac:dyDescent="0.25">
      <c r="A114" s="505"/>
      <c r="B114" s="231" t="str">
        <f t="shared" si="1"/>
        <v>0000</v>
      </c>
      <c r="C114" s="7" t="s">
        <v>362</v>
      </c>
      <c r="D114" s="2"/>
    </row>
    <row r="115" spans="1:4" x14ac:dyDescent="0.25">
      <c r="A115" s="505"/>
      <c r="B115" s="231" t="str">
        <f t="shared" si="1"/>
        <v>0001</v>
      </c>
      <c r="C115" s="7" t="s">
        <v>363</v>
      </c>
      <c r="D115" s="2"/>
    </row>
    <row r="116" spans="1:4" x14ac:dyDescent="0.25">
      <c r="A116" s="505"/>
      <c r="B116" s="231" t="str">
        <f t="shared" ref="B116:B179" si="2">LEFT(C116,LEN(C116)-(LEN(C116)-FIND("-",C116,1))-2)</f>
        <v>0010</v>
      </c>
      <c r="C116" s="7" t="s">
        <v>364</v>
      </c>
      <c r="D116" s="2"/>
    </row>
    <row r="117" spans="1:4" x14ac:dyDescent="0.25">
      <c r="A117" s="505"/>
      <c r="B117" s="231" t="str">
        <f t="shared" si="2"/>
        <v>0011</v>
      </c>
      <c r="C117" s="7" t="s">
        <v>365</v>
      </c>
      <c r="D117" s="2"/>
    </row>
    <row r="118" spans="1:4" x14ac:dyDescent="0.25">
      <c r="A118" s="505"/>
      <c r="B118" s="231" t="str">
        <f t="shared" si="2"/>
        <v>0100</v>
      </c>
      <c r="C118" s="7" t="s">
        <v>366</v>
      </c>
      <c r="D118" s="2"/>
    </row>
    <row r="119" spans="1:4" x14ac:dyDescent="0.25">
      <c r="A119" s="505"/>
      <c r="B119" s="231" t="str">
        <f t="shared" si="2"/>
        <v>0101</v>
      </c>
      <c r="C119" s="7" t="s">
        <v>367</v>
      </c>
      <c r="D119" s="2"/>
    </row>
    <row r="120" spans="1:4" x14ac:dyDescent="0.25">
      <c r="A120" s="505"/>
      <c r="B120" s="231" t="str">
        <f t="shared" si="2"/>
        <v>0110</v>
      </c>
      <c r="C120" s="7" t="s">
        <v>368</v>
      </c>
      <c r="D120" s="2"/>
    </row>
    <row r="121" spans="1:4" x14ac:dyDescent="0.25">
      <c r="A121" s="505"/>
      <c r="B121" s="231" t="str">
        <f t="shared" si="2"/>
        <v>0111</v>
      </c>
      <c r="C121" s="7" t="s">
        <v>369</v>
      </c>
      <c r="D121" s="2"/>
    </row>
    <row r="122" spans="1:4" x14ac:dyDescent="0.25">
      <c r="A122" s="505"/>
      <c r="B122" s="231" t="str">
        <f t="shared" si="2"/>
        <v>1000</v>
      </c>
      <c r="C122" s="7" t="s">
        <v>370</v>
      </c>
      <c r="D122" s="2"/>
    </row>
    <row r="123" spans="1:4" x14ac:dyDescent="0.25">
      <c r="A123" s="505"/>
      <c r="B123" s="231" t="str">
        <f t="shared" si="2"/>
        <v>1001</v>
      </c>
      <c r="C123" s="7" t="s">
        <v>371</v>
      </c>
      <c r="D123" s="2"/>
    </row>
    <row r="124" spans="1:4" x14ac:dyDescent="0.25">
      <c r="A124" s="505"/>
      <c r="B124" s="231" t="str">
        <f t="shared" si="2"/>
        <v>1010</v>
      </c>
      <c r="C124" s="7" t="s">
        <v>517</v>
      </c>
      <c r="D124" s="2"/>
    </row>
    <row r="125" spans="1:4" x14ac:dyDescent="0.25">
      <c r="A125" s="505"/>
      <c r="B125" s="231" t="str">
        <f t="shared" si="2"/>
        <v>1011</v>
      </c>
      <c r="C125" s="7" t="s">
        <v>372</v>
      </c>
      <c r="D125" s="2"/>
    </row>
    <row r="126" spans="1:4" x14ac:dyDescent="0.25">
      <c r="A126" s="505"/>
      <c r="B126" s="231" t="str">
        <f t="shared" si="2"/>
        <v>1100</v>
      </c>
      <c r="C126" s="7" t="s">
        <v>373</v>
      </c>
      <c r="D126" s="2"/>
    </row>
    <row r="127" spans="1:4" x14ac:dyDescent="0.25">
      <c r="A127" s="505"/>
      <c r="B127" s="231" t="str">
        <f t="shared" si="2"/>
        <v>1101</v>
      </c>
      <c r="C127" s="7" t="s">
        <v>374</v>
      </c>
      <c r="D127" s="2"/>
    </row>
    <row r="128" spans="1:4" x14ac:dyDescent="0.25">
      <c r="A128" s="505"/>
      <c r="B128" s="231" t="str">
        <f t="shared" si="2"/>
        <v>1110</v>
      </c>
      <c r="C128" s="7" t="s">
        <v>375</v>
      </c>
      <c r="D128" s="2"/>
    </row>
    <row r="129" spans="1:4" x14ac:dyDescent="0.25">
      <c r="A129" s="506"/>
      <c r="B129" s="231" t="str">
        <f t="shared" si="2"/>
        <v>1111</v>
      </c>
      <c r="C129" s="7" t="s">
        <v>376</v>
      </c>
      <c r="D129" s="2"/>
    </row>
    <row r="130" spans="1:4" x14ac:dyDescent="0.25">
      <c r="A130" s="504" t="s">
        <v>124</v>
      </c>
      <c r="B130" s="231"/>
      <c r="C130" s="7" t="s">
        <v>377</v>
      </c>
      <c r="D130" s="2"/>
    </row>
    <row r="131" spans="1:4" x14ac:dyDescent="0.25">
      <c r="A131" s="505"/>
      <c r="B131" s="231" t="str">
        <f t="shared" si="2"/>
        <v>0000</v>
      </c>
      <c r="C131" s="7" t="s">
        <v>362</v>
      </c>
      <c r="D131" s="2"/>
    </row>
    <row r="132" spans="1:4" x14ac:dyDescent="0.25">
      <c r="A132" s="505"/>
      <c r="B132" s="231" t="str">
        <f t="shared" si="2"/>
        <v>0001</v>
      </c>
      <c r="C132" s="7" t="s">
        <v>363</v>
      </c>
      <c r="D132" s="2"/>
    </row>
    <row r="133" spans="1:4" x14ac:dyDescent="0.25">
      <c r="A133" s="505"/>
      <c r="B133" s="231" t="str">
        <f t="shared" si="2"/>
        <v>0010</v>
      </c>
      <c r="C133" s="7" t="s">
        <v>364</v>
      </c>
      <c r="D133" s="2"/>
    </row>
    <row r="134" spans="1:4" x14ac:dyDescent="0.25">
      <c r="A134" s="505"/>
      <c r="B134" s="231" t="str">
        <f t="shared" si="2"/>
        <v>0011</v>
      </c>
      <c r="C134" s="7" t="s">
        <v>365</v>
      </c>
      <c r="D134" s="2"/>
    </row>
    <row r="135" spans="1:4" x14ac:dyDescent="0.25">
      <c r="A135" s="505"/>
      <c r="B135" s="231" t="str">
        <f t="shared" si="2"/>
        <v>0100</v>
      </c>
      <c r="C135" s="7" t="s">
        <v>366</v>
      </c>
      <c r="D135" s="2"/>
    </row>
    <row r="136" spans="1:4" x14ac:dyDescent="0.25">
      <c r="A136" s="505"/>
      <c r="B136" s="231" t="str">
        <f t="shared" si="2"/>
        <v>0101</v>
      </c>
      <c r="C136" s="7" t="s">
        <v>367</v>
      </c>
      <c r="D136" s="2"/>
    </row>
    <row r="137" spans="1:4" x14ac:dyDescent="0.25">
      <c r="A137" s="505"/>
      <c r="B137" s="231" t="str">
        <f t="shared" si="2"/>
        <v>0110</v>
      </c>
      <c r="C137" s="7" t="s">
        <v>368</v>
      </c>
      <c r="D137" s="2"/>
    </row>
    <row r="138" spans="1:4" x14ac:dyDescent="0.25">
      <c r="A138" s="505"/>
      <c r="B138" s="231" t="str">
        <f t="shared" si="2"/>
        <v>0111</v>
      </c>
      <c r="C138" s="7" t="s">
        <v>369</v>
      </c>
      <c r="D138" s="2"/>
    </row>
    <row r="139" spans="1:4" x14ac:dyDescent="0.25">
      <c r="A139" s="505"/>
      <c r="B139" s="231" t="str">
        <f t="shared" si="2"/>
        <v>1000</v>
      </c>
      <c r="C139" s="7" t="s">
        <v>370</v>
      </c>
      <c r="D139" s="2"/>
    </row>
    <row r="140" spans="1:4" x14ac:dyDescent="0.25">
      <c r="A140" s="505"/>
      <c r="B140" s="231" t="str">
        <f t="shared" si="2"/>
        <v>1001</v>
      </c>
      <c r="C140" s="7" t="s">
        <v>371</v>
      </c>
      <c r="D140" s="2"/>
    </row>
    <row r="141" spans="1:4" x14ac:dyDescent="0.25">
      <c r="A141" s="505"/>
      <c r="B141" s="231" t="str">
        <f t="shared" si="2"/>
        <v>1010</v>
      </c>
      <c r="C141" s="7" t="s">
        <v>517</v>
      </c>
      <c r="D141" s="2"/>
    </row>
    <row r="142" spans="1:4" x14ac:dyDescent="0.25">
      <c r="A142" s="505"/>
      <c r="B142" s="231" t="str">
        <f t="shared" si="2"/>
        <v>1011</v>
      </c>
      <c r="C142" s="7" t="s">
        <v>372</v>
      </c>
      <c r="D142" s="2"/>
    </row>
    <row r="143" spans="1:4" x14ac:dyDescent="0.25">
      <c r="A143" s="505"/>
      <c r="B143" s="231" t="str">
        <f t="shared" si="2"/>
        <v>1100</v>
      </c>
      <c r="C143" s="7" t="s">
        <v>373</v>
      </c>
      <c r="D143" s="2"/>
    </row>
    <row r="144" spans="1:4" x14ac:dyDescent="0.25">
      <c r="A144" s="505"/>
      <c r="B144" s="231" t="str">
        <f t="shared" si="2"/>
        <v>1101</v>
      </c>
      <c r="C144" s="7" t="s">
        <v>374</v>
      </c>
      <c r="D144" s="2"/>
    </row>
    <row r="145" spans="1:4" x14ac:dyDescent="0.25">
      <c r="A145" s="505"/>
      <c r="B145" s="231" t="str">
        <f t="shared" si="2"/>
        <v>1110</v>
      </c>
      <c r="C145" s="7" t="s">
        <v>375</v>
      </c>
      <c r="D145" s="2"/>
    </row>
    <row r="146" spans="1:4" x14ac:dyDescent="0.25">
      <c r="A146" s="506"/>
      <c r="B146" s="231" t="str">
        <f t="shared" si="2"/>
        <v>1111</v>
      </c>
      <c r="C146" s="7" t="s">
        <v>376</v>
      </c>
      <c r="D146" s="2"/>
    </row>
    <row r="147" spans="1:4" x14ac:dyDescent="0.25">
      <c r="A147" s="504" t="s">
        <v>127</v>
      </c>
      <c r="B147" s="231"/>
      <c r="C147" s="7" t="s">
        <v>378</v>
      </c>
      <c r="D147" s="2"/>
    </row>
    <row r="148" spans="1:4" x14ac:dyDescent="0.25">
      <c r="A148" s="505"/>
      <c r="B148" s="231" t="str">
        <f t="shared" si="2"/>
        <v>0000</v>
      </c>
      <c r="C148" s="7" t="s">
        <v>362</v>
      </c>
      <c r="D148" s="2"/>
    </row>
    <row r="149" spans="1:4" x14ac:dyDescent="0.25">
      <c r="A149" s="505"/>
      <c r="B149" s="231" t="str">
        <f t="shared" si="2"/>
        <v>0001</v>
      </c>
      <c r="C149" s="7" t="s">
        <v>363</v>
      </c>
      <c r="D149" s="2"/>
    </row>
    <row r="150" spans="1:4" x14ac:dyDescent="0.25">
      <c r="A150" s="505"/>
      <c r="B150" s="231" t="str">
        <f t="shared" si="2"/>
        <v>0010</v>
      </c>
      <c r="C150" s="7" t="s">
        <v>364</v>
      </c>
      <c r="D150" s="2"/>
    </row>
    <row r="151" spans="1:4" x14ac:dyDescent="0.25">
      <c r="A151" s="505"/>
      <c r="B151" s="231" t="str">
        <f t="shared" si="2"/>
        <v>0011</v>
      </c>
      <c r="C151" s="7" t="s">
        <v>365</v>
      </c>
      <c r="D151" s="2"/>
    </row>
    <row r="152" spans="1:4" x14ac:dyDescent="0.25">
      <c r="A152" s="505"/>
      <c r="B152" s="231" t="str">
        <f t="shared" si="2"/>
        <v>0100</v>
      </c>
      <c r="C152" s="7" t="s">
        <v>366</v>
      </c>
      <c r="D152" s="2"/>
    </row>
    <row r="153" spans="1:4" x14ac:dyDescent="0.25">
      <c r="A153" s="505"/>
      <c r="B153" s="231" t="str">
        <f t="shared" si="2"/>
        <v>0101</v>
      </c>
      <c r="C153" s="7" t="s">
        <v>367</v>
      </c>
      <c r="D153" s="2"/>
    </row>
    <row r="154" spans="1:4" x14ac:dyDescent="0.25">
      <c r="A154" s="505"/>
      <c r="B154" s="231" t="str">
        <f t="shared" si="2"/>
        <v>0110</v>
      </c>
      <c r="C154" s="7" t="s">
        <v>368</v>
      </c>
      <c r="D154" s="2"/>
    </row>
    <row r="155" spans="1:4" x14ac:dyDescent="0.25">
      <c r="A155" s="505"/>
      <c r="B155" s="231" t="str">
        <f t="shared" si="2"/>
        <v>0111</v>
      </c>
      <c r="C155" s="7" t="s">
        <v>369</v>
      </c>
      <c r="D155" s="2"/>
    </row>
    <row r="156" spans="1:4" x14ac:dyDescent="0.25">
      <c r="A156" s="505"/>
      <c r="B156" s="231" t="str">
        <f t="shared" si="2"/>
        <v>1000</v>
      </c>
      <c r="C156" s="7" t="s">
        <v>370</v>
      </c>
      <c r="D156" s="2"/>
    </row>
    <row r="157" spans="1:4" x14ac:dyDescent="0.25">
      <c r="A157" s="505"/>
      <c r="B157" s="231" t="str">
        <f t="shared" si="2"/>
        <v>1001</v>
      </c>
      <c r="C157" s="7" t="s">
        <v>371</v>
      </c>
      <c r="D157" s="2"/>
    </row>
    <row r="158" spans="1:4" x14ac:dyDescent="0.25">
      <c r="A158" s="505"/>
      <c r="B158" s="231" t="str">
        <f t="shared" si="2"/>
        <v>1010</v>
      </c>
      <c r="C158" s="7" t="s">
        <v>517</v>
      </c>
      <c r="D158" s="2"/>
    </row>
    <row r="159" spans="1:4" x14ac:dyDescent="0.25">
      <c r="A159" s="505"/>
      <c r="B159" s="231" t="str">
        <f t="shared" si="2"/>
        <v>1011</v>
      </c>
      <c r="C159" s="7" t="s">
        <v>372</v>
      </c>
      <c r="D159" s="2"/>
    </row>
    <row r="160" spans="1:4" x14ac:dyDescent="0.25">
      <c r="A160" s="505"/>
      <c r="B160" s="231" t="str">
        <f t="shared" si="2"/>
        <v>1100</v>
      </c>
      <c r="C160" s="7" t="s">
        <v>373</v>
      </c>
      <c r="D160" s="2"/>
    </row>
    <row r="161" spans="1:4" x14ac:dyDescent="0.25">
      <c r="A161" s="505"/>
      <c r="B161" s="231" t="str">
        <f t="shared" si="2"/>
        <v>1101</v>
      </c>
      <c r="C161" s="7" t="s">
        <v>374</v>
      </c>
      <c r="D161" s="2"/>
    </row>
    <row r="162" spans="1:4" x14ac:dyDescent="0.25">
      <c r="A162" s="505"/>
      <c r="B162" s="231" t="str">
        <f t="shared" si="2"/>
        <v>1110</v>
      </c>
      <c r="C162" s="7" t="s">
        <v>375</v>
      </c>
      <c r="D162" s="2"/>
    </row>
    <row r="163" spans="1:4" x14ac:dyDescent="0.25">
      <c r="A163" s="506"/>
      <c r="B163" s="231" t="str">
        <f t="shared" si="2"/>
        <v>1111</v>
      </c>
      <c r="C163" s="7" t="s">
        <v>376</v>
      </c>
      <c r="D163" s="2"/>
    </row>
    <row r="164" spans="1:4" x14ac:dyDescent="0.25">
      <c r="A164" s="504" t="s">
        <v>126</v>
      </c>
      <c r="B164" s="231"/>
      <c r="C164" s="7" t="s">
        <v>379</v>
      </c>
      <c r="D164" s="2"/>
    </row>
    <row r="165" spans="1:4" x14ac:dyDescent="0.25">
      <c r="A165" s="505"/>
      <c r="B165" s="231" t="str">
        <f t="shared" si="2"/>
        <v>0000</v>
      </c>
      <c r="C165" s="7" t="s">
        <v>362</v>
      </c>
      <c r="D165" s="2"/>
    </row>
    <row r="166" spans="1:4" x14ac:dyDescent="0.25">
      <c r="A166" s="505"/>
      <c r="B166" s="231" t="str">
        <f t="shared" si="2"/>
        <v>0001</v>
      </c>
      <c r="C166" s="7" t="s">
        <v>363</v>
      </c>
      <c r="D166" s="2"/>
    </row>
    <row r="167" spans="1:4" x14ac:dyDescent="0.25">
      <c r="A167" s="505"/>
      <c r="B167" s="231" t="str">
        <f t="shared" si="2"/>
        <v>0010</v>
      </c>
      <c r="C167" s="7" t="s">
        <v>364</v>
      </c>
      <c r="D167" s="2"/>
    </row>
    <row r="168" spans="1:4" x14ac:dyDescent="0.25">
      <c r="A168" s="505"/>
      <c r="B168" s="231" t="str">
        <f t="shared" si="2"/>
        <v>0011</v>
      </c>
      <c r="C168" s="7" t="s">
        <v>365</v>
      </c>
      <c r="D168" s="2"/>
    </row>
    <row r="169" spans="1:4" x14ac:dyDescent="0.25">
      <c r="A169" s="505"/>
      <c r="B169" s="231" t="str">
        <f t="shared" si="2"/>
        <v>0100</v>
      </c>
      <c r="C169" s="7" t="s">
        <v>366</v>
      </c>
      <c r="D169" s="2"/>
    </row>
    <row r="170" spans="1:4" x14ac:dyDescent="0.25">
      <c r="A170" s="505"/>
      <c r="B170" s="231" t="str">
        <f t="shared" si="2"/>
        <v>0101</v>
      </c>
      <c r="C170" s="7" t="s">
        <v>367</v>
      </c>
      <c r="D170" s="2"/>
    </row>
    <row r="171" spans="1:4" x14ac:dyDescent="0.25">
      <c r="A171" s="505"/>
      <c r="B171" s="231" t="str">
        <f t="shared" si="2"/>
        <v>0110</v>
      </c>
      <c r="C171" s="7" t="s">
        <v>368</v>
      </c>
      <c r="D171" s="2"/>
    </row>
    <row r="172" spans="1:4" x14ac:dyDescent="0.25">
      <c r="A172" s="505"/>
      <c r="B172" s="231" t="str">
        <f t="shared" si="2"/>
        <v>0111</v>
      </c>
      <c r="C172" s="7" t="s">
        <v>369</v>
      </c>
      <c r="D172" s="2"/>
    </row>
    <row r="173" spans="1:4" x14ac:dyDescent="0.25">
      <c r="A173" s="505"/>
      <c r="B173" s="231" t="str">
        <f t="shared" si="2"/>
        <v>1000</v>
      </c>
      <c r="C173" s="7" t="s">
        <v>370</v>
      </c>
      <c r="D173" s="2"/>
    </row>
    <row r="174" spans="1:4" x14ac:dyDescent="0.25">
      <c r="A174" s="505"/>
      <c r="B174" s="231" t="str">
        <f t="shared" si="2"/>
        <v>1001</v>
      </c>
      <c r="C174" s="7" t="s">
        <v>371</v>
      </c>
      <c r="D174" s="2"/>
    </row>
    <row r="175" spans="1:4" x14ac:dyDescent="0.25">
      <c r="A175" s="505"/>
      <c r="B175" s="231" t="str">
        <f t="shared" si="2"/>
        <v>1010</v>
      </c>
      <c r="C175" s="7" t="s">
        <v>517</v>
      </c>
      <c r="D175" s="2"/>
    </row>
    <row r="176" spans="1:4" x14ac:dyDescent="0.25">
      <c r="A176" s="505"/>
      <c r="B176" s="231" t="str">
        <f t="shared" si="2"/>
        <v>1011</v>
      </c>
      <c r="C176" s="7" t="s">
        <v>372</v>
      </c>
      <c r="D176" s="2"/>
    </row>
    <row r="177" spans="1:4" x14ac:dyDescent="0.25">
      <c r="A177" s="505"/>
      <c r="B177" s="231" t="str">
        <f t="shared" si="2"/>
        <v>1100</v>
      </c>
      <c r="C177" s="7" t="s">
        <v>373</v>
      </c>
      <c r="D177" s="2"/>
    </row>
    <row r="178" spans="1:4" x14ac:dyDescent="0.25">
      <c r="A178" s="505"/>
      <c r="B178" s="231" t="str">
        <f t="shared" si="2"/>
        <v>1101</v>
      </c>
      <c r="C178" s="7" t="s">
        <v>374</v>
      </c>
      <c r="D178" s="2"/>
    </row>
    <row r="179" spans="1:4" x14ac:dyDescent="0.25">
      <c r="A179" s="505"/>
      <c r="B179" s="231" t="str">
        <f t="shared" si="2"/>
        <v>1110</v>
      </c>
      <c r="C179" s="7" t="s">
        <v>375</v>
      </c>
      <c r="D179" s="2"/>
    </row>
    <row r="180" spans="1:4" x14ac:dyDescent="0.25">
      <c r="A180" s="506"/>
      <c r="B180" s="231" t="str">
        <f t="shared" ref="B180:B243" si="3">LEFT(C180,LEN(C180)-(LEN(C180)-FIND("-",C180,1))-2)</f>
        <v>1111</v>
      </c>
      <c r="C180" s="7" t="s">
        <v>376</v>
      </c>
      <c r="D180" s="2"/>
    </row>
    <row r="181" spans="1:4" x14ac:dyDescent="0.25">
      <c r="A181" s="504" t="s">
        <v>129</v>
      </c>
      <c r="B181" s="231"/>
      <c r="C181" s="7" t="s">
        <v>380</v>
      </c>
      <c r="D181" s="2"/>
    </row>
    <row r="182" spans="1:4" x14ac:dyDescent="0.25">
      <c r="A182" s="505"/>
      <c r="B182" s="231" t="str">
        <f t="shared" si="3"/>
        <v>0000</v>
      </c>
      <c r="C182" s="7" t="s">
        <v>362</v>
      </c>
      <c r="D182" s="2"/>
    </row>
    <row r="183" spans="1:4" x14ac:dyDescent="0.25">
      <c r="A183" s="505"/>
      <c r="B183" s="231" t="str">
        <f t="shared" si="3"/>
        <v>0001</v>
      </c>
      <c r="C183" s="7" t="s">
        <v>363</v>
      </c>
      <c r="D183" s="2"/>
    </row>
    <row r="184" spans="1:4" x14ac:dyDescent="0.25">
      <c r="A184" s="505"/>
      <c r="B184" s="231" t="str">
        <f t="shared" si="3"/>
        <v>0010</v>
      </c>
      <c r="C184" s="7" t="s">
        <v>364</v>
      </c>
      <c r="D184" s="2"/>
    </row>
    <row r="185" spans="1:4" x14ac:dyDescent="0.25">
      <c r="A185" s="505"/>
      <c r="B185" s="231" t="str">
        <f t="shared" si="3"/>
        <v>0011</v>
      </c>
      <c r="C185" s="7" t="s">
        <v>365</v>
      </c>
      <c r="D185" s="2"/>
    </row>
    <row r="186" spans="1:4" x14ac:dyDescent="0.25">
      <c r="A186" s="505"/>
      <c r="B186" s="231" t="str">
        <f t="shared" si="3"/>
        <v>0100</v>
      </c>
      <c r="C186" s="7" t="s">
        <v>366</v>
      </c>
      <c r="D186" s="2"/>
    </row>
    <row r="187" spans="1:4" x14ac:dyDescent="0.25">
      <c r="A187" s="505"/>
      <c r="B187" s="231" t="str">
        <f t="shared" si="3"/>
        <v>0101</v>
      </c>
      <c r="C187" s="7" t="s">
        <v>367</v>
      </c>
      <c r="D187" s="2"/>
    </row>
    <row r="188" spans="1:4" x14ac:dyDescent="0.25">
      <c r="A188" s="505"/>
      <c r="B188" s="231" t="str">
        <f t="shared" si="3"/>
        <v>0110</v>
      </c>
      <c r="C188" s="7" t="s">
        <v>368</v>
      </c>
      <c r="D188" s="2"/>
    </row>
    <row r="189" spans="1:4" x14ac:dyDescent="0.25">
      <c r="A189" s="505"/>
      <c r="B189" s="231" t="str">
        <f t="shared" si="3"/>
        <v>0111</v>
      </c>
      <c r="C189" s="7" t="s">
        <v>369</v>
      </c>
      <c r="D189" s="2"/>
    </row>
    <row r="190" spans="1:4" x14ac:dyDescent="0.25">
      <c r="A190" s="505"/>
      <c r="B190" s="231" t="str">
        <f t="shared" si="3"/>
        <v>1000</v>
      </c>
      <c r="C190" s="7" t="s">
        <v>370</v>
      </c>
      <c r="D190" s="2"/>
    </row>
    <row r="191" spans="1:4" x14ac:dyDescent="0.25">
      <c r="A191" s="505"/>
      <c r="B191" s="231" t="str">
        <f t="shared" si="3"/>
        <v>1001</v>
      </c>
      <c r="C191" s="7" t="s">
        <v>371</v>
      </c>
      <c r="D191" s="2"/>
    </row>
    <row r="192" spans="1:4" x14ac:dyDescent="0.25">
      <c r="A192" s="505"/>
      <c r="B192" s="231" t="str">
        <f t="shared" si="3"/>
        <v>1010</v>
      </c>
      <c r="C192" s="7" t="s">
        <v>517</v>
      </c>
      <c r="D192" s="2"/>
    </row>
    <row r="193" spans="1:4" x14ac:dyDescent="0.25">
      <c r="A193" s="505"/>
      <c r="B193" s="231" t="str">
        <f t="shared" si="3"/>
        <v>1011</v>
      </c>
      <c r="C193" s="7" t="s">
        <v>372</v>
      </c>
      <c r="D193" s="2"/>
    </row>
    <row r="194" spans="1:4" x14ac:dyDescent="0.25">
      <c r="A194" s="505"/>
      <c r="B194" s="231" t="str">
        <f t="shared" si="3"/>
        <v>1100</v>
      </c>
      <c r="C194" s="7" t="s">
        <v>373</v>
      </c>
      <c r="D194" s="2"/>
    </row>
    <row r="195" spans="1:4" x14ac:dyDescent="0.25">
      <c r="A195" s="505"/>
      <c r="B195" s="231" t="str">
        <f t="shared" si="3"/>
        <v>1101</v>
      </c>
      <c r="C195" s="7" t="s">
        <v>374</v>
      </c>
      <c r="D195" s="2"/>
    </row>
    <row r="196" spans="1:4" x14ac:dyDescent="0.25">
      <c r="A196" s="505"/>
      <c r="B196" s="231" t="str">
        <f t="shared" si="3"/>
        <v>1110</v>
      </c>
      <c r="C196" s="7" t="s">
        <v>375</v>
      </c>
      <c r="D196" s="2"/>
    </row>
    <row r="197" spans="1:4" x14ac:dyDescent="0.25">
      <c r="A197" s="506"/>
      <c r="B197" s="231" t="str">
        <f t="shared" si="3"/>
        <v>1111</v>
      </c>
      <c r="C197" s="7" t="s">
        <v>376</v>
      </c>
      <c r="D197" s="2"/>
    </row>
    <row r="198" spans="1:4" x14ac:dyDescent="0.25">
      <c r="A198" s="504" t="s">
        <v>128</v>
      </c>
      <c r="B198" s="231"/>
      <c r="C198" s="7" t="s">
        <v>381</v>
      </c>
      <c r="D198" s="2"/>
    </row>
    <row r="199" spans="1:4" x14ac:dyDescent="0.25">
      <c r="A199" s="505"/>
      <c r="B199" s="231" t="str">
        <f t="shared" si="3"/>
        <v>0000</v>
      </c>
      <c r="C199" s="7" t="s">
        <v>362</v>
      </c>
      <c r="D199" s="2"/>
    </row>
    <row r="200" spans="1:4" x14ac:dyDescent="0.25">
      <c r="A200" s="505"/>
      <c r="B200" s="231" t="str">
        <f t="shared" si="3"/>
        <v>0001</v>
      </c>
      <c r="C200" s="7" t="s">
        <v>363</v>
      </c>
      <c r="D200" s="2"/>
    </row>
    <row r="201" spans="1:4" x14ac:dyDescent="0.25">
      <c r="A201" s="505"/>
      <c r="B201" s="231" t="str">
        <f t="shared" si="3"/>
        <v>0010</v>
      </c>
      <c r="C201" s="7" t="s">
        <v>364</v>
      </c>
      <c r="D201" s="2"/>
    </row>
    <row r="202" spans="1:4" x14ac:dyDescent="0.25">
      <c r="A202" s="505"/>
      <c r="B202" s="231" t="str">
        <f t="shared" si="3"/>
        <v>0011</v>
      </c>
      <c r="C202" s="7" t="s">
        <v>365</v>
      </c>
      <c r="D202" s="2"/>
    </row>
    <row r="203" spans="1:4" x14ac:dyDescent="0.25">
      <c r="A203" s="505"/>
      <c r="B203" s="231" t="str">
        <f t="shared" si="3"/>
        <v>0100</v>
      </c>
      <c r="C203" s="7" t="s">
        <v>366</v>
      </c>
      <c r="D203" s="2"/>
    </row>
    <row r="204" spans="1:4" x14ac:dyDescent="0.25">
      <c r="A204" s="505"/>
      <c r="B204" s="231" t="str">
        <f t="shared" si="3"/>
        <v>0101</v>
      </c>
      <c r="C204" s="7" t="s">
        <v>367</v>
      </c>
      <c r="D204" s="2"/>
    </row>
    <row r="205" spans="1:4" x14ac:dyDescent="0.25">
      <c r="A205" s="505"/>
      <c r="B205" s="231" t="str">
        <f t="shared" si="3"/>
        <v>0110</v>
      </c>
      <c r="C205" s="7" t="s">
        <v>368</v>
      </c>
      <c r="D205" s="2"/>
    </row>
    <row r="206" spans="1:4" x14ac:dyDescent="0.25">
      <c r="A206" s="505"/>
      <c r="B206" s="231" t="str">
        <f t="shared" si="3"/>
        <v>0111</v>
      </c>
      <c r="C206" s="7" t="s">
        <v>369</v>
      </c>
      <c r="D206" s="2"/>
    </row>
    <row r="207" spans="1:4" x14ac:dyDescent="0.25">
      <c r="A207" s="505"/>
      <c r="B207" s="231" t="str">
        <f t="shared" si="3"/>
        <v>1000</v>
      </c>
      <c r="C207" s="7" t="s">
        <v>370</v>
      </c>
      <c r="D207" s="2"/>
    </row>
    <row r="208" spans="1:4" x14ac:dyDescent="0.25">
      <c r="A208" s="505"/>
      <c r="B208" s="231" t="str">
        <f t="shared" si="3"/>
        <v>1001</v>
      </c>
      <c r="C208" s="7" t="s">
        <v>371</v>
      </c>
      <c r="D208" s="2"/>
    </row>
    <row r="209" spans="1:4" x14ac:dyDescent="0.25">
      <c r="A209" s="505"/>
      <c r="B209" s="231" t="str">
        <f t="shared" si="3"/>
        <v>1010</v>
      </c>
      <c r="C209" s="7" t="s">
        <v>517</v>
      </c>
      <c r="D209" s="2"/>
    </row>
    <row r="210" spans="1:4" x14ac:dyDescent="0.25">
      <c r="A210" s="505"/>
      <c r="B210" s="231" t="str">
        <f t="shared" si="3"/>
        <v>1011</v>
      </c>
      <c r="C210" s="7" t="s">
        <v>372</v>
      </c>
      <c r="D210" s="2"/>
    </row>
    <row r="211" spans="1:4" x14ac:dyDescent="0.25">
      <c r="A211" s="505"/>
      <c r="B211" s="231" t="str">
        <f t="shared" si="3"/>
        <v>1100</v>
      </c>
      <c r="C211" s="7" t="s">
        <v>373</v>
      </c>
      <c r="D211" s="2"/>
    </row>
    <row r="212" spans="1:4" x14ac:dyDescent="0.25">
      <c r="A212" s="505"/>
      <c r="B212" s="231" t="str">
        <f t="shared" si="3"/>
        <v>1101</v>
      </c>
      <c r="C212" s="7" t="s">
        <v>374</v>
      </c>
      <c r="D212" s="2"/>
    </row>
    <row r="213" spans="1:4" x14ac:dyDescent="0.25">
      <c r="A213" s="505"/>
      <c r="B213" s="231" t="str">
        <f t="shared" si="3"/>
        <v>1110</v>
      </c>
      <c r="C213" s="7" t="s">
        <v>375</v>
      </c>
      <c r="D213" s="2"/>
    </row>
    <row r="214" spans="1:4" x14ac:dyDescent="0.25">
      <c r="A214" s="506"/>
      <c r="B214" s="231" t="str">
        <f t="shared" si="3"/>
        <v>1111</v>
      </c>
      <c r="C214" s="7" t="s">
        <v>376</v>
      </c>
      <c r="D214" s="2"/>
    </row>
    <row r="215" spans="1:4" ht="15.75" customHeight="1" x14ac:dyDescent="0.25">
      <c r="A215" s="507" t="s">
        <v>415</v>
      </c>
      <c r="B215" s="231"/>
      <c r="C215" s="26" t="s">
        <v>385</v>
      </c>
      <c r="D215" s="26" t="s">
        <v>867</v>
      </c>
    </row>
    <row r="216" spans="1:4" x14ac:dyDescent="0.25">
      <c r="A216" s="508"/>
      <c r="B216" s="231" t="str">
        <f t="shared" si="3"/>
        <v>0</v>
      </c>
      <c r="C216" s="26" t="s">
        <v>383</v>
      </c>
      <c r="D216" s="26"/>
    </row>
    <row r="217" spans="1:4" x14ac:dyDescent="0.25">
      <c r="A217" s="509"/>
      <c r="B217" s="231" t="str">
        <f t="shared" si="3"/>
        <v>1</v>
      </c>
      <c r="C217" s="26" t="s">
        <v>384</v>
      </c>
      <c r="D217" s="26"/>
    </row>
    <row r="218" spans="1:4" ht="15.75" customHeight="1" x14ac:dyDescent="0.25">
      <c r="A218" s="510" t="s">
        <v>82</v>
      </c>
      <c r="B218" s="231"/>
      <c r="C218" s="26" t="s">
        <v>382</v>
      </c>
      <c r="D218" s="26"/>
    </row>
    <row r="219" spans="1:4" x14ac:dyDescent="0.25">
      <c r="A219" s="511"/>
      <c r="B219" s="231" t="str">
        <f t="shared" si="3"/>
        <v>0</v>
      </c>
      <c r="C219" s="26" t="s">
        <v>383</v>
      </c>
      <c r="D219" s="26"/>
    </row>
    <row r="220" spans="1:4" x14ac:dyDescent="0.25">
      <c r="A220" s="512"/>
      <c r="B220" s="231" t="str">
        <f t="shared" si="3"/>
        <v>1</v>
      </c>
      <c r="C220" s="26" t="s">
        <v>384</v>
      </c>
      <c r="D220" s="26"/>
    </row>
    <row r="221" spans="1:4" ht="15.75" customHeight="1" x14ac:dyDescent="0.25">
      <c r="A221" s="510" t="s">
        <v>81</v>
      </c>
      <c r="B221" s="231"/>
      <c r="C221" s="26" t="s">
        <v>386</v>
      </c>
      <c r="D221" s="26"/>
    </row>
    <row r="222" spans="1:4" x14ac:dyDescent="0.25">
      <c r="A222" s="511"/>
      <c r="B222" s="231" t="str">
        <f t="shared" si="3"/>
        <v>0</v>
      </c>
      <c r="C222" s="26" t="s">
        <v>383</v>
      </c>
      <c r="D222" s="26"/>
    </row>
    <row r="223" spans="1:4" x14ac:dyDescent="0.25">
      <c r="A223" s="512"/>
      <c r="B223" s="231" t="str">
        <f t="shared" si="3"/>
        <v>1</v>
      </c>
      <c r="C223" s="26" t="s">
        <v>384</v>
      </c>
      <c r="D223" s="26"/>
    </row>
    <row r="224" spans="1:4" ht="15.75" customHeight="1" x14ac:dyDescent="0.25">
      <c r="A224" s="510" t="s">
        <v>80</v>
      </c>
      <c r="B224" s="231"/>
      <c r="C224" s="26" t="s">
        <v>387</v>
      </c>
      <c r="D224" s="26"/>
    </row>
    <row r="225" spans="1:4" x14ac:dyDescent="0.25">
      <c r="A225" s="511"/>
      <c r="B225" s="231" t="str">
        <f t="shared" si="3"/>
        <v>0</v>
      </c>
      <c r="C225" s="26" t="s">
        <v>383</v>
      </c>
      <c r="D225" s="26"/>
    </row>
    <row r="226" spans="1:4" x14ac:dyDescent="0.25">
      <c r="A226" s="512"/>
      <c r="B226" s="231" t="str">
        <f t="shared" si="3"/>
        <v>1</v>
      </c>
      <c r="C226" s="26" t="s">
        <v>384</v>
      </c>
      <c r="D226" s="26"/>
    </row>
    <row r="227" spans="1:4" ht="15.75" customHeight="1" x14ac:dyDescent="0.25">
      <c r="A227" s="510" t="s">
        <v>79</v>
      </c>
      <c r="B227" s="231"/>
      <c r="C227" s="26" t="s">
        <v>388</v>
      </c>
      <c r="D227" s="26"/>
    </row>
    <row r="228" spans="1:4" x14ac:dyDescent="0.25">
      <c r="A228" s="511"/>
      <c r="B228" s="231" t="str">
        <f t="shared" si="3"/>
        <v>0</v>
      </c>
      <c r="C228" s="26" t="s">
        <v>383</v>
      </c>
      <c r="D228" s="26"/>
    </row>
    <row r="229" spans="1:4" x14ac:dyDescent="0.25">
      <c r="A229" s="512"/>
      <c r="B229" s="231" t="str">
        <f t="shared" si="3"/>
        <v>1</v>
      </c>
      <c r="C229" s="26" t="s">
        <v>384</v>
      </c>
      <c r="D229" s="26"/>
    </row>
    <row r="230" spans="1:4" ht="15.75" customHeight="1" x14ac:dyDescent="0.25">
      <c r="A230" s="510" t="s">
        <v>78</v>
      </c>
      <c r="B230" s="231"/>
      <c r="C230" s="26" t="s">
        <v>389</v>
      </c>
      <c r="D230" s="26"/>
    </row>
    <row r="231" spans="1:4" x14ac:dyDescent="0.25">
      <c r="A231" s="511"/>
      <c r="B231" s="231" t="str">
        <f t="shared" si="3"/>
        <v>0</v>
      </c>
      <c r="C231" s="26" t="s">
        <v>383</v>
      </c>
      <c r="D231" s="26"/>
    </row>
    <row r="232" spans="1:4" x14ac:dyDescent="0.25">
      <c r="A232" s="512"/>
      <c r="B232" s="231" t="str">
        <f t="shared" si="3"/>
        <v>1</v>
      </c>
      <c r="C232" s="26" t="s">
        <v>384</v>
      </c>
      <c r="D232" s="26"/>
    </row>
    <row r="233" spans="1:4" ht="15.75" customHeight="1" x14ac:dyDescent="0.25">
      <c r="A233" s="513" t="s">
        <v>77</v>
      </c>
      <c r="B233" s="231"/>
      <c r="C233" s="26" t="s">
        <v>390</v>
      </c>
      <c r="D233" s="27"/>
    </row>
    <row r="234" spans="1:4" x14ac:dyDescent="0.25">
      <c r="A234" s="513"/>
      <c r="B234" s="231" t="str">
        <f t="shared" si="3"/>
        <v>0</v>
      </c>
      <c r="C234" s="26" t="s">
        <v>383</v>
      </c>
      <c r="D234" s="28"/>
    </row>
    <row r="235" spans="1:4" x14ac:dyDescent="0.25">
      <c r="A235" s="513"/>
      <c r="B235" s="231" t="str">
        <f t="shared" si="3"/>
        <v>1</v>
      </c>
      <c r="C235" s="26" t="s">
        <v>384</v>
      </c>
      <c r="D235" s="28"/>
    </row>
    <row r="236" spans="1:4" x14ac:dyDescent="0.25">
      <c r="A236" s="513" t="s">
        <v>391</v>
      </c>
      <c r="B236" s="231"/>
      <c r="C236" s="26" t="s">
        <v>392</v>
      </c>
      <c r="D236" s="27"/>
    </row>
    <row r="237" spans="1:4" x14ac:dyDescent="0.25">
      <c r="A237" s="513"/>
      <c r="B237" s="231" t="str">
        <f t="shared" si="3"/>
        <v>0</v>
      </c>
      <c r="C237" s="26" t="s">
        <v>383</v>
      </c>
      <c r="D237" s="28"/>
    </row>
    <row r="238" spans="1:4" x14ac:dyDescent="0.25">
      <c r="A238" s="513"/>
      <c r="B238" s="231" t="str">
        <f t="shared" si="3"/>
        <v>1</v>
      </c>
      <c r="C238" s="26" t="s">
        <v>384</v>
      </c>
      <c r="D238" s="28"/>
    </row>
    <row r="239" spans="1:4" x14ac:dyDescent="0.25">
      <c r="A239" s="513" t="s">
        <v>393</v>
      </c>
      <c r="B239" s="231"/>
      <c r="C239" s="26" t="s">
        <v>402</v>
      </c>
      <c r="D239" s="27"/>
    </row>
    <row r="240" spans="1:4" x14ac:dyDescent="0.25">
      <c r="A240" s="513"/>
      <c r="B240" s="231" t="str">
        <f t="shared" si="3"/>
        <v>0</v>
      </c>
      <c r="C240" s="26" t="s">
        <v>383</v>
      </c>
      <c r="D240" s="28"/>
    </row>
    <row r="241" spans="1:4" x14ac:dyDescent="0.25">
      <c r="A241" s="513"/>
      <c r="B241" s="231" t="str">
        <f t="shared" si="3"/>
        <v>1</v>
      </c>
      <c r="C241" s="26" t="s">
        <v>384</v>
      </c>
      <c r="D241" s="28"/>
    </row>
    <row r="242" spans="1:4" x14ac:dyDescent="0.25">
      <c r="A242" s="513" t="s">
        <v>394</v>
      </c>
      <c r="B242" s="231"/>
      <c r="C242" s="26" t="s">
        <v>401</v>
      </c>
      <c r="D242" s="27"/>
    </row>
    <row r="243" spans="1:4" x14ac:dyDescent="0.25">
      <c r="A243" s="513"/>
      <c r="B243" s="231" t="str">
        <f t="shared" si="3"/>
        <v>0</v>
      </c>
      <c r="C243" s="26" t="s">
        <v>383</v>
      </c>
      <c r="D243" s="28"/>
    </row>
    <row r="244" spans="1:4" x14ac:dyDescent="0.25">
      <c r="A244" s="513"/>
      <c r="B244" s="231" t="str">
        <f t="shared" ref="B244:B307" si="4">LEFT(C244,LEN(C244)-(LEN(C244)-FIND("-",C244,1))-2)</f>
        <v>1</v>
      </c>
      <c r="C244" s="26" t="s">
        <v>384</v>
      </c>
      <c r="D244" s="28"/>
    </row>
    <row r="245" spans="1:4" x14ac:dyDescent="0.25">
      <c r="A245" s="513" t="s">
        <v>395</v>
      </c>
      <c r="B245" s="231"/>
      <c r="C245" s="26" t="s">
        <v>400</v>
      </c>
      <c r="D245" s="27"/>
    </row>
    <row r="246" spans="1:4" x14ac:dyDescent="0.25">
      <c r="A246" s="513"/>
      <c r="B246" s="231" t="str">
        <f t="shared" si="4"/>
        <v>0</v>
      </c>
      <c r="C246" s="26" t="s">
        <v>383</v>
      </c>
      <c r="D246" s="28"/>
    </row>
    <row r="247" spans="1:4" x14ac:dyDescent="0.25">
      <c r="A247" s="513"/>
      <c r="B247" s="231" t="str">
        <f t="shared" si="4"/>
        <v>1</v>
      </c>
      <c r="C247" s="26" t="s">
        <v>384</v>
      </c>
      <c r="D247" s="28"/>
    </row>
    <row r="248" spans="1:4" x14ac:dyDescent="0.25">
      <c r="A248" s="513" t="s">
        <v>396</v>
      </c>
      <c r="B248" s="231"/>
      <c r="C248" s="26" t="s">
        <v>399</v>
      </c>
      <c r="D248" s="27"/>
    </row>
    <row r="249" spans="1:4" x14ac:dyDescent="0.25">
      <c r="A249" s="513"/>
      <c r="B249" s="231" t="str">
        <f t="shared" si="4"/>
        <v>0</v>
      </c>
      <c r="C249" s="26" t="s">
        <v>383</v>
      </c>
      <c r="D249" s="28"/>
    </row>
    <row r="250" spans="1:4" x14ac:dyDescent="0.25">
      <c r="A250" s="513"/>
      <c r="B250" s="231" t="str">
        <f t="shared" si="4"/>
        <v>1</v>
      </c>
      <c r="C250" s="26" t="s">
        <v>384</v>
      </c>
      <c r="D250" s="28"/>
    </row>
    <row r="251" spans="1:4" x14ac:dyDescent="0.25">
      <c r="A251" s="513" t="s">
        <v>397</v>
      </c>
      <c r="B251" s="231"/>
      <c r="C251" s="26" t="s">
        <v>398</v>
      </c>
      <c r="D251" s="27"/>
    </row>
    <row r="252" spans="1:4" x14ac:dyDescent="0.25">
      <c r="A252" s="513"/>
      <c r="B252" s="231" t="str">
        <f t="shared" si="4"/>
        <v>0</v>
      </c>
      <c r="C252" s="26" t="s">
        <v>383</v>
      </c>
      <c r="D252" s="28"/>
    </row>
    <row r="253" spans="1:4" x14ac:dyDescent="0.25">
      <c r="A253" s="513"/>
      <c r="B253" s="231" t="str">
        <f t="shared" si="4"/>
        <v>1</v>
      </c>
      <c r="C253" s="26" t="s">
        <v>384</v>
      </c>
      <c r="D253" s="28"/>
    </row>
    <row r="254" spans="1:4" x14ac:dyDescent="0.25">
      <c r="A254" s="513" t="s">
        <v>96</v>
      </c>
      <c r="B254" s="231"/>
      <c r="C254" s="26" t="s">
        <v>420</v>
      </c>
      <c r="D254" s="27"/>
    </row>
    <row r="255" spans="1:4" x14ac:dyDescent="0.25">
      <c r="A255" s="513"/>
      <c r="B255" s="231" t="str">
        <f t="shared" si="4"/>
        <v>0</v>
      </c>
      <c r="C255" s="26" t="s">
        <v>418</v>
      </c>
      <c r="D255" s="28"/>
    </row>
    <row r="256" spans="1:4" ht="30" x14ac:dyDescent="0.25">
      <c r="A256" s="513"/>
      <c r="B256" s="231" t="str">
        <f t="shared" si="4"/>
        <v>1</v>
      </c>
      <c r="C256" s="27" t="s">
        <v>419</v>
      </c>
      <c r="D256" s="160" t="s">
        <v>692</v>
      </c>
    </row>
    <row r="257" spans="1:4" x14ac:dyDescent="0.25">
      <c r="A257" s="513" t="s">
        <v>416</v>
      </c>
      <c r="B257" s="231"/>
      <c r="C257" s="26" t="s">
        <v>417</v>
      </c>
      <c r="D257" s="27"/>
    </row>
    <row r="258" spans="1:4" x14ac:dyDescent="0.25">
      <c r="A258" s="513"/>
      <c r="B258" s="231" t="str">
        <f t="shared" si="4"/>
        <v>0</v>
      </c>
      <c r="C258" s="26" t="s">
        <v>421</v>
      </c>
      <c r="D258" s="28"/>
    </row>
    <row r="259" spans="1:4" x14ac:dyDescent="0.25">
      <c r="A259" s="513"/>
      <c r="B259" s="231" t="str">
        <f t="shared" si="4"/>
        <v>1</v>
      </c>
      <c r="C259" s="55" t="s">
        <v>422</v>
      </c>
      <c r="D259" s="28"/>
    </row>
    <row r="260" spans="1:4" x14ac:dyDescent="0.25">
      <c r="A260" s="513" t="s">
        <v>94</v>
      </c>
      <c r="B260" s="231"/>
      <c r="C260" s="26" t="s">
        <v>405</v>
      </c>
      <c r="D260" s="27"/>
    </row>
    <row r="261" spans="1:4" x14ac:dyDescent="0.25">
      <c r="A261" s="513"/>
      <c r="B261" s="231" t="str">
        <f t="shared" si="4"/>
        <v>0</v>
      </c>
      <c r="C261" s="26" t="s">
        <v>403</v>
      </c>
      <c r="D261" s="28"/>
    </row>
    <row r="262" spans="1:4" x14ac:dyDescent="0.25">
      <c r="A262" s="513"/>
      <c r="B262" s="231" t="str">
        <f t="shared" si="4"/>
        <v>1</v>
      </c>
      <c r="C262" s="26" t="s">
        <v>404</v>
      </c>
      <c r="D262" s="28"/>
    </row>
    <row r="263" spans="1:4" x14ac:dyDescent="0.25">
      <c r="A263" s="513" t="s">
        <v>93</v>
      </c>
      <c r="B263" s="231"/>
      <c r="C263" s="26" t="s">
        <v>406</v>
      </c>
      <c r="D263" s="27"/>
    </row>
    <row r="264" spans="1:4" x14ac:dyDescent="0.25">
      <c r="A264" s="513"/>
      <c r="B264" s="231" t="str">
        <f t="shared" si="4"/>
        <v>0</v>
      </c>
      <c r="C264" s="26" t="s">
        <v>403</v>
      </c>
      <c r="D264" s="28"/>
    </row>
    <row r="265" spans="1:4" x14ac:dyDescent="0.25">
      <c r="A265" s="513"/>
      <c r="B265" s="231" t="str">
        <f t="shared" si="4"/>
        <v>1</v>
      </c>
      <c r="C265" s="26" t="s">
        <v>404</v>
      </c>
      <c r="D265" s="28"/>
    </row>
    <row r="266" spans="1:4" x14ac:dyDescent="0.25">
      <c r="A266" s="513" t="s">
        <v>407</v>
      </c>
      <c r="B266" s="231"/>
      <c r="C266" s="26" t="s">
        <v>408</v>
      </c>
      <c r="D266" s="27"/>
    </row>
    <row r="267" spans="1:4" x14ac:dyDescent="0.25">
      <c r="A267" s="513"/>
      <c r="B267" s="231" t="str">
        <f t="shared" si="4"/>
        <v>0</v>
      </c>
      <c r="C267" s="26" t="s">
        <v>403</v>
      </c>
      <c r="D267" s="28"/>
    </row>
    <row r="268" spans="1:4" x14ac:dyDescent="0.25">
      <c r="A268" s="513"/>
      <c r="B268" s="231" t="str">
        <f t="shared" si="4"/>
        <v>1</v>
      </c>
      <c r="C268" s="26" t="s">
        <v>404</v>
      </c>
      <c r="D268" s="28"/>
    </row>
    <row r="269" spans="1:4" x14ac:dyDescent="0.25">
      <c r="A269" s="513" t="s">
        <v>409</v>
      </c>
      <c r="B269" s="231"/>
      <c r="C269" s="26" t="s">
        <v>410</v>
      </c>
      <c r="D269" s="27"/>
    </row>
    <row r="270" spans="1:4" x14ac:dyDescent="0.25">
      <c r="A270" s="513"/>
      <c r="B270" s="231" t="str">
        <f t="shared" si="4"/>
        <v>0</v>
      </c>
      <c r="C270" s="26" t="s">
        <v>403</v>
      </c>
      <c r="D270" s="28"/>
    </row>
    <row r="271" spans="1:4" x14ac:dyDescent="0.25">
      <c r="A271" s="513"/>
      <c r="B271" s="231" t="str">
        <f t="shared" si="4"/>
        <v>1</v>
      </c>
      <c r="C271" s="26" t="s">
        <v>404</v>
      </c>
      <c r="D271" s="28"/>
    </row>
    <row r="272" spans="1:4" x14ac:dyDescent="0.25">
      <c r="A272" s="513" t="s">
        <v>411</v>
      </c>
      <c r="B272" s="231"/>
      <c r="C272" s="26" t="s">
        <v>412</v>
      </c>
      <c r="D272" s="27"/>
    </row>
    <row r="273" spans="1:4" x14ac:dyDescent="0.25">
      <c r="A273" s="513"/>
      <c r="B273" s="231" t="str">
        <f t="shared" si="4"/>
        <v>0</v>
      </c>
      <c r="C273" s="26" t="s">
        <v>403</v>
      </c>
      <c r="D273" s="28"/>
    </row>
    <row r="274" spans="1:4" x14ac:dyDescent="0.25">
      <c r="A274" s="513"/>
      <c r="B274" s="231" t="str">
        <f t="shared" si="4"/>
        <v>1</v>
      </c>
      <c r="C274" s="26" t="s">
        <v>404</v>
      </c>
      <c r="D274" s="28"/>
    </row>
    <row r="275" spans="1:4" x14ac:dyDescent="0.25">
      <c r="A275" s="513" t="s">
        <v>413</v>
      </c>
      <c r="B275" s="231"/>
      <c r="C275" s="26" t="s">
        <v>414</v>
      </c>
      <c r="D275" s="27"/>
    </row>
    <row r="276" spans="1:4" x14ac:dyDescent="0.25">
      <c r="A276" s="513"/>
      <c r="B276" s="231" t="str">
        <f t="shared" si="4"/>
        <v>0</v>
      </c>
      <c r="C276" s="26" t="s">
        <v>403</v>
      </c>
      <c r="D276" s="28"/>
    </row>
    <row r="277" spans="1:4" x14ac:dyDescent="0.25">
      <c r="A277" s="513"/>
      <c r="B277" s="231" t="str">
        <f t="shared" si="4"/>
        <v>1</v>
      </c>
      <c r="C277" s="26" t="s">
        <v>404</v>
      </c>
      <c r="D277" s="28"/>
    </row>
    <row r="278" spans="1:4" x14ac:dyDescent="0.25">
      <c r="A278" s="513" t="s">
        <v>145</v>
      </c>
      <c r="B278" s="231"/>
      <c r="C278" s="26" t="s">
        <v>423</v>
      </c>
      <c r="D278" s="27" t="s">
        <v>693</v>
      </c>
    </row>
    <row r="279" spans="1:4" x14ac:dyDescent="0.25">
      <c r="A279" s="513"/>
      <c r="B279" s="231" t="str">
        <f t="shared" si="4"/>
        <v>0</v>
      </c>
      <c r="C279" s="26" t="s">
        <v>403</v>
      </c>
      <c r="D279" s="28"/>
    </row>
    <row r="280" spans="1:4" x14ac:dyDescent="0.25">
      <c r="A280" s="513"/>
      <c r="B280" s="231" t="str">
        <f t="shared" si="4"/>
        <v>1</v>
      </c>
      <c r="C280" s="26" t="s">
        <v>404</v>
      </c>
      <c r="D280" s="28"/>
    </row>
    <row r="281" spans="1:4" x14ac:dyDescent="0.25">
      <c r="A281" s="486" t="s">
        <v>141</v>
      </c>
      <c r="B281" s="231"/>
      <c r="C281" s="3" t="s">
        <v>279</v>
      </c>
      <c r="D281" s="2"/>
    </row>
    <row r="282" spans="1:4" x14ac:dyDescent="0.25">
      <c r="A282" s="487"/>
      <c r="B282" s="231" t="str">
        <f t="shared" si="4"/>
        <v>0000</v>
      </c>
      <c r="C282" s="4" t="s">
        <v>280</v>
      </c>
      <c r="D282" s="2"/>
    </row>
    <row r="283" spans="1:4" x14ac:dyDescent="0.25">
      <c r="A283" s="487"/>
      <c r="B283" s="231" t="str">
        <f t="shared" si="4"/>
        <v>0001</v>
      </c>
      <c r="C283" s="4" t="s">
        <v>281</v>
      </c>
      <c r="D283" s="8" t="s">
        <v>521</v>
      </c>
    </row>
    <row r="284" spans="1:4" x14ac:dyDescent="0.25">
      <c r="A284" s="487"/>
      <c r="B284" s="231" t="str">
        <f t="shared" si="4"/>
        <v>0010</v>
      </c>
      <c r="C284" s="4" t="s">
        <v>282</v>
      </c>
      <c r="D284" s="2"/>
    </row>
    <row r="285" spans="1:4" ht="15" customHeight="1" x14ac:dyDescent="0.25">
      <c r="A285" s="487"/>
      <c r="B285" s="231" t="str">
        <f t="shared" si="4"/>
        <v>0011</v>
      </c>
      <c r="C285" s="4" t="s">
        <v>283</v>
      </c>
      <c r="D285" s="2"/>
    </row>
    <row r="286" spans="1:4" ht="15" customHeight="1" x14ac:dyDescent="0.25">
      <c r="A286" s="487"/>
      <c r="B286" s="231" t="str">
        <f t="shared" si="4"/>
        <v>0100</v>
      </c>
      <c r="C286" s="4" t="s">
        <v>284</v>
      </c>
      <c r="D286" s="2"/>
    </row>
    <row r="287" spans="1:4" ht="15" customHeight="1" x14ac:dyDescent="0.25">
      <c r="A287" s="487"/>
      <c r="B287" s="231" t="str">
        <f t="shared" si="4"/>
        <v>0101</v>
      </c>
      <c r="C287" s="4" t="s">
        <v>285</v>
      </c>
      <c r="D287" s="2"/>
    </row>
    <row r="288" spans="1:4" ht="15" customHeight="1" x14ac:dyDescent="0.25">
      <c r="A288" s="487"/>
      <c r="B288" s="231" t="str">
        <f t="shared" si="4"/>
        <v>0110</v>
      </c>
      <c r="C288" s="4" t="s">
        <v>286</v>
      </c>
      <c r="D288" s="2"/>
    </row>
    <row r="289" spans="1:4" x14ac:dyDescent="0.25">
      <c r="A289" s="487"/>
      <c r="B289" s="231" t="str">
        <f t="shared" si="4"/>
        <v>0111</v>
      </c>
      <c r="C289" s="4" t="s">
        <v>288</v>
      </c>
      <c r="D289" s="2"/>
    </row>
    <row r="290" spans="1:4" x14ac:dyDescent="0.25">
      <c r="A290" s="487"/>
      <c r="B290" s="231" t="str">
        <f t="shared" si="4"/>
        <v>1000</v>
      </c>
      <c r="C290" s="4" t="s">
        <v>289</v>
      </c>
      <c r="D290" s="2"/>
    </row>
    <row r="291" spans="1:4" x14ac:dyDescent="0.25">
      <c r="A291" s="487"/>
      <c r="B291" s="231" t="str">
        <f t="shared" si="4"/>
        <v>1001</v>
      </c>
      <c r="C291" s="4" t="s">
        <v>424</v>
      </c>
      <c r="D291" s="2"/>
    </row>
    <row r="292" spans="1:4" x14ac:dyDescent="0.25">
      <c r="A292" s="487"/>
      <c r="B292" s="231" t="str">
        <f t="shared" si="4"/>
        <v>1010</v>
      </c>
      <c r="C292" s="4" t="s">
        <v>290</v>
      </c>
      <c r="D292" s="2"/>
    </row>
    <row r="293" spans="1:4" x14ac:dyDescent="0.25">
      <c r="A293" s="487"/>
      <c r="B293" s="231" t="str">
        <f t="shared" si="4"/>
        <v>1011</v>
      </c>
      <c r="C293" s="4" t="s">
        <v>291</v>
      </c>
      <c r="D293" s="2"/>
    </row>
    <row r="294" spans="1:4" x14ac:dyDescent="0.25">
      <c r="A294" s="487"/>
      <c r="B294" s="231" t="str">
        <f t="shared" si="4"/>
        <v>1100</v>
      </c>
      <c r="C294" s="4" t="s">
        <v>292</v>
      </c>
      <c r="D294" s="2"/>
    </row>
    <row r="295" spans="1:4" x14ac:dyDescent="0.25">
      <c r="A295" s="487"/>
      <c r="B295" s="231" t="str">
        <f t="shared" si="4"/>
        <v>1101</v>
      </c>
      <c r="C295" s="4" t="s">
        <v>293</v>
      </c>
      <c r="D295" s="2"/>
    </row>
    <row r="296" spans="1:4" x14ac:dyDescent="0.25">
      <c r="A296" s="487"/>
      <c r="B296" s="231" t="str">
        <f t="shared" si="4"/>
        <v>1110</v>
      </c>
      <c r="C296" s="4" t="s">
        <v>294</v>
      </c>
      <c r="D296" s="2"/>
    </row>
    <row r="297" spans="1:4" x14ac:dyDescent="0.25">
      <c r="A297" s="488"/>
      <c r="B297" s="231" t="str">
        <f t="shared" si="4"/>
        <v>1111</v>
      </c>
      <c r="C297" s="4" t="s">
        <v>287</v>
      </c>
      <c r="D297" s="2"/>
    </row>
    <row r="298" spans="1:4" x14ac:dyDescent="0.25">
      <c r="A298" s="513" t="s">
        <v>545</v>
      </c>
      <c r="B298" s="231"/>
      <c r="C298" s="26" t="s">
        <v>551</v>
      </c>
      <c r="D298" s="27"/>
    </row>
    <row r="299" spans="1:4" x14ac:dyDescent="0.25">
      <c r="A299" s="513"/>
      <c r="B299" s="231" t="str">
        <f t="shared" si="4"/>
        <v>00</v>
      </c>
      <c r="C299" s="26" t="s">
        <v>675</v>
      </c>
      <c r="D299" s="28"/>
    </row>
    <row r="300" spans="1:4" x14ac:dyDescent="0.25">
      <c r="A300" s="513"/>
      <c r="B300" s="231" t="str">
        <f t="shared" si="4"/>
        <v>01</v>
      </c>
      <c r="C300" s="26" t="s">
        <v>676</v>
      </c>
      <c r="D300" s="28"/>
    </row>
    <row r="301" spans="1:4" x14ac:dyDescent="0.25">
      <c r="A301" s="513"/>
      <c r="B301" s="231" t="str">
        <f t="shared" si="4"/>
        <v>10</v>
      </c>
      <c r="C301" s="26" t="s">
        <v>677</v>
      </c>
      <c r="D301" s="26"/>
    </row>
    <row r="302" spans="1:4" x14ac:dyDescent="0.25">
      <c r="A302" s="513"/>
      <c r="B302" s="231" t="str">
        <f t="shared" si="4"/>
        <v>11</v>
      </c>
      <c r="C302" s="26" t="s">
        <v>678</v>
      </c>
      <c r="D302" s="26"/>
    </row>
    <row r="303" spans="1:4" x14ac:dyDescent="0.25">
      <c r="A303" s="514" t="s">
        <v>549</v>
      </c>
      <c r="B303" s="231"/>
      <c r="C303" s="26" t="s">
        <v>552</v>
      </c>
      <c r="D303" s="26"/>
    </row>
    <row r="304" spans="1:4" x14ac:dyDescent="0.25">
      <c r="A304" s="515"/>
      <c r="B304" s="231" t="str">
        <f t="shared" si="4"/>
        <v>0</v>
      </c>
      <c r="C304" s="26" t="s">
        <v>679</v>
      </c>
      <c r="D304" s="26"/>
    </row>
    <row r="305" spans="1:4" x14ac:dyDescent="0.25">
      <c r="A305" s="516"/>
      <c r="B305" s="231" t="str">
        <f t="shared" si="4"/>
        <v>1</v>
      </c>
      <c r="C305" s="26" t="s">
        <v>680</v>
      </c>
      <c r="D305" s="26"/>
    </row>
    <row r="306" spans="1:4" x14ac:dyDescent="0.25">
      <c r="A306" s="517" t="s">
        <v>546</v>
      </c>
      <c r="B306" s="231"/>
      <c r="C306" s="26" t="s">
        <v>553</v>
      </c>
      <c r="D306" s="26"/>
    </row>
    <row r="307" spans="1:4" x14ac:dyDescent="0.25">
      <c r="A307" s="517"/>
      <c r="B307" s="231" t="str">
        <f t="shared" si="4"/>
        <v>00</v>
      </c>
      <c r="C307" s="26" t="s">
        <v>675</v>
      </c>
      <c r="D307" s="26"/>
    </row>
    <row r="308" spans="1:4" x14ac:dyDescent="0.25">
      <c r="A308" s="517"/>
      <c r="B308" s="231" t="str">
        <f t="shared" ref="B308:B321" si="5">LEFT(C308,LEN(C308)-(LEN(C308)-FIND("-",C308,1))-2)</f>
        <v>01</v>
      </c>
      <c r="C308" s="26" t="s">
        <v>676</v>
      </c>
      <c r="D308" s="26"/>
    </row>
    <row r="309" spans="1:4" x14ac:dyDescent="0.25">
      <c r="A309" s="517"/>
      <c r="B309" s="231" t="str">
        <f t="shared" si="5"/>
        <v>10</v>
      </c>
      <c r="C309" s="26" t="s">
        <v>677</v>
      </c>
      <c r="D309" s="26"/>
    </row>
    <row r="310" spans="1:4" x14ac:dyDescent="0.25">
      <c r="A310" s="517"/>
      <c r="B310" s="231" t="str">
        <f t="shared" si="5"/>
        <v>11</v>
      </c>
      <c r="C310" s="26" t="s">
        <v>678</v>
      </c>
      <c r="D310" s="26"/>
    </row>
    <row r="311" spans="1:4" x14ac:dyDescent="0.25">
      <c r="A311" s="514" t="s">
        <v>550</v>
      </c>
      <c r="B311" s="231"/>
      <c r="C311" s="26" t="s">
        <v>554</v>
      </c>
      <c r="D311" s="26"/>
    </row>
    <row r="312" spans="1:4" x14ac:dyDescent="0.25">
      <c r="A312" s="515"/>
      <c r="B312" s="231" t="str">
        <f t="shared" si="5"/>
        <v>0</v>
      </c>
      <c r="C312" s="26" t="s">
        <v>679</v>
      </c>
      <c r="D312" s="26"/>
    </row>
    <row r="313" spans="1:4" x14ac:dyDescent="0.25">
      <c r="A313" s="516"/>
      <c r="B313" s="231" t="str">
        <f t="shared" si="5"/>
        <v>1</v>
      </c>
      <c r="C313" s="26" t="s">
        <v>680</v>
      </c>
      <c r="D313" s="26"/>
    </row>
    <row r="314" spans="1:4" x14ac:dyDescent="0.25">
      <c r="A314" s="517" t="s">
        <v>547</v>
      </c>
      <c r="B314" s="231"/>
      <c r="C314" s="26" t="s">
        <v>555</v>
      </c>
      <c r="D314" s="26" t="s">
        <v>557</v>
      </c>
    </row>
    <row r="315" spans="1:4" x14ac:dyDescent="0.25">
      <c r="A315" s="517"/>
      <c r="B315" s="231" t="str">
        <f t="shared" si="5"/>
        <v>00</v>
      </c>
      <c r="C315" s="26" t="s">
        <v>675</v>
      </c>
      <c r="D315" s="26"/>
    </row>
    <row r="316" spans="1:4" x14ac:dyDescent="0.25">
      <c r="A316" s="517"/>
      <c r="B316" s="231" t="str">
        <f t="shared" si="5"/>
        <v>01</v>
      </c>
      <c r="C316" s="26" t="s">
        <v>676</v>
      </c>
      <c r="D316" s="26"/>
    </row>
    <row r="317" spans="1:4" x14ac:dyDescent="0.25">
      <c r="A317" s="517"/>
      <c r="B317" s="231" t="str">
        <f t="shared" si="5"/>
        <v>10</v>
      </c>
      <c r="C317" s="26" t="s">
        <v>677</v>
      </c>
      <c r="D317" s="26"/>
    </row>
    <row r="318" spans="1:4" x14ac:dyDescent="0.25">
      <c r="A318" s="517"/>
      <c r="B318" s="231" t="str">
        <f t="shared" si="5"/>
        <v>11</v>
      </c>
      <c r="C318" s="26" t="s">
        <v>678</v>
      </c>
      <c r="D318" s="26"/>
    </row>
    <row r="319" spans="1:4" x14ac:dyDescent="0.25">
      <c r="A319" s="514" t="s">
        <v>548</v>
      </c>
      <c r="B319" s="231"/>
      <c r="C319" s="26" t="s">
        <v>556</v>
      </c>
      <c r="D319" s="26" t="s">
        <v>557</v>
      </c>
    </row>
    <row r="320" spans="1:4" x14ac:dyDescent="0.25">
      <c r="A320" s="515"/>
      <c r="B320" s="231" t="str">
        <f t="shared" si="5"/>
        <v>0</v>
      </c>
      <c r="C320" s="26" t="s">
        <v>679</v>
      </c>
      <c r="D320" s="26"/>
    </row>
    <row r="321" spans="1:4" x14ac:dyDescent="0.25">
      <c r="A321" s="516"/>
      <c r="B321" s="231" t="str">
        <f t="shared" si="5"/>
        <v>1</v>
      </c>
      <c r="C321" s="26" t="s">
        <v>680</v>
      </c>
      <c r="D321" s="26"/>
    </row>
  </sheetData>
  <sheetProtection algorithmName="SHA-512" hashValue="iThTRXYtHJuzBgYEoPs42VpQaRF41ZD0VJLSK9867UCZKNS4THBMJsVFyBWzOO8SBKTJZ0gWMNj+EQtoBHQAOw==" saltValue="Q3hS4UZTPCevCl/vv7gPLw==" spinCount="100000" sheet="1" objects="1" scenarios="1"/>
  <mergeCells count="43">
    <mergeCell ref="A319:A321"/>
    <mergeCell ref="A298:A302"/>
    <mergeCell ref="A306:A310"/>
    <mergeCell ref="A314:A318"/>
    <mergeCell ref="A303:A305"/>
    <mergeCell ref="A311:A313"/>
    <mergeCell ref="A263:A265"/>
    <mergeCell ref="A266:A268"/>
    <mergeCell ref="A233:A235"/>
    <mergeCell ref="A236:A238"/>
    <mergeCell ref="A239:A241"/>
    <mergeCell ref="A242:A244"/>
    <mergeCell ref="A245:A247"/>
    <mergeCell ref="A254:A256"/>
    <mergeCell ref="A257:A259"/>
    <mergeCell ref="A248:A250"/>
    <mergeCell ref="A251:A253"/>
    <mergeCell ref="A260:A262"/>
    <mergeCell ref="A278:A280"/>
    <mergeCell ref="A281:A297"/>
    <mergeCell ref="A269:A271"/>
    <mergeCell ref="A272:A274"/>
    <mergeCell ref="A275:A277"/>
    <mergeCell ref="A221:A223"/>
    <mergeCell ref="A230:A232"/>
    <mergeCell ref="A227:A229"/>
    <mergeCell ref="A224:A226"/>
    <mergeCell ref="A218:A220"/>
    <mergeCell ref="A2:A18"/>
    <mergeCell ref="A19:A35"/>
    <mergeCell ref="A36:A38"/>
    <mergeCell ref="A39:A44"/>
    <mergeCell ref="A215:A217"/>
    <mergeCell ref="A45:A61"/>
    <mergeCell ref="A62:A78"/>
    <mergeCell ref="A79:A95"/>
    <mergeCell ref="A96:A112"/>
    <mergeCell ref="A113:A129"/>
    <mergeCell ref="A130:A146"/>
    <mergeCell ref="A147:A163"/>
    <mergeCell ref="A164:A180"/>
    <mergeCell ref="A181:A197"/>
    <mergeCell ref="A198:A214"/>
  </mergeCells>
  <conditionalFormatting sqref="A230">
    <cfRule type="expression" dxfId="10" priority="5">
      <formula>A230 = "-"</formula>
    </cfRule>
  </conditionalFormatting>
  <conditionalFormatting sqref="A215">
    <cfRule type="expression" dxfId="9" priority="10">
      <formula>A215 = "-"</formula>
    </cfRule>
  </conditionalFormatting>
  <conditionalFormatting sqref="A218">
    <cfRule type="expression" dxfId="8" priority="9">
      <formula>A218 = "-"</formula>
    </cfRule>
  </conditionalFormatting>
  <conditionalFormatting sqref="A221">
    <cfRule type="expression" dxfId="7" priority="8">
      <formula>A221 = "-"</formula>
    </cfRule>
  </conditionalFormatting>
  <conditionalFormatting sqref="A224">
    <cfRule type="expression" dxfId="6" priority="7">
      <formula>A224 = "-"</formula>
    </cfRule>
  </conditionalFormatting>
  <conditionalFormatting sqref="A227">
    <cfRule type="expression" dxfId="5" priority="6">
      <formula>A227 = "-"</formula>
    </cfRule>
  </conditionalFormatting>
  <pageMargins left="0.7" right="0.7" top="0.75" bottom="0.75" header="0.3" footer="0.3"/>
  <pageSetup paperSize="9" orientation="portrait"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D0E77-12C9-4EF0-A854-744759C7A5E5}">
  <sheetPr codeName="Sheet4"/>
  <dimension ref="A1:Z65"/>
  <sheetViews>
    <sheetView zoomScale="85" zoomScaleNormal="85" workbookViewId="0">
      <selection activeCell="F169" sqref="F169"/>
    </sheetView>
  </sheetViews>
  <sheetFormatPr defaultColWidth="9.140625" defaultRowHeight="14.25" customHeight="1" x14ac:dyDescent="0.25"/>
  <cols>
    <col min="1" max="1" width="2.7109375" style="166" customWidth="1"/>
    <col min="2" max="2" width="35.28515625" style="166" bestFit="1" customWidth="1"/>
    <col min="3" max="4" width="10.7109375" style="167" customWidth="1"/>
    <col min="5" max="5" width="2.7109375" style="166" customWidth="1"/>
    <col min="6" max="6" width="35.28515625" style="166" bestFit="1" customWidth="1"/>
    <col min="7" max="8" width="10.7109375" style="167" customWidth="1"/>
    <col min="9" max="9" width="2.7109375" style="166" customWidth="1"/>
    <col min="10" max="10" width="35.28515625" style="166" bestFit="1" customWidth="1"/>
    <col min="11" max="12" width="10.7109375" style="167" customWidth="1"/>
    <col min="13" max="13" width="2.7109375" style="166" customWidth="1"/>
    <col min="14" max="14" width="2.7109375" style="170" customWidth="1"/>
    <col min="15" max="25" width="9.140625" style="170"/>
    <col min="26" max="26" width="2.7109375" style="170" customWidth="1"/>
    <col min="27" max="27" width="9.140625" style="170"/>
    <col min="28" max="28" width="11.5703125" style="170" bestFit="1" customWidth="1"/>
    <col min="29" max="16384" width="9.140625" style="170"/>
  </cols>
  <sheetData>
    <row r="1" spans="1:26" ht="15" x14ac:dyDescent="0.25">
      <c r="J1" s="168"/>
      <c r="K1" s="169"/>
      <c r="L1" s="169"/>
    </row>
    <row r="2" spans="1:26" ht="15" x14ac:dyDescent="0.25">
      <c r="B2" s="523" t="s">
        <v>710</v>
      </c>
      <c r="C2" s="523"/>
      <c r="D2" s="523"/>
      <c r="F2" s="523" t="s">
        <v>710</v>
      </c>
      <c r="G2" s="523"/>
      <c r="H2" s="523"/>
      <c r="J2" s="523" t="s">
        <v>710</v>
      </c>
      <c r="K2" s="523"/>
      <c r="L2" s="523"/>
      <c r="N2" s="171"/>
      <c r="O2" s="171"/>
      <c r="P2" s="171"/>
      <c r="Q2" s="171"/>
      <c r="R2" s="171"/>
      <c r="S2" s="171"/>
      <c r="T2" s="171"/>
      <c r="U2" s="171"/>
      <c r="V2" s="171"/>
      <c r="W2" s="171"/>
      <c r="X2" s="171"/>
      <c r="Y2" s="171"/>
      <c r="Z2" s="171"/>
    </row>
    <row r="3" spans="1:26" ht="15" x14ac:dyDescent="0.25">
      <c r="B3" s="524" t="s">
        <v>711</v>
      </c>
      <c r="C3" s="524"/>
      <c r="D3" s="524"/>
      <c r="F3" s="524" t="s">
        <v>711</v>
      </c>
      <c r="G3" s="524"/>
      <c r="H3" s="524"/>
      <c r="J3" s="524" t="s">
        <v>711</v>
      </c>
      <c r="K3" s="524"/>
      <c r="L3" s="524"/>
      <c r="N3" s="171"/>
      <c r="Z3" s="171"/>
    </row>
    <row r="4" spans="1:26" ht="15" x14ac:dyDescent="0.25">
      <c r="B4" s="520" t="s">
        <v>712</v>
      </c>
      <c r="C4" s="520"/>
      <c r="D4" s="520"/>
      <c r="F4" s="520" t="s">
        <v>712</v>
      </c>
      <c r="G4" s="520"/>
      <c r="H4" s="520"/>
      <c r="J4" s="520" t="s">
        <v>712</v>
      </c>
      <c r="K4" s="520"/>
      <c r="L4" s="520"/>
      <c r="N4" s="171"/>
      <c r="P4" s="521" t="s">
        <v>713</v>
      </c>
      <c r="Q4" s="521"/>
      <c r="R4" s="521"/>
      <c r="S4" s="521"/>
      <c r="T4" s="521"/>
      <c r="U4" s="521"/>
      <c r="V4" s="521"/>
      <c r="W4" s="521"/>
      <c r="X4" s="521"/>
      <c r="Z4" s="171"/>
    </row>
    <row r="5" spans="1:26" ht="15" x14ac:dyDescent="0.25">
      <c r="J5" s="168"/>
      <c r="K5" s="169"/>
      <c r="L5" s="169"/>
      <c r="N5" s="171"/>
      <c r="Z5" s="171"/>
    </row>
    <row r="6" spans="1:26" ht="15" x14ac:dyDescent="0.25">
      <c r="B6" s="518" t="s">
        <v>714</v>
      </c>
      <c r="C6" s="518"/>
      <c r="D6" s="518"/>
      <c r="F6" s="518" t="s">
        <v>714</v>
      </c>
      <c r="G6" s="518"/>
      <c r="H6" s="518"/>
      <c r="J6" s="522"/>
      <c r="K6" s="522"/>
      <c r="L6" s="522"/>
      <c r="N6" s="171"/>
      <c r="Z6" s="171"/>
    </row>
    <row r="7" spans="1:26" ht="15" x14ac:dyDescent="0.25">
      <c r="B7" s="172" t="s">
        <v>715</v>
      </c>
      <c r="C7" s="173">
        <f>1000*C21/10</f>
        <v>45500</v>
      </c>
      <c r="D7" s="173" t="s">
        <v>716</v>
      </c>
      <c r="F7" s="172" t="s">
        <v>715</v>
      </c>
      <c r="G7" s="173">
        <f>1000000*G21/10</f>
        <v>222000</v>
      </c>
      <c r="H7" s="173" t="s">
        <v>716</v>
      </c>
      <c r="J7" s="168"/>
      <c r="K7" s="169"/>
      <c r="L7" s="169"/>
      <c r="N7" s="171"/>
      <c r="Z7" s="171"/>
    </row>
    <row r="8" spans="1:26" s="180" customFormat="1" ht="15" x14ac:dyDescent="0.25">
      <c r="A8" s="174"/>
      <c r="B8" s="175" t="s">
        <v>717</v>
      </c>
      <c r="C8" s="320">
        <v>1</v>
      </c>
      <c r="D8" s="176" t="s">
        <v>718</v>
      </c>
      <c r="E8" s="174"/>
      <c r="F8" s="175" t="s">
        <v>717</v>
      </c>
      <c r="G8" s="321">
        <v>0.1</v>
      </c>
      <c r="H8" s="176" t="s">
        <v>718</v>
      </c>
      <c r="I8" s="174"/>
      <c r="J8" s="177"/>
      <c r="K8" s="178"/>
      <c r="L8" s="178"/>
      <c r="M8" s="174"/>
      <c r="N8" s="179"/>
      <c r="Z8" s="179"/>
    </row>
    <row r="9" spans="1:26" ht="15" x14ac:dyDescent="0.25">
      <c r="B9" s="172" t="s">
        <v>719</v>
      </c>
      <c r="C9" s="181">
        <f>1000000/(2*2*3.14156*3.14156*C7*C7*C8/1000000)</f>
        <v>12.235634576974752</v>
      </c>
      <c r="D9" s="173" t="s">
        <v>720</v>
      </c>
      <c r="F9" s="172" t="s">
        <v>719</v>
      </c>
      <c r="G9" s="181">
        <f>1000000/(2*2*3.14156*3.14156*G7*G7*G8/1000000)</f>
        <v>5.1397659449277606</v>
      </c>
      <c r="H9" s="173" t="s">
        <v>720</v>
      </c>
      <c r="J9" s="168"/>
      <c r="K9" s="182"/>
      <c r="L9" s="169"/>
      <c r="N9" s="171"/>
      <c r="Z9" s="171"/>
    </row>
    <row r="10" spans="1:26" s="180" customFormat="1" ht="15" x14ac:dyDescent="0.25">
      <c r="A10" s="174"/>
      <c r="B10" s="183" t="s">
        <v>721</v>
      </c>
      <c r="C10" s="319">
        <v>10</v>
      </c>
      <c r="D10" s="176" t="s">
        <v>720</v>
      </c>
      <c r="E10" s="174"/>
      <c r="F10" s="183" t="s">
        <v>721</v>
      </c>
      <c r="G10" s="319">
        <v>2.2000000000000002</v>
      </c>
      <c r="H10" s="176" t="s">
        <v>720</v>
      </c>
      <c r="I10" s="174"/>
      <c r="J10" s="177"/>
      <c r="K10" s="184"/>
      <c r="L10" s="178"/>
      <c r="M10" s="174"/>
      <c r="N10" s="179"/>
      <c r="Z10" s="179"/>
    </row>
    <row r="11" spans="1:26" ht="15" x14ac:dyDescent="0.25">
      <c r="B11" s="183" t="s">
        <v>722</v>
      </c>
      <c r="C11" s="319">
        <v>20</v>
      </c>
      <c r="D11" s="176" t="s">
        <v>720</v>
      </c>
      <c r="F11" s="183" t="s">
        <v>722</v>
      </c>
      <c r="G11" s="319">
        <v>20</v>
      </c>
      <c r="H11" s="176" t="s">
        <v>720</v>
      </c>
      <c r="J11" s="168"/>
      <c r="K11" s="182"/>
      <c r="L11" s="169"/>
      <c r="N11" s="171"/>
      <c r="Z11" s="171"/>
    </row>
    <row r="12" spans="1:26" s="180" customFormat="1" ht="15" x14ac:dyDescent="0.25">
      <c r="A12" s="174"/>
      <c r="B12" s="172" t="s">
        <v>931</v>
      </c>
      <c r="C12" s="181">
        <f>C22*C20*(1-C20)/(C11/1000000*C7)</f>
        <v>1.0147876814543479</v>
      </c>
      <c r="D12" s="173" t="s">
        <v>727</v>
      </c>
      <c r="E12" s="174"/>
      <c r="F12" s="172" t="s">
        <v>931</v>
      </c>
      <c r="G12" s="315">
        <f>G22*G20*(1-G20)/(G11/1000000*G7)</f>
        <v>0.12479145812479145</v>
      </c>
      <c r="H12" s="173" t="s">
        <v>727</v>
      </c>
      <c r="I12" s="174"/>
      <c r="J12" s="177"/>
      <c r="K12" s="184"/>
      <c r="L12" s="178"/>
      <c r="M12" s="174"/>
      <c r="N12" s="179"/>
      <c r="Z12" s="179"/>
    </row>
    <row r="13" spans="1:26" ht="15" x14ac:dyDescent="0.25">
      <c r="B13" s="324" t="s">
        <v>939</v>
      </c>
      <c r="C13" s="310">
        <f>1000/(2*PI()*SQRT(C8*C11))</f>
        <v>35.588127170858854</v>
      </c>
      <c r="D13" s="173" t="s">
        <v>927</v>
      </c>
      <c r="E13" s="174"/>
      <c r="F13" s="324" t="s">
        <v>939</v>
      </c>
      <c r="G13" s="310">
        <f>1000/(2*PI()*SQRT(G8*G11))</f>
        <v>112.53953951963827</v>
      </c>
      <c r="H13" s="173" t="s">
        <v>927</v>
      </c>
      <c r="N13" s="171"/>
      <c r="Z13" s="171"/>
    </row>
    <row r="14" spans="1:26" ht="15" x14ac:dyDescent="0.25">
      <c r="B14" s="172" t="s">
        <v>934</v>
      </c>
      <c r="C14" s="310">
        <f>C18^2/(C19*C22)</f>
        <v>11.045454545454545</v>
      </c>
      <c r="D14" s="173" t="s">
        <v>935</v>
      </c>
      <c r="E14" s="174"/>
      <c r="F14" s="172" t="s">
        <v>934</v>
      </c>
      <c r="G14" s="310">
        <f>G18^2/(G19*G22)</f>
        <v>18.40909090909091</v>
      </c>
      <c r="H14" s="173" t="s">
        <v>935</v>
      </c>
      <c r="N14" s="171"/>
      <c r="Z14" s="171"/>
    </row>
    <row r="15" spans="1:26" ht="15" x14ac:dyDescent="0.25">
      <c r="B15" s="172" t="s">
        <v>936</v>
      </c>
      <c r="C15" s="181">
        <f>SQRT(C8/C11)</f>
        <v>0.22360679774997896</v>
      </c>
      <c r="D15" s="173" t="s">
        <v>935</v>
      </c>
      <c r="E15" s="174"/>
      <c r="F15" s="172" t="s">
        <v>936</v>
      </c>
      <c r="G15" s="181">
        <f>SQRT(G8/G11)</f>
        <v>7.0710678118654752E-2</v>
      </c>
      <c r="H15" s="173" t="s">
        <v>935</v>
      </c>
      <c r="N15" s="171"/>
      <c r="Z15" s="171"/>
    </row>
    <row r="16" spans="1:26" ht="15" x14ac:dyDescent="0.25">
      <c r="N16" s="171"/>
      <c r="Z16" s="171"/>
    </row>
    <row r="17" spans="1:26" ht="15" x14ac:dyDescent="0.25">
      <c r="B17" s="518" t="s">
        <v>723</v>
      </c>
      <c r="C17" s="518"/>
      <c r="D17" s="518"/>
      <c r="F17" s="518" t="s">
        <v>724</v>
      </c>
      <c r="G17" s="518"/>
      <c r="H17" s="518"/>
      <c r="J17" s="519" t="s">
        <v>725</v>
      </c>
      <c r="K17" s="519"/>
      <c r="L17" s="519"/>
      <c r="N17" s="171"/>
      <c r="Z17" s="171"/>
    </row>
    <row r="18" spans="1:26" ht="15" x14ac:dyDescent="0.25">
      <c r="B18" s="185" t="s">
        <v>726</v>
      </c>
      <c r="C18" s="186">
        <v>13.5</v>
      </c>
      <c r="D18" s="187" t="s">
        <v>727</v>
      </c>
      <c r="F18" s="185" t="s">
        <v>726</v>
      </c>
      <c r="G18" s="186">
        <v>13.5</v>
      </c>
      <c r="H18" s="187" t="s">
        <v>727</v>
      </c>
      <c r="J18" s="188" t="s">
        <v>728</v>
      </c>
      <c r="K18" s="317">
        <v>5</v>
      </c>
      <c r="L18" s="190" t="s">
        <v>727</v>
      </c>
      <c r="N18" s="171"/>
      <c r="Z18" s="171"/>
    </row>
    <row r="19" spans="1:26" ht="15" x14ac:dyDescent="0.25">
      <c r="B19" s="185" t="s">
        <v>729</v>
      </c>
      <c r="C19" s="186">
        <v>3.3</v>
      </c>
      <c r="D19" s="187" t="s">
        <v>727</v>
      </c>
      <c r="F19" s="185" t="s">
        <v>729</v>
      </c>
      <c r="G19" s="186">
        <f>C19</f>
        <v>3.3</v>
      </c>
      <c r="H19" s="187" t="s">
        <v>727</v>
      </c>
      <c r="J19" s="188" t="s">
        <v>932</v>
      </c>
      <c r="K19" s="322" t="s">
        <v>945</v>
      </c>
      <c r="L19" s="190" t="s">
        <v>727</v>
      </c>
      <c r="N19" s="171"/>
      <c r="Z19" s="171"/>
    </row>
    <row r="20" spans="1:26" ht="15" x14ac:dyDescent="0.25">
      <c r="B20" s="185" t="s">
        <v>933</v>
      </c>
      <c r="C20" s="191">
        <f>C19/C18</f>
        <v>0.24444444444444444</v>
      </c>
      <c r="D20" s="187"/>
      <c r="F20" s="185" t="s">
        <v>933</v>
      </c>
      <c r="G20" s="191">
        <f>G19/G18</f>
        <v>0.24444444444444444</v>
      </c>
      <c r="H20" s="187"/>
      <c r="J20" s="188" t="s">
        <v>930</v>
      </c>
      <c r="K20" s="318">
        <v>0.6</v>
      </c>
      <c r="L20" s="190" t="s">
        <v>727</v>
      </c>
      <c r="N20" s="171"/>
      <c r="Z20" s="171"/>
    </row>
    <row r="21" spans="1:26" ht="15" x14ac:dyDescent="0.25">
      <c r="B21" s="185" t="s">
        <v>730</v>
      </c>
      <c r="C21" s="173">
        <v>455</v>
      </c>
      <c r="D21" s="187" t="s">
        <v>716</v>
      </c>
      <c r="F21" s="185" t="s">
        <v>730</v>
      </c>
      <c r="G21" s="193">
        <v>2.2200000000000002</v>
      </c>
      <c r="H21" s="190" t="s">
        <v>929</v>
      </c>
      <c r="J21" s="188" t="s">
        <v>933</v>
      </c>
      <c r="K21" s="192">
        <f>1-K18/(K19+K20)</f>
        <v>0.21135646687697163</v>
      </c>
      <c r="L21" s="190"/>
      <c r="N21" s="171"/>
      <c r="Z21" s="171"/>
    </row>
    <row r="22" spans="1:26" ht="15" x14ac:dyDescent="0.25">
      <c r="B22" s="185" t="s">
        <v>732</v>
      </c>
      <c r="C22" s="311">
        <v>5</v>
      </c>
      <c r="D22" s="187" t="s">
        <v>733</v>
      </c>
      <c r="F22" s="185" t="s">
        <v>732</v>
      </c>
      <c r="G22" s="311">
        <v>3</v>
      </c>
      <c r="H22" s="187" t="s">
        <v>733</v>
      </c>
      <c r="J22" s="188" t="s">
        <v>731</v>
      </c>
      <c r="K22" s="193">
        <v>2.2200000000000002</v>
      </c>
      <c r="L22" s="190" t="s">
        <v>929</v>
      </c>
      <c r="N22" s="171"/>
      <c r="Z22" s="171"/>
    </row>
    <row r="23" spans="1:26" ht="15" x14ac:dyDescent="0.25">
      <c r="B23" s="185" t="s">
        <v>735</v>
      </c>
      <c r="C23" s="181">
        <f>C22+(C22*C30/2/100)</f>
        <v>5.5829631361546257</v>
      </c>
      <c r="D23" s="187" t="s">
        <v>733</v>
      </c>
      <c r="F23" s="185" t="s">
        <v>735</v>
      </c>
      <c r="G23" s="181">
        <f>G22+(G22*G30/2/100)</f>
        <v>3.2552552552552552</v>
      </c>
      <c r="H23" s="187" t="s">
        <v>733</v>
      </c>
      <c r="J23" s="188" t="s">
        <v>734</v>
      </c>
      <c r="K23" s="317">
        <v>2</v>
      </c>
      <c r="L23" s="190" t="s">
        <v>733</v>
      </c>
      <c r="N23" s="171"/>
      <c r="Z23" s="171"/>
    </row>
    <row r="24" spans="1:26" ht="15" x14ac:dyDescent="0.25">
      <c r="B24" s="185" t="s">
        <v>736</v>
      </c>
      <c r="C24" s="186">
        <v>30</v>
      </c>
      <c r="D24" s="187" t="s">
        <v>737</v>
      </c>
      <c r="F24" s="185" t="s">
        <v>736</v>
      </c>
      <c r="G24" s="186">
        <v>30</v>
      </c>
      <c r="H24" s="187" t="s">
        <v>737</v>
      </c>
      <c r="J24" s="188" t="s">
        <v>947</v>
      </c>
      <c r="K24" s="357">
        <f>(1+K25/2/100)*K23/(1-K21)</f>
        <v>2.6628000000000003</v>
      </c>
      <c r="L24" s="190" t="s">
        <v>733</v>
      </c>
      <c r="N24" s="171"/>
      <c r="Z24" s="171"/>
    </row>
    <row r="25" spans="1:26" ht="15" x14ac:dyDescent="0.25">
      <c r="B25" s="185" t="s">
        <v>738</v>
      </c>
      <c r="C25" s="186">
        <v>20</v>
      </c>
      <c r="D25" s="187" t="s">
        <v>739</v>
      </c>
      <c r="F25" s="185" t="s">
        <v>738</v>
      </c>
      <c r="G25" s="186">
        <v>20</v>
      </c>
      <c r="H25" s="187" t="s">
        <v>739</v>
      </c>
      <c r="J25" s="188" t="s">
        <v>736</v>
      </c>
      <c r="K25" s="317">
        <v>10</v>
      </c>
      <c r="L25" s="190" t="s">
        <v>737</v>
      </c>
      <c r="N25" s="171"/>
      <c r="Z25" s="171"/>
    </row>
    <row r="26" spans="1:26" ht="15" x14ac:dyDescent="0.25">
      <c r="B26" s="304" t="s">
        <v>923</v>
      </c>
      <c r="C26" s="186">
        <v>100</v>
      </c>
      <c r="D26" s="187" t="s">
        <v>739</v>
      </c>
      <c r="F26" s="304" t="s">
        <v>923</v>
      </c>
      <c r="G26" s="186">
        <v>100</v>
      </c>
      <c r="H26" s="187" t="s">
        <v>739</v>
      </c>
      <c r="J26" s="188" t="s">
        <v>738</v>
      </c>
      <c r="K26" s="317">
        <v>20</v>
      </c>
      <c r="L26" s="190" t="s">
        <v>739</v>
      </c>
      <c r="N26" s="171"/>
      <c r="Z26" s="171"/>
    </row>
    <row r="27" spans="1:26" ht="15" x14ac:dyDescent="0.25">
      <c r="B27" s="304" t="s">
        <v>924</v>
      </c>
      <c r="C27" s="186">
        <v>1.5</v>
      </c>
      <c r="D27" s="187" t="s">
        <v>733</v>
      </c>
      <c r="F27" s="304" t="s">
        <v>924</v>
      </c>
      <c r="G27" s="186">
        <v>1.5</v>
      </c>
      <c r="H27" s="187" t="s">
        <v>733</v>
      </c>
      <c r="J27" s="304" t="s">
        <v>923</v>
      </c>
      <c r="K27" s="189">
        <v>250</v>
      </c>
      <c r="L27" s="190" t="s">
        <v>739</v>
      </c>
      <c r="N27" s="171"/>
      <c r="Z27" s="171"/>
    </row>
    <row r="28" spans="1:26" s="180" customFormat="1" ht="15" x14ac:dyDescent="0.25">
      <c r="A28" s="174"/>
      <c r="B28" s="185" t="s">
        <v>740</v>
      </c>
      <c r="C28" s="181">
        <f>1000*((C19*(C18-C19))/(C24/100*C18*C22*C21))</f>
        <v>3.6532356532356531</v>
      </c>
      <c r="D28" s="187" t="s">
        <v>718</v>
      </c>
      <c r="E28" s="166"/>
      <c r="F28" s="185" t="s">
        <v>740</v>
      </c>
      <c r="G28" s="181">
        <f>((G19*(G18-G19))/(G24/100*G18*G22*G21))</f>
        <v>1.2479145812479144</v>
      </c>
      <c r="H28" s="187" t="s">
        <v>718</v>
      </c>
      <c r="I28" s="166"/>
      <c r="J28" s="304" t="s">
        <v>924</v>
      </c>
      <c r="K28" s="318">
        <v>1</v>
      </c>
      <c r="L28" s="190" t="s">
        <v>733</v>
      </c>
      <c r="M28" s="174"/>
      <c r="N28" s="179"/>
      <c r="Z28" s="179"/>
    </row>
    <row r="29" spans="1:26" s="204" customFormat="1" ht="25.5" x14ac:dyDescent="0.25">
      <c r="A29" s="199"/>
      <c r="B29" s="195" t="s">
        <v>742</v>
      </c>
      <c r="C29" s="219">
        <v>4.7</v>
      </c>
      <c r="D29" s="196" t="s">
        <v>718</v>
      </c>
      <c r="E29" s="174"/>
      <c r="F29" s="195" t="s">
        <v>743</v>
      </c>
      <c r="G29" s="219">
        <v>2.2000000000000002</v>
      </c>
      <c r="H29" s="196" t="s">
        <v>718</v>
      </c>
      <c r="I29" s="174"/>
      <c r="J29" s="188" t="s">
        <v>741</v>
      </c>
      <c r="K29" s="316">
        <f>(K18*K18*(K19-K18))/(K25/100*K19*K19*K23*K22)</f>
        <v>1.2646343486829592</v>
      </c>
      <c r="L29" s="190" t="s">
        <v>718</v>
      </c>
      <c r="M29" s="199"/>
      <c r="N29" s="203"/>
      <c r="Z29" s="203"/>
    </row>
    <row r="30" spans="1:26" ht="25.5" x14ac:dyDescent="0.25">
      <c r="B30" s="200" t="s">
        <v>745</v>
      </c>
      <c r="C30" s="310">
        <f>100*(C19*(C18-C19))/(C29/1000*C18*C22*C21)</f>
        <v>23.318525446185014</v>
      </c>
      <c r="D30" s="201" t="s">
        <v>737</v>
      </c>
      <c r="E30" s="199"/>
      <c r="F30" s="200" t="s">
        <v>745</v>
      </c>
      <c r="G30" s="310">
        <f>100*(G19*(G18-G19))/(G29*G18*G22*G21)</f>
        <v>17.017017017017011</v>
      </c>
      <c r="H30" s="201" t="s">
        <v>737</v>
      </c>
      <c r="I30" s="199"/>
      <c r="J30" s="197" t="s">
        <v>744</v>
      </c>
      <c r="K30" s="306">
        <v>2.2000000000000002</v>
      </c>
      <c r="L30" s="198" t="s">
        <v>718</v>
      </c>
      <c r="N30" s="171"/>
      <c r="Z30" s="171"/>
    </row>
    <row r="31" spans="1:26" ht="15" x14ac:dyDescent="0.25">
      <c r="B31" s="185" t="s">
        <v>746</v>
      </c>
      <c r="C31" s="310">
        <f>1000*(C22*C24/100)/(C25/1000*8*C21)</f>
        <v>20.604395604395606</v>
      </c>
      <c r="D31" s="187" t="s">
        <v>720</v>
      </c>
      <c r="F31" s="185" t="s">
        <v>746</v>
      </c>
      <c r="G31" s="310">
        <f>(G22*G24/100)/(G25/1000*8*G21)</f>
        <v>2.5337837837837838</v>
      </c>
      <c r="H31" s="187" t="s">
        <v>720</v>
      </c>
      <c r="J31" s="202" t="s">
        <v>745</v>
      </c>
      <c r="K31" s="308">
        <f>100*(K18*K18*(K19-K18))/(K30*K19*K19*K23*K22)</f>
        <v>5.7483379485589063</v>
      </c>
      <c r="L31" s="194" t="s">
        <v>737</v>
      </c>
      <c r="N31" s="171"/>
      <c r="Z31" s="171"/>
    </row>
    <row r="32" spans="1:26" s="180" customFormat="1" ht="25.5" x14ac:dyDescent="0.25">
      <c r="A32" s="174"/>
      <c r="B32" s="205" t="s">
        <v>748</v>
      </c>
      <c r="C32" s="312">
        <f>1000000*C27/(2*PI()*C38*C26)</f>
        <v>52.468662557767701</v>
      </c>
      <c r="D32" s="187" t="s">
        <v>720</v>
      </c>
      <c r="E32" s="166"/>
      <c r="F32" s="205" t="s">
        <v>748</v>
      </c>
      <c r="G32" s="312">
        <f>1000000*G27/(2*PI()*G38*G26)</f>
        <v>16.130568556611014</v>
      </c>
      <c r="H32" s="187" t="s">
        <v>720</v>
      </c>
      <c r="I32" s="166"/>
      <c r="J32" s="202" t="s">
        <v>747</v>
      </c>
      <c r="K32" s="308">
        <f>((1-K18/K19)*K23)/(K22*K26/1000)</f>
        <v>5.8072009291521498</v>
      </c>
      <c r="L32" s="190" t="s">
        <v>720</v>
      </c>
      <c r="M32" s="174"/>
      <c r="N32" s="179"/>
      <c r="Z32" s="179"/>
    </row>
    <row r="33" spans="1:26" s="204" customFormat="1" ht="25.5" x14ac:dyDescent="0.25">
      <c r="A33" s="166"/>
      <c r="B33" s="175" t="s">
        <v>750</v>
      </c>
      <c r="C33" s="219">
        <v>55</v>
      </c>
      <c r="D33" s="196" t="s">
        <v>720</v>
      </c>
      <c r="E33" s="174"/>
      <c r="F33" s="175" t="s">
        <v>750</v>
      </c>
      <c r="G33" s="219">
        <v>22</v>
      </c>
      <c r="H33" s="196" t="s">
        <v>720</v>
      </c>
      <c r="I33" s="174"/>
      <c r="J33" s="206" t="s">
        <v>749</v>
      </c>
      <c r="K33" s="308">
        <f>1000000*K28/(2*3.14156*12000*K27/1000)</f>
        <v>53.052199119757908</v>
      </c>
      <c r="L33" s="190" t="s">
        <v>720</v>
      </c>
      <c r="M33" s="166"/>
      <c r="N33" s="203"/>
      <c r="Z33" s="203"/>
    </row>
    <row r="34" spans="1:26" s="204" customFormat="1" ht="15" x14ac:dyDescent="0.25">
      <c r="A34" s="166"/>
      <c r="B34" s="185" t="s">
        <v>752</v>
      </c>
      <c r="C34" s="208">
        <f>1000*C27/(2*3.14156*C33/1000*C38)</f>
        <v>95.398559855708541</v>
      </c>
      <c r="D34" s="187" t="s">
        <v>739</v>
      </c>
      <c r="E34" s="166"/>
      <c r="F34" s="185" t="s">
        <v>752</v>
      </c>
      <c r="G34" s="208">
        <f>1000*G27/(2*3.14156*G33*G38)</f>
        <v>7.3321528267478675E-2</v>
      </c>
      <c r="H34" s="187" t="s">
        <v>739</v>
      </c>
      <c r="I34" s="166"/>
      <c r="J34" s="207" t="s">
        <v>751</v>
      </c>
      <c r="K34" s="306">
        <v>22</v>
      </c>
      <c r="L34" s="198" t="s">
        <v>720</v>
      </c>
      <c r="M34" s="166"/>
      <c r="N34" s="203"/>
      <c r="Z34" s="203"/>
    </row>
    <row r="35" spans="1:26" s="204" customFormat="1" ht="15" x14ac:dyDescent="0.25">
      <c r="A35" s="166"/>
      <c r="B35" s="172" t="s">
        <v>753</v>
      </c>
      <c r="C35" s="311">
        <v>15</v>
      </c>
      <c r="D35" s="187" t="s">
        <v>754</v>
      </c>
      <c r="E35" s="166"/>
      <c r="F35" s="172" t="s">
        <v>753</v>
      </c>
      <c r="G35" s="311">
        <v>20</v>
      </c>
      <c r="H35" s="187" t="s">
        <v>754</v>
      </c>
      <c r="I35" s="166"/>
      <c r="J35" s="202" t="s">
        <v>928</v>
      </c>
      <c r="K35" s="209">
        <f>1000*K28/(2*3.14156*K34/1000000*1000*K41)</f>
        <v>175.0037554453958</v>
      </c>
      <c r="L35" s="190" t="s">
        <v>739</v>
      </c>
      <c r="M35" s="166"/>
      <c r="N35" s="203"/>
      <c r="Z35" s="203"/>
    </row>
    <row r="36" spans="1:26" s="204" customFormat="1" ht="25.5" x14ac:dyDescent="0.25">
      <c r="A36" s="177"/>
      <c r="B36" s="185" t="s">
        <v>757</v>
      </c>
      <c r="C36" s="310">
        <f>((C22*C30/100)/(C33/1000000*8*C21)+(C35/1000*C22*C30/100))</f>
        <v>5.841296448076899</v>
      </c>
      <c r="D36" s="173" t="s">
        <v>739</v>
      </c>
      <c r="E36" s="166"/>
      <c r="F36" s="185" t="s">
        <v>757</v>
      </c>
      <c r="G36" s="310">
        <f>1000*((G22*G30/100)/(G33*8*G21)+(G35/1000*G22*G30/100))</f>
        <v>11.516799354637188</v>
      </c>
      <c r="H36" s="173" t="s">
        <v>739</v>
      </c>
      <c r="I36" s="166"/>
      <c r="J36" s="206" t="s">
        <v>755</v>
      </c>
      <c r="K36" s="353">
        <f>0.466/K24</f>
        <v>0.17500375544539581</v>
      </c>
      <c r="L36" s="210" t="s">
        <v>756</v>
      </c>
      <c r="M36" s="177"/>
      <c r="N36" s="203"/>
      <c r="Z36" s="203"/>
    </row>
    <row r="37" spans="1:26" s="204" customFormat="1" ht="15" x14ac:dyDescent="0.25">
      <c r="A37" s="166"/>
      <c r="B37" s="172" t="s">
        <v>759</v>
      </c>
      <c r="C37" s="186">
        <v>15</v>
      </c>
      <c r="D37" s="187" t="s">
        <v>754</v>
      </c>
      <c r="E37" s="177"/>
      <c r="F37" s="172" t="s">
        <v>759</v>
      </c>
      <c r="G37" s="186">
        <v>10</v>
      </c>
      <c r="H37" s="187" t="s">
        <v>754</v>
      </c>
      <c r="I37" s="177"/>
      <c r="J37" s="206" t="s">
        <v>758</v>
      </c>
      <c r="K37" s="309">
        <v>12</v>
      </c>
      <c r="L37" s="193" t="s">
        <v>927</v>
      </c>
      <c r="M37" s="166"/>
      <c r="N37" s="203"/>
      <c r="Z37" s="203"/>
    </row>
    <row r="38" spans="1:26" ht="15" x14ac:dyDescent="0.25">
      <c r="B38" s="185" t="s">
        <v>761</v>
      </c>
      <c r="C38" s="212">
        <f>C21/10</f>
        <v>45.5</v>
      </c>
      <c r="D38" s="187" t="s">
        <v>927</v>
      </c>
      <c r="F38" s="185" t="s">
        <v>762</v>
      </c>
      <c r="G38" s="212">
        <f>1000*G21/15</f>
        <v>148</v>
      </c>
      <c r="H38" s="187" t="s">
        <v>927</v>
      </c>
      <c r="J38" s="206" t="s">
        <v>760</v>
      </c>
      <c r="K38" s="215">
        <f>1/(2*3.14156*K43*K44/1000000)</f>
        <v>1.6976703718322532</v>
      </c>
      <c r="L38" s="193" t="s">
        <v>927</v>
      </c>
      <c r="N38" s="171"/>
      <c r="Z38" s="171"/>
    </row>
    <row r="39" spans="1:26" ht="25.5" x14ac:dyDescent="0.25">
      <c r="B39" s="213" t="s">
        <v>764</v>
      </c>
      <c r="C39" s="216">
        <f>C38/10</f>
        <v>4.55</v>
      </c>
      <c r="D39" s="187" t="s">
        <v>927</v>
      </c>
      <c r="F39" s="213" t="s">
        <v>764</v>
      </c>
      <c r="G39" s="313">
        <f>G38/10</f>
        <v>14.8</v>
      </c>
      <c r="H39" s="187" t="s">
        <v>927</v>
      </c>
      <c r="J39" s="206" t="s">
        <v>763</v>
      </c>
      <c r="K39" s="211">
        <f>1/(2*3.14156*K43*K45/1000000)</f>
        <v>106.10439823951583</v>
      </c>
      <c r="L39" s="193" t="s">
        <v>927</v>
      </c>
      <c r="N39" s="171"/>
      <c r="Z39" s="171"/>
    </row>
    <row r="40" spans="1:26" ht="15" x14ac:dyDescent="0.25">
      <c r="B40" s="213" t="s">
        <v>766</v>
      </c>
      <c r="C40" s="214">
        <f>C21/2</f>
        <v>227.5</v>
      </c>
      <c r="D40" s="187" t="s">
        <v>927</v>
      </c>
      <c r="F40" s="213" t="s">
        <v>767</v>
      </c>
      <c r="G40" s="173">
        <f>1000*G21/4</f>
        <v>555</v>
      </c>
      <c r="H40" s="187" t="s">
        <v>927</v>
      </c>
      <c r="J40" s="202" t="s">
        <v>860</v>
      </c>
      <c r="K40" s="215">
        <v>7</v>
      </c>
      <c r="L40" s="193" t="s">
        <v>765</v>
      </c>
      <c r="N40" s="171"/>
      <c r="Z40" s="171"/>
    </row>
    <row r="41" spans="1:26" ht="15" x14ac:dyDescent="0.25">
      <c r="B41" s="172" t="s">
        <v>859</v>
      </c>
      <c r="C41" s="216">
        <v>1.5</v>
      </c>
      <c r="D41" s="173" t="s">
        <v>769</v>
      </c>
      <c r="F41" s="172" t="s">
        <v>859</v>
      </c>
      <c r="G41" s="216">
        <v>1.5</v>
      </c>
      <c r="H41" s="173" t="s">
        <v>769</v>
      </c>
      <c r="J41" s="202" t="s">
        <v>768</v>
      </c>
      <c r="K41" s="309">
        <f>1/(2*3.14156*K34/1000*K36)</f>
        <v>41.338488826402077</v>
      </c>
      <c r="L41" s="193" t="s">
        <v>927</v>
      </c>
      <c r="N41" s="171"/>
      <c r="Z41" s="171"/>
    </row>
    <row r="42" spans="1:26" ht="15" x14ac:dyDescent="0.25">
      <c r="B42" s="172" t="s">
        <v>771</v>
      </c>
      <c r="C42" s="313">
        <f>1/(C37/1000*5*2*3.14156*C33/1000)</f>
        <v>38.58341754164212</v>
      </c>
      <c r="D42" s="187" t="s">
        <v>927</v>
      </c>
      <c r="F42" s="172" t="s">
        <v>771</v>
      </c>
      <c r="G42" s="214">
        <f>1/(G37/1000*5*2*3.14156*G33/1000)</f>
        <v>144.68781578115792</v>
      </c>
      <c r="H42" s="187" t="s">
        <v>927</v>
      </c>
      <c r="J42" s="202" t="s">
        <v>770</v>
      </c>
      <c r="K42" s="215">
        <f>K37/K41</f>
        <v>0.2902863733213159</v>
      </c>
      <c r="L42" s="190"/>
      <c r="N42" s="171"/>
      <c r="Z42" s="171"/>
    </row>
    <row r="43" spans="1:26" ht="15" x14ac:dyDescent="0.25">
      <c r="B43" s="172" t="s">
        <v>770</v>
      </c>
      <c r="C43" s="217">
        <f>10^LOG10(C38/C42)</f>
        <v>1.1792630849999999</v>
      </c>
      <c r="D43" s="187"/>
      <c r="F43" s="172" t="s">
        <v>770</v>
      </c>
      <c r="G43" s="217">
        <f>10^LOG10(G38/G42)</f>
        <v>1.0228919360000002</v>
      </c>
      <c r="H43" s="187"/>
      <c r="J43" s="197" t="s">
        <v>926</v>
      </c>
      <c r="K43" s="307">
        <v>750</v>
      </c>
      <c r="L43" s="198" t="s">
        <v>772</v>
      </c>
      <c r="N43" s="171"/>
      <c r="Z43" s="171"/>
    </row>
    <row r="44" spans="1:26" s="180" customFormat="1" ht="15" x14ac:dyDescent="0.25">
      <c r="A44" s="166"/>
      <c r="B44" s="172" t="s">
        <v>775</v>
      </c>
      <c r="C44" s="181">
        <f>C19*C43/C41</f>
        <v>2.5943787869999997</v>
      </c>
      <c r="D44" s="187" t="s">
        <v>772</v>
      </c>
      <c r="E44" s="166"/>
      <c r="F44" s="172" t="s">
        <v>775</v>
      </c>
      <c r="G44" s="181">
        <f>G19*G43/G41</f>
        <v>2.2503622592000001</v>
      </c>
      <c r="H44" s="187" t="s">
        <v>772</v>
      </c>
      <c r="I44" s="166"/>
      <c r="J44" s="197" t="s">
        <v>773</v>
      </c>
      <c r="K44" s="307">
        <v>125</v>
      </c>
      <c r="L44" s="218" t="s">
        <v>774</v>
      </c>
      <c r="M44" s="166"/>
      <c r="N44" s="179"/>
      <c r="Z44" s="179"/>
    </row>
    <row r="45" spans="1:26" ht="15" x14ac:dyDescent="0.25">
      <c r="B45" s="175" t="s">
        <v>777</v>
      </c>
      <c r="C45" s="219">
        <v>3.57</v>
      </c>
      <c r="D45" s="196" t="s">
        <v>772</v>
      </c>
      <c r="F45" s="175" t="s">
        <v>777</v>
      </c>
      <c r="G45" s="219">
        <v>4.3</v>
      </c>
      <c r="H45" s="196" t="s">
        <v>772</v>
      </c>
      <c r="J45" s="202" t="s">
        <v>776</v>
      </c>
      <c r="K45" s="215">
        <v>2</v>
      </c>
      <c r="L45" s="193" t="s">
        <v>774</v>
      </c>
      <c r="N45" s="171"/>
      <c r="O45" s="223"/>
      <c r="Z45" s="171"/>
    </row>
    <row r="46" spans="1:26" s="180" customFormat="1" ht="15" x14ac:dyDescent="0.25">
      <c r="A46" s="166"/>
      <c r="B46" s="172" t="s">
        <v>780</v>
      </c>
      <c r="C46" s="181">
        <f>1000000/(2*3.14156*C45*1000*C39)</f>
        <v>9.798171413751577</v>
      </c>
      <c r="D46" s="173" t="s">
        <v>781</v>
      </c>
      <c r="E46" s="166"/>
      <c r="F46" s="172" t="s">
        <v>780</v>
      </c>
      <c r="G46" s="181">
        <f>1000000/(2*3.14156*G45*1000*G39)</f>
        <v>2.5008893362550868</v>
      </c>
      <c r="H46" s="173" t="s">
        <v>781</v>
      </c>
      <c r="I46" s="166"/>
      <c r="J46" s="220" t="s">
        <v>778</v>
      </c>
      <c r="K46" s="221">
        <f>1000*(K19+0.6-K18)/K30</f>
        <v>609.09090909090889</v>
      </c>
      <c r="L46" s="222" t="s">
        <v>779</v>
      </c>
      <c r="M46" s="166"/>
      <c r="N46" s="179"/>
      <c r="O46" s="224"/>
      <c r="Z46" s="179"/>
    </row>
    <row r="47" spans="1:26" ht="25.5" x14ac:dyDescent="0.25">
      <c r="B47" s="175" t="s">
        <v>784</v>
      </c>
      <c r="C47" s="219">
        <v>6.8</v>
      </c>
      <c r="D47" s="176" t="s">
        <v>781</v>
      </c>
      <c r="F47" s="175" t="s">
        <v>784</v>
      </c>
      <c r="G47" s="219">
        <v>2.7</v>
      </c>
      <c r="H47" s="176" t="s">
        <v>781</v>
      </c>
      <c r="J47" s="206" t="s">
        <v>782</v>
      </c>
      <c r="K47" s="209">
        <f>K46*K36</f>
        <v>106.59319649855924</v>
      </c>
      <c r="L47" s="194" t="s">
        <v>783</v>
      </c>
      <c r="N47" s="171"/>
      <c r="O47" s="223"/>
      <c r="Z47" s="171"/>
    </row>
    <row r="48" spans="1:26" ht="15" x14ac:dyDescent="0.25">
      <c r="B48" s="172" t="s">
        <v>785</v>
      </c>
      <c r="C48" s="310">
        <f>1000000000/(2*3.14156*C45*1000*C40)</f>
        <v>195.96342827503156</v>
      </c>
      <c r="D48" s="173" t="s">
        <v>774</v>
      </c>
      <c r="F48" s="172" t="s">
        <v>785</v>
      </c>
      <c r="G48" s="310">
        <f>1000000000/(2*3.14156*G45*1000*G40)</f>
        <v>66.690382300135653</v>
      </c>
      <c r="H48" s="173" t="s">
        <v>774</v>
      </c>
      <c r="J48" s="168"/>
      <c r="K48" s="182"/>
      <c r="L48" s="169"/>
      <c r="N48" s="171"/>
      <c r="Z48" s="171"/>
    </row>
    <row r="49" spans="1:26" ht="15" x14ac:dyDescent="0.25">
      <c r="A49" s="174"/>
      <c r="B49" s="175" t="s">
        <v>786</v>
      </c>
      <c r="C49" s="225">
        <v>150</v>
      </c>
      <c r="D49" s="176" t="s">
        <v>774</v>
      </c>
      <c r="F49" s="175" t="s">
        <v>786</v>
      </c>
      <c r="G49" s="225">
        <v>68</v>
      </c>
      <c r="H49" s="176" t="s">
        <v>774</v>
      </c>
      <c r="J49" s="177"/>
      <c r="K49" s="226"/>
      <c r="L49" s="178"/>
      <c r="M49" s="174"/>
      <c r="N49" s="171"/>
      <c r="Z49" s="171"/>
    </row>
    <row r="50" spans="1:26" ht="15" x14ac:dyDescent="0.25">
      <c r="A50" s="229"/>
      <c r="B50" s="172" t="s">
        <v>787</v>
      </c>
      <c r="C50" s="227">
        <f>1000*C19/C29</f>
        <v>702.12765957446811</v>
      </c>
      <c r="D50" s="173" t="s">
        <v>779</v>
      </c>
      <c r="E50" s="174"/>
      <c r="F50" s="172" t="s">
        <v>787</v>
      </c>
      <c r="G50" s="227">
        <f>1000*G19/G29</f>
        <v>1499.9999999999998</v>
      </c>
      <c r="H50" s="173" t="s">
        <v>779</v>
      </c>
      <c r="I50" s="174"/>
      <c r="J50" s="168"/>
      <c r="K50" s="228"/>
      <c r="L50" s="169"/>
      <c r="M50" s="229"/>
      <c r="N50" s="171"/>
      <c r="Z50" s="171"/>
    </row>
    <row r="51" spans="1:26" ht="25.5" x14ac:dyDescent="0.25">
      <c r="A51" s="168"/>
      <c r="B51" s="213" t="s">
        <v>788</v>
      </c>
      <c r="C51" s="208">
        <f>C50*C37/1000*5</f>
        <v>52.659574468085111</v>
      </c>
      <c r="D51" s="173" t="s">
        <v>783</v>
      </c>
      <c r="E51" s="229"/>
      <c r="F51" s="213" t="s">
        <v>788</v>
      </c>
      <c r="G51" s="208">
        <f>G50*G37/1000*5</f>
        <v>74.999999999999986</v>
      </c>
      <c r="H51" s="173" t="s">
        <v>783</v>
      </c>
      <c r="I51" s="229"/>
      <c r="J51" s="230"/>
      <c r="K51" s="182"/>
      <c r="L51" s="169"/>
      <c r="M51" s="168"/>
      <c r="N51" s="171"/>
      <c r="O51" s="171"/>
      <c r="P51" s="171"/>
      <c r="Q51" s="171"/>
      <c r="R51" s="171"/>
      <c r="S51" s="171"/>
      <c r="T51" s="171"/>
      <c r="U51" s="171"/>
      <c r="V51" s="171"/>
      <c r="W51" s="171"/>
      <c r="X51" s="171"/>
      <c r="Y51" s="171"/>
      <c r="Z51" s="171"/>
    </row>
    <row r="52" spans="1:26" ht="14.25" customHeight="1" x14ac:dyDescent="0.25">
      <c r="B52" s="213" t="s">
        <v>789</v>
      </c>
      <c r="C52" s="208">
        <f>C37*C23</f>
        <v>83.744447042319379</v>
      </c>
      <c r="D52" s="173" t="s">
        <v>739</v>
      </c>
      <c r="E52" s="168"/>
      <c r="F52" s="213" t="s">
        <v>789</v>
      </c>
      <c r="G52" s="208">
        <f>G37*G23</f>
        <v>32.552552552552555</v>
      </c>
      <c r="H52" s="173" t="s">
        <v>739</v>
      </c>
      <c r="I52" s="168"/>
      <c r="J52" s="230"/>
      <c r="K52" s="182"/>
      <c r="L52" s="169"/>
    </row>
    <row r="53" spans="1:26" ht="14.25" customHeight="1" x14ac:dyDescent="0.25">
      <c r="C53" s="166"/>
      <c r="D53" s="166"/>
      <c r="G53" s="166"/>
      <c r="H53" s="166"/>
      <c r="K53" s="166"/>
      <c r="L53" s="166"/>
    </row>
    <row r="54" spans="1:26" ht="14.25" customHeight="1" x14ac:dyDescent="0.25">
      <c r="G54" s="166"/>
      <c r="H54" s="166"/>
      <c r="K54" s="166"/>
      <c r="L54" s="166"/>
    </row>
    <row r="55" spans="1:26" ht="14.25" customHeight="1" x14ac:dyDescent="0.25">
      <c r="G55" s="166"/>
      <c r="H55" s="166"/>
      <c r="K55" s="166"/>
      <c r="L55" s="166"/>
    </row>
    <row r="56" spans="1:26" ht="14.25" customHeight="1" x14ac:dyDescent="0.25">
      <c r="G56" s="166"/>
      <c r="H56" s="166"/>
      <c r="K56" s="166"/>
      <c r="L56" s="166"/>
    </row>
    <row r="57" spans="1:26" ht="14.25" customHeight="1" x14ac:dyDescent="0.25">
      <c r="G57" s="166"/>
      <c r="H57" s="166"/>
      <c r="K57" s="166"/>
      <c r="L57" s="166"/>
    </row>
    <row r="58" spans="1:26" ht="14.25" customHeight="1" x14ac:dyDescent="0.25">
      <c r="G58" s="166"/>
      <c r="H58" s="166"/>
      <c r="K58" s="166"/>
      <c r="L58" s="166"/>
    </row>
    <row r="59" spans="1:26" ht="14.25" customHeight="1" x14ac:dyDescent="0.25">
      <c r="G59" s="166"/>
      <c r="H59" s="166"/>
      <c r="K59" s="166"/>
      <c r="L59" s="166"/>
    </row>
    <row r="60" spans="1:26" ht="14.25" customHeight="1" x14ac:dyDescent="0.25">
      <c r="G60" s="166"/>
      <c r="H60" s="166"/>
      <c r="K60" s="166"/>
      <c r="L60" s="166"/>
    </row>
    <row r="61" spans="1:26" ht="14.25" customHeight="1" x14ac:dyDescent="0.25">
      <c r="G61" s="166"/>
      <c r="H61" s="166"/>
      <c r="K61" s="166"/>
      <c r="L61" s="166"/>
    </row>
    <row r="62" spans="1:26" ht="14.25" customHeight="1" x14ac:dyDescent="0.25">
      <c r="G62" s="166"/>
      <c r="H62" s="166"/>
      <c r="K62" s="166"/>
      <c r="L62" s="166"/>
    </row>
    <row r="63" spans="1:26" ht="14.25" customHeight="1" x14ac:dyDescent="0.25">
      <c r="G63" s="166"/>
      <c r="H63" s="166"/>
      <c r="K63" s="166"/>
      <c r="L63" s="166"/>
    </row>
    <row r="64" spans="1:26" ht="14.25" customHeight="1" x14ac:dyDescent="0.25">
      <c r="G64" s="166"/>
      <c r="H64" s="166"/>
      <c r="K64" s="166"/>
      <c r="L64" s="166"/>
    </row>
    <row r="65" spans="7:12" ht="14.25" customHeight="1" x14ac:dyDescent="0.25">
      <c r="G65" s="166"/>
      <c r="H65" s="166"/>
      <c r="K65" s="166"/>
      <c r="L65" s="166"/>
    </row>
  </sheetData>
  <sheetProtection algorithmName="SHA-512" hashValue="eFhsvgFQ+GUIiIP7zfRKW6iukP6Y76kn17+mAjrAd7miqAbwX63gzOCKFt4e0Y0uCEH3nU5h516QH1FGdVJkCA==" saltValue="dnAnTEP/B4FKQP7Jk1w81Q==" spinCount="100000" sheet="1" objects="1" scenarios="1"/>
  <mergeCells count="16">
    <mergeCell ref="P4:X4"/>
    <mergeCell ref="B6:D6"/>
    <mergeCell ref="F6:H6"/>
    <mergeCell ref="J6:L6"/>
    <mergeCell ref="B2:D2"/>
    <mergeCell ref="F2:H2"/>
    <mergeCell ref="J2:L2"/>
    <mergeCell ref="B3:D3"/>
    <mergeCell ref="F3:H3"/>
    <mergeCell ref="J3:L3"/>
    <mergeCell ref="B17:D17"/>
    <mergeCell ref="F17:H17"/>
    <mergeCell ref="J17:L17"/>
    <mergeCell ref="B4:D4"/>
    <mergeCell ref="F4:H4"/>
    <mergeCell ref="J4:L4"/>
  </mergeCells>
  <conditionalFormatting sqref="C43">
    <cfRule type="cellIs" dxfId="4" priority="5" operator="lessThan">
      <formula>0</formula>
    </cfRule>
  </conditionalFormatting>
  <conditionalFormatting sqref="G43">
    <cfRule type="cellIs" dxfId="3" priority="4" operator="lessThan">
      <formula>0</formula>
    </cfRule>
  </conditionalFormatting>
  <conditionalFormatting sqref="K42">
    <cfRule type="cellIs" dxfId="2" priority="3" operator="lessThan">
      <formula>0</formula>
    </cfRule>
  </conditionalFormatting>
  <conditionalFormatting sqref="K37">
    <cfRule type="cellIs" dxfId="1" priority="1" operator="lessThan">
      <formula>2</formula>
    </cfRule>
    <cfRule type="cellIs" dxfId="0" priority="2" operator="greaterThan">
      <formula>12</formula>
    </cfRule>
  </conditionalFormatting>
  <dataValidations count="2">
    <dataValidation type="list" allowBlank="1" showInputMessage="1" showErrorMessage="1" sqref="K43" xr:uid="{34C8C468-5845-4CB2-AA3E-EB17307D382D}">
      <formula1>"750,500"</formula1>
    </dataValidation>
    <dataValidation type="list" allowBlank="1" showInputMessage="1" showErrorMessage="1" sqref="K19" xr:uid="{FDC8F9D0-0D8E-426A-8781-564BF2294762}">
      <formula1>"5.0,5.74"</formula1>
    </dataValidation>
  </dataValidations>
  <pageMargins left="0.7" right="0.7" top="0.75" bottom="0.75" header="0.3" footer="0.3"/>
  <pageSetup paperSize="9" orientation="portrait" verticalDpi="12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09A4-3B99-428F-AF81-E43BC184EA27}">
  <sheetPr codeName="Sheet5"/>
  <dimension ref="B1:Z74"/>
  <sheetViews>
    <sheetView zoomScale="60" zoomScaleNormal="60" workbookViewId="0">
      <selection activeCell="F169" sqref="F169"/>
    </sheetView>
  </sheetViews>
  <sheetFormatPr defaultColWidth="9.140625" defaultRowHeight="15" x14ac:dyDescent="0.25"/>
  <cols>
    <col min="1" max="1" width="2.7109375" style="1" customWidth="1"/>
    <col min="2" max="13" width="9.140625" style="163"/>
    <col min="14" max="14" width="2.7109375" style="1" customWidth="1"/>
    <col min="15" max="15" width="9.140625" style="113"/>
    <col min="16" max="25" width="9.140625" style="1"/>
    <col min="26" max="26" width="9.140625" style="113"/>
    <col min="27" max="16384" width="9.140625" style="1"/>
  </cols>
  <sheetData>
    <row r="1" spans="2:25" ht="15.75" thickBot="1" x14ac:dyDescent="0.3"/>
    <row r="2" spans="2:25" ht="15.75" thickBot="1" x14ac:dyDescent="0.3">
      <c r="B2" s="533" t="s">
        <v>842</v>
      </c>
      <c r="C2" s="534"/>
      <c r="D2" s="534"/>
      <c r="E2" s="534"/>
      <c r="F2" s="534"/>
      <c r="G2" s="534"/>
      <c r="H2" s="534"/>
      <c r="I2" s="534"/>
      <c r="J2" s="534"/>
      <c r="K2" s="534"/>
      <c r="L2" s="534"/>
      <c r="M2" s="535"/>
      <c r="O2" s="536" t="s">
        <v>843</v>
      </c>
      <c r="P2" s="537"/>
      <c r="Q2" s="537"/>
      <c r="R2" s="537"/>
      <c r="S2" s="537"/>
      <c r="T2" s="537"/>
      <c r="U2" s="537"/>
      <c r="V2" s="537"/>
      <c r="W2" s="537"/>
      <c r="X2" s="537"/>
      <c r="Y2" s="538"/>
    </row>
    <row r="3" spans="2:25" ht="15.75" thickBot="1" x14ac:dyDescent="0.3"/>
    <row r="4" spans="2:25" x14ac:dyDescent="0.25">
      <c r="B4" s="243" t="s">
        <v>844</v>
      </c>
      <c r="C4" s="244"/>
      <c r="D4" s="244"/>
      <c r="E4" s="244"/>
      <c r="F4" s="244"/>
      <c r="G4" s="244"/>
      <c r="H4" s="244"/>
      <c r="I4" s="244"/>
      <c r="J4" s="244"/>
      <c r="K4" s="244"/>
      <c r="L4" s="244"/>
      <c r="M4" s="245"/>
    </row>
    <row r="5" spans="2:25" x14ac:dyDescent="0.25">
      <c r="B5" s="246" t="s">
        <v>845</v>
      </c>
      <c r="C5" s="247"/>
      <c r="D5" s="247"/>
      <c r="E5" s="247"/>
      <c r="F5" s="247"/>
      <c r="G5" s="247"/>
      <c r="H5" s="247"/>
      <c r="I5" s="247"/>
      <c r="J5" s="247"/>
      <c r="K5" s="247"/>
      <c r="L5" s="247"/>
      <c r="M5" s="248"/>
    </row>
    <row r="6" spans="2:25" x14ac:dyDescent="0.25">
      <c r="B6" s="246" t="s">
        <v>846</v>
      </c>
      <c r="C6" s="247"/>
      <c r="D6" s="247"/>
      <c r="E6" s="247"/>
      <c r="F6" s="247"/>
      <c r="G6" s="247"/>
      <c r="H6" s="247"/>
      <c r="I6" s="247"/>
      <c r="J6" s="247"/>
      <c r="K6" s="247"/>
      <c r="L6" s="247"/>
      <c r="M6" s="248"/>
    </row>
    <row r="7" spans="2:25" x14ac:dyDescent="0.25">
      <c r="B7" s="246" t="s">
        <v>847</v>
      </c>
      <c r="C7" s="247"/>
      <c r="D7" s="247"/>
      <c r="E7" s="247"/>
      <c r="F7" s="247"/>
      <c r="G7" s="247"/>
      <c r="H7" s="247"/>
      <c r="I7" s="247"/>
      <c r="J7" s="247"/>
      <c r="K7" s="247"/>
      <c r="L7" s="247"/>
      <c r="M7" s="248"/>
    </row>
    <row r="8" spans="2:25" ht="15.75" thickBot="1" x14ac:dyDescent="0.3">
      <c r="B8" s="249" t="s">
        <v>848</v>
      </c>
      <c r="C8" s="250"/>
      <c r="D8" s="250"/>
      <c r="E8" s="250"/>
      <c r="F8" s="250"/>
      <c r="G8" s="250"/>
      <c r="H8" s="250"/>
      <c r="I8" s="250"/>
      <c r="J8" s="250"/>
      <c r="K8" s="250"/>
      <c r="L8" s="250"/>
      <c r="M8" s="251"/>
    </row>
    <row r="10" spans="2:25" x14ac:dyDescent="0.25">
      <c r="B10" s="252" t="s">
        <v>849</v>
      </c>
      <c r="C10" s="253" t="s">
        <v>850</v>
      </c>
      <c r="D10" s="254" t="s">
        <v>851</v>
      </c>
      <c r="E10" s="255" t="s">
        <v>852</v>
      </c>
      <c r="F10" s="252" t="s">
        <v>849</v>
      </c>
      <c r="G10" s="253" t="s">
        <v>850</v>
      </c>
      <c r="H10" s="254" t="s">
        <v>851</v>
      </c>
      <c r="I10" s="255" t="s">
        <v>852</v>
      </c>
      <c r="J10" s="252" t="s">
        <v>849</v>
      </c>
      <c r="K10" s="253" t="s">
        <v>850</v>
      </c>
      <c r="L10" s="254" t="s">
        <v>851</v>
      </c>
      <c r="M10" s="255" t="s">
        <v>852</v>
      </c>
    </row>
    <row r="11" spans="2:25" x14ac:dyDescent="0.25">
      <c r="B11" s="527">
        <v>100</v>
      </c>
      <c r="C11" s="530">
        <v>100</v>
      </c>
      <c r="D11" s="525">
        <v>100</v>
      </c>
      <c r="E11" s="255">
        <v>100</v>
      </c>
      <c r="F11" s="527">
        <v>220</v>
      </c>
      <c r="G11" s="530">
        <v>215</v>
      </c>
      <c r="H11" s="525">
        <v>215</v>
      </c>
      <c r="I11" s="255">
        <v>215</v>
      </c>
      <c r="J11" s="527">
        <v>470</v>
      </c>
      <c r="K11" s="530">
        <v>464</v>
      </c>
      <c r="L11" s="525">
        <v>464</v>
      </c>
      <c r="M11" s="255">
        <v>464</v>
      </c>
    </row>
    <row r="12" spans="2:25" x14ac:dyDescent="0.25">
      <c r="B12" s="528"/>
      <c r="C12" s="531"/>
      <c r="D12" s="526"/>
      <c r="E12" s="255">
        <v>101</v>
      </c>
      <c r="F12" s="528"/>
      <c r="G12" s="531"/>
      <c r="H12" s="526"/>
      <c r="I12" s="255">
        <v>218</v>
      </c>
      <c r="J12" s="528"/>
      <c r="K12" s="531"/>
      <c r="L12" s="526"/>
      <c r="M12" s="255">
        <v>470</v>
      </c>
    </row>
    <row r="13" spans="2:25" x14ac:dyDescent="0.25">
      <c r="B13" s="528"/>
      <c r="C13" s="531"/>
      <c r="D13" s="525">
        <v>102</v>
      </c>
      <c r="E13" s="255">
        <v>102</v>
      </c>
      <c r="F13" s="528"/>
      <c r="G13" s="531"/>
      <c r="H13" s="525">
        <v>221</v>
      </c>
      <c r="I13" s="255">
        <v>221</v>
      </c>
      <c r="J13" s="528"/>
      <c r="K13" s="531"/>
      <c r="L13" s="525">
        <v>475</v>
      </c>
      <c r="M13" s="255">
        <v>475</v>
      </c>
    </row>
    <row r="14" spans="2:25" x14ac:dyDescent="0.25">
      <c r="B14" s="528"/>
      <c r="C14" s="532"/>
      <c r="D14" s="526"/>
      <c r="E14" s="255">
        <v>104</v>
      </c>
      <c r="F14" s="528"/>
      <c r="G14" s="532"/>
      <c r="H14" s="526"/>
      <c r="I14" s="255">
        <v>223</v>
      </c>
      <c r="J14" s="528"/>
      <c r="K14" s="532"/>
      <c r="L14" s="526"/>
      <c r="M14" s="255">
        <v>481</v>
      </c>
    </row>
    <row r="15" spans="2:25" x14ac:dyDescent="0.25">
      <c r="B15" s="528"/>
      <c r="C15" s="530">
        <v>105</v>
      </c>
      <c r="D15" s="525">
        <v>105</v>
      </c>
      <c r="E15" s="255">
        <v>105</v>
      </c>
      <c r="F15" s="528"/>
      <c r="G15" s="530">
        <v>226</v>
      </c>
      <c r="H15" s="525">
        <v>226</v>
      </c>
      <c r="I15" s="255">
        <v>226</v>
      </c>
      <c r="J15" s="528"/>
      <c r="K15" s="530">
        <v>487</v>
      </c>
      <c r="L15" s="525">
        <v>487</v>
      </c>
      <c r="M15" s="255">
        <v>487</v>
      </c>
    </row>
    <row r="16" spans="2:25" x14ac:dyDescent="0.25">
      <c r="B16" s="528"/>
      <c r="C16" s="531"/>
      <c r="D16" s="526"/>
      <c r="E16" s="255">
        <v>106</v>
      </c>
      <c r="F16" s="528"/>
      <c r="G16" s="531"/>
      <c r="H16" s="526"/>
      <c r="I16" s="255">
        <v>229</v>
      </c>
      <c r="J16" s="528"/>
      <c r="K16" s="531"/>
      <c r="L16" s="526"/>
      <c r="M16" s="255">
        <v>493</v>
      </c>
    </row>
    <row r="17" spans="2:13" x14ac:dyDescent="0.25">
      <c r="B17" s="528"/>
      <c r="C17" s="531"/>
      <c r="D17" s="525">
        <v>107</v>
      </c>
      <c r="E17" s="255">
        <v>107</v>
      </c>
      <c r="F17" s="528"/>
      <c r="G17" s="531"/>
      <c r="H17" s="525">
        <v>232</v>
      </c>
      <c r="I17" s="255">
        <v>232</v>
      </c>
      <c r="J17" s="528"/>
      <c r="K17" s="531"/>
      <c r="L17" s="525">
        <v>499</v>
      </c>
      <c r="M17" s="255">
        <v>499</v>
      </c>
    </row>
    <row r="18" spans="2:13" x14ac:dyDescent="0.25">
      <c r="B18" s="529"/>
      <c r="C18" s="532"/>
      <c r="D18" s="526"/>
      <c r="E18" s="255">
        <v>109</v>
      </c>
      <c r="F18" s="529"/>
      <c r="G18" s="532"/>
      <c r="H18" s="526"/>
      <c r="I18" s="255">
        <v>234</v>
      </c>
      <c r="J18" s="529"/>
      <c r="K18" s="532"/>
      <c r="L18" s="526"/>
      <c r="M18" s="255">
        <v>505</v>
      </c>
    </row>
    <row r="19" spans="2:13" x14ac:dyDescent="0.25">
      <c r="B19" s="527">
        <v>110</v>
      </c>
      <c r="C19" s="530">
        <v>110</v>
      </c>
      <c r="D19" s="525">
        <v>110</v>
      </c>
      <c r="E19" s="255">
        <v>110</v>
      </c>
      <c r="F19" s="527">
        <v>240</v>
      </c>
      <c r="G19" s="530">
        <v>237</v>
      </c>
      <c r="H19" s="525">
        <v>237</v>
      </c>
      <c r="I19" s="255">
        <v>237</v>
      </c>
      <c r="J19" s="527">
        <v>510</v>
      </c>
      <c r="K19" s="530">
        <v>511</v>
      </c>
      <c r="L19" s="525">
        <v>511</v>
      </c>
      <c r="M19" s="255">
        <v>511</v>
      </c>
    </row>
    <row r="20" spans="2:13" x14ac:dyDescent="0.25">
      <c r="B20" s="528"/>
      <c r="C20" s="531"/>
      <c r="D20" s="526"/>
      <c r="E20" s="255">
        <v>111</v>
      </c>
      <c r="F20" s="528"/>
      <c r="G20" s="531"/>
      <c r="H20" s="526"/>
      <c r="I20" s="255">
        <v>240</v>
      </c>
      <c r="J20" s="528"/>
      <c r="K20" s="531"/>
      <c r="L20" s="526"/>
      <c r="M20" s="255">
        <v>517</v>
      </c>
    </row>
    <row r="21" spans="2:13" x14ac:dyDescent="0.25">
      <c r="B21" s="528"/>
      <c r="C21" s="531"/>
      <c r="D21" s="525">
        <v>113</v>
      </c>
      <c r="E21" s="255">
        <v>113</v>
      </c>
      <c r="F21" s="528"/>
      <c r="G21" s="531"/>
      <c r="H21" s="525">
        <v>243</v>
      </c>
      <c r="I21" s="255">
        <v>243</v>
      </c>
      <c r="J21" s="528"/>
      <c r="K21" s="531"/>
      <c r="L21" s="525">
        <v>523</v>
      </c>
      <c r="M21" s="255">
        <v>523</v>
      </c>
    </row>
    <row r="22" spans="2:13" x14ac:dyDescent="0.25">
      <c r="B22" s="528"/>
      <c r="C22" s="532"/>
      <c r="D22" s="526"/>
      <c r="E22" s="255">
        <v>114</v>
      </c>
      <c r="F22" s="528"/>
      <c r="G22" s="532"/>
      <c r="H22" s="526"/>
      <c r="I22" s="255">
        <v>246</v>
      </c>
      <c r="J22" s="528"/>
      <c r="K22" s="532"/>
      <c r="L22" s="526"/>
      <c r="M22" s="255">
        <v>530</v>
      </c>
    </row>
    <row r="23" spans="2:13" x14ac:dyDescent="0.25">
      <c r="B23" s="528"/>
      <c r="C23" s="530">
        <v>115</v>
      </c>
      <c r="D23" s="525">
        <v>115</v>
      </c>
      <c r="E23" s="255">
        <v>115</v>
      </c>
      <c r="F23" s="528"/>
      <c r="G23" s="530">
        <v>249</v>
      </c>
      <c r="H23" s="525">
        <v>249</v>
      </c>
      <c r="I23" s="255">
        <v>249</v>
      </c>
      <c r="J23" s="528"/>
      <c r="K23" s="530">
        <v>536</v>
      </c>
      <c r="L23" s="525">
        <v>536</v>
      </c>
      <c r="M23" s="255">
        <v>536</v>
      </c>
    </row>
    <row r="24" spans="2:13" x14ac:dyDescent="0.25">
      <c r="B24" s="528"/>
      <c r="C24" s="531"/>
      <c r="D24" s="526"/>
      <c r="E24" s="255">
        <v>117</v>
      </c>
      <c r="F24" s="528"/>
      <c r="G24" s="531"/>
      <c r="H24" s="526"/>
      <c r="I24" s="255">
        <v>252</v>
      </c>
      <c r="J24" s="528"/>
      <c r="K24" s="531"/>
      <c r="L24" s="526"/>
      <c r="M24" s="255">
        <v>542</v>
      </c>
    </row>
    <row r="25" spans="2:13" x14ac:dyDescent="0.25">
      <c r="B25" s="528"/>
      <c r="C25" s="531"/>
      <c r="D25" s="525">
        <v>118</v>
      </c>
      <c r="E25" s="255">
        <v>118</v>
      </c>
      <c r="F25" s="528"/>
      <c r="G25" s="531"/>
      <c r="H25" s="525">
        <v>255</v>
      </c>
      <c r="I25" s="255">
        <v>255</v>
      </c>
      <c r="J25" s="528"/>
      <c r="K25" s="531"/>
      <c r="L25" s="525">
        <v>549</v>
      </c>
      <c r="M25" s="255">
        <v>549</v>
      </c>
    </row>
    <row r="26" spans="2:13" x14ac:dyDescent="0.25">
      <c r="B26" s="529"/>
      <c r="C26" s="532"/>
      <c r="D26" s="526"/>
      <c r="E26" s="255">
        <v>120</v>
      </c>
      <c r="F26" s="529"/>
      <c r="G26" s="532"/>
      <c r="H26" s="526"/>
      <c r="I26" s="255">
        <v>258</v>
      </c>
      <c r="J26" s="529"/>
      <c r="K26" s="532"/>
      <c r="L26" s="526"/>
      <c r="M26" s="255">
        <v>556</v>
      </c>
    </row>
    <row r="27" spans="2:13" x14ac:dyDescent="0.25">
      <c r="B27" s="527">
        <v>120</v>
      </c>
      <c r="C27" s="530">
        <v>121</v>
      </c>
      <c r="D27" s="525">
        <v>121</v>
      </c>
      <c r="E27" s="255">
        <v>121</v>
      </c>
      <c r="F27" s="527">
        <v>270</v>
      </c>
      <c r="G27" s="530">
        <v>261</v>
      </c>
      <c r="H27" s="525">
        <v>261</v>
      </c>
      <c r="I27" s="255">
        <v>261</v>
      </c>
      <c r="J27" s="527">
        <v>560</v>
      </c>
      <c r="K27" s="530">
        <v>562</v>
      </c>
      <c r="L27" s="525">
        <v>562</v>
      </c>
      <c r="M27" s="255">
        <v>562</v>
      </c>
    </row>
    <row r="28" spans="2:13" x14ac:dyDescent="0.25">
      <c r="B28" s="528"/>
      <c r="C28" s="531"/>
      <c r="D28" s="526"/>
      <c r="E28" s="255">
        <v>123</v>
      </c>
      <c r="F28" s="528"/>
      <c r="G28" s="531"/>
      <c r="H28" s="526"/>
      <c r="I28" s="255">
        <v>264</v>
      </c>
      <c r="J28" s="528"/>
      <c r="K28" s="531"/>
      <c r="L28" s="526"/>
      <c r="M28" s="255">
        <v>569</v>
      </c>
    </row>
    <row r="29" spans="2:13" x14ac:dyDescent="0.25">
      <c r="B29" s="528"/>
      <c r="C29" s="531"/>
      <c r="D29" s="525">
        <v>124</v>
      </c>
      <c r="E29" s="255">
        <v>124</v>
      </c>
      <c r="F29" s="528"/>
      <c r="G29" s="531"/>
      <c r="H29" s="525">
        <v>267</v>
      </c>
      <c r="I29" s="255">
        <v>267</v>
      </c>
      <c r="J29" s="528"/>
      <c r="K29" s="531"/>
      <c r="L29" s="525">
        <v>576</v>
      </c>
      <c r="M29" s="255">
        <v>576</v>
      </c>
    </row>
    <row r="30" spans="2:13" x14ac:dyDescent="0.25">
      <c r="B30" s="528"/>
      <c r="C30" s="532"/>
      <c r="D30" s="526"/>
      <c r="E30" s="255">
        <v>126</v>
      </c>
      <c r="F30" s="528"/>
      <c r="G30" s="532"/>
      <c r="H30" s="526"/>
      <c r="I30" s="255">
        <v>271</v>
      </c>
      <c r="J30" s="528"/>
      <c r="K30" s="532"/>
      <c r="L30" s="526"/>
      <c r="M30" s="255">
        <v>583</v>
      </c>
    </row>
    <row r="31" spans="2:13" x14ac:dyDescent="0.25">
      <c r="B31" s="528"/>
      <c r="C31" s="530">
        <v>127</v>
      </c>
      <c r="D31" s="525">
        <v>127</v>
      </c>
      <c r="E31" s="255">
        <v>127</v>
      </c>
      <c r="F31" s="528"/>
      <c r="G31" s="530">
        <v>274</v>
      </c>
      <c r="H31" s="525">
        <v>274</v>
      </c>
      <c r="I31" s="255">
        <v>274</v>
      </c>
      <c r="J31" s="528"/>
      <c r="K31" s="530">
        <v>590</v>
      </c>
      <c r="L31" s="525">
        <v>590</v>
      </c>
      <c r="M31" s="255">
        <v>590</v>
      </c>
    </row>
    <row r="32" spans="2:13" x14ac:dyDescent="0.25">
      <c r="B32" s="528"/>
      <c r="C32" s="531"/>
      <c r="D32" s="526"/>
      <c r="E32" s="255">
        <v>129</v>
      </c>
      <c r="F32" s="528"/>
      <c r="G32" s="531"/>
      <c r="H32" s="526"/>
      <c r="I32" s="255">
        <v>277</v>
      </c>
      <c r="J32" s="528"/>
      <c r="K32" s="531"/>
      <c r="L32" s="526"/>
      <c r="M32" s="255">
        <v>597</v>
      </c>
    </row>
    <row r="33" spans="2:13" x14ac:dyDescent="0.25">
      <c r="B33" s="528"/>
      <c r="C33" s="531"/>
      <c r="D33" s="525">
        <v>130</v>
      </c>
      <c r="E33" s="255">
        <v>130</v>
      </c>
      <c r="F33" s="528"/>
      <c r="G33" s="531"/>
      <c r="H33" s="525">
        <v>280</v>
      </c>
      <c r="I33" s="255">
        <v>280</v>
      </c>
      <c r="J33" s="528"/>
      <c r="K33" s="531"/>
      <c r="L33" s="525">
        <v>604</v>
      </c>
      <c r="M33" s="255">
        <v>604</v>
      </c>
    </row>
    <row r="34" spans="2:13" x14ac:dyDescent="0.25">
      <c r="B34" s="529"/>
      <c r="C34" s="532"/>
      <c r="D34" s="526"/>
      <c r="E34" s="255">
        <v>132</v>
      </c>
      <c r="F34" s="529"/>
      <c r="G34" s="532"/>
      <c r="H34" s="526"/>
      <c r="I34" s="255">
        <v>284</v>
      </c>
      <c r="J34" s="529"/>
      <c r="K34" s="532"/>
      <c r="L34" s="526"/>
      <c r="M34" s="255">
        <v>612</v>
      </c>
    </row>
    <row r="35" spans="2:13" x14ac:dyDescent="0.25">
      <c r="B35" s="527">
        <v>130</v>
      </c>
      <c r="C35" s="530">
        <v>133</v>
      </c>
      <c r="D35" s="525">
        <v>133</v>
      </c>
      <c r="E35" s="255">
        <v>133</v>
      </c>
      <c r="F35" s="527">
        <v>300</v>
      </c>
      <c r="G35" s="530">
        <v>287</v>
      </c>
      <c r="H35" s="525">
        <v>287</v>
      </c>
      <c r="I35" s="255">
        <v>287</v>
      </c>
      <c r="J35" s="527">
        <v>620</v>
      </c>
      <c r="K35" s="530">
        <v>619</v>
      </c>
      <c r="L35" s="525">
        <v>619</v>
      </c>
      <c r="M35" s="255">
        <v>619</v>
      </c>
    </row>
    <row r="36" spans="2:13" x14ac:dyDescent="0.25">
      <c r="B36" s="528"/>
      <c r="C36" s="531"/>
      <c r="D36" s="526"/>
      <c r="E36" s="255">
        <v>135</v>
      </c>
      <c r="F36" s="528"/>
      <c r="G36" s="531"/>
      <c r="H36" s="526"/>
      <c r="I36" s="255">
        <v>291</v>
      </c>
      <c r="J36" s="528"/>
      <c r="K36" s="531"/>
      <c r="L36" s="526"/>
      <c r="M36" s="255">
        <v>626</v>
      </c>
    </row>
    <row r="37" spans="2:13" x14ac:dyDescent="0.25">
      <c r="B37" s="528"/>
      <c r="C37" s="531"/>
      <c r="D37" s="525">
        <v>137</v>
      </c>
      <c r="E37" s="255">
        <v>137</v>
      </c>
      <c r="F37" s="528"/>
      <c r="G37" s="531"/>
      <c r="H37" s="525">
        <v>294</v>
      </c>
      <c r="I37" s="255">
        <v>294</v>
      </c>
      <c r="J37" s="528"/>
      <c r="K37" s="531"/>
      <c r="L37" s="525">
        <v>634</v>
      </c>
      <c r="M37" s="255">
        <v>634</v>
      </c>
    </row>
    <row r="38" spans="2:13" x14ac:dyDescent="0.25">
      <c r="B38" s="528"/>
      <c r="C38" s="532"/>
      <c r="D38" s="526"/>
      <c r="E38" s="255">
        <v>138</v>
      </c>
      <c r="F38" s="528"/>
      <c r="G38" s="532"/>
      <c r="H38" s="526"/>
      <c r="I38" s="255">
        <v>298</v>
      </c>
      <c r="J38" s="528"/>
      <c r="K38" s="532"/>
      <c r="L38" s="526"/>
      <c r="M38" s="255">
        <v>642</v>
      </c>
    </row>
    <row r="39" spans="2:13" x14ac:dyDescent="0.25">
      <c r="B39" s="528"/>
      <c r="C39" s="530">
        <v>140</v>
      </c>
      <c r="D39" s="525">
        <v>140</v>
      </c>
      <c r="E39" s="255">
        <v>140</v>
      </c>
      <c r="F39" s="528"/>
      <c r="G39" s="530">
        <v>301</v>
      </c>
      <c r="H39" s="525">
        <v>301</v>
      </c>
      <c r="I39" s="255">
        <v>301</v>
      </c>
      <c r="J39" s="528"/>
      <c r="K39" s="530">
        <v>649</v>
      </c>
      <c r="L39" s="525">
        <v>649</v>
      </c>
      <c r="M39" s="255">
        <v>649</v>
      </c>
    </row>
    <row r="40" spans="2:13" x14ac:dyDescent="0.25">
      <c r="B40" s="528"/>
      <c r="C40" s="531"/>
      <c r="D40" s="526"/>
      <c r="E40" s="255">
        <v>142</v>
      </c>
      <c r="F40" s="528"/>
      <c r="G40" s="531"/>
      <c r="H40" s="526"/>
      <c r="I40" s="255">
        <v>305</v>
      </c>
      <c r="J40" s="528"/>
      <c r="K40" s="531"/>
      <c r="L40" s="526"/>
      <c r="M40" s="255">
        <v>657</v>
      </c>
    </row>
    <row r="41" spans="2:13" x14ac:dyDescent="0.25">
      <c r="B41" s="528"/>
      <c r="C41" s="531"/>
      <c r="D41" s="525">
        <v>143</v>
      </c>
      <c r="E41" s="255">
        <v>143</v>
      </c>
      <c r="F41" s="528"/>
      <c r="G41" s="531"/>
      <c r="H41" s="525">
        <v>309</v>
      </c>
      <c r="I41" s="255">
        <v>309</v>
      </c>
      <c r="J41" s="528"/>
      <c r="K41" s="531"/>
      <c r="L41" s="525">
        <v>665</v>
      </c>
      <c r="M41" s="255">
        <v>665</v>
      </c>
    </row>
    <row r="42" spans="2:13" x14ac:dyDescent="0.25">
      <c r="B42" s="529"/>
      <c r="C42" s="532"/>
      <c r="D42" s="526"/>
      <c r="E42" s="255">
        <v>145</v>
      </c>
      <c r="F42" s="529"/>
      <c r="G42" s="532"/>
      <c r="H42" s="526"/>
      <c r="I42" s="255">
        <v>312</v>
      </c>
      <c r="J42" s="529"/>
      <c r="K42" s="532"/>
      <c r="L42" s="526"/>
      <c r="M42" s="255">
        <v>673</v>
      </c>
    </row>
    <row r="43" spans="2:13" x14ac:dyDescent="0.25">
      <c r="B43" s="527">
        <v>150</v>
      </c>
      <c r="C43" s="530">
        <v>147</v>
      </c>
      <c r="D43" s="525">
        <v>147</v>
      </c>
      <c r="E43" s="255">
        <v>147</v>
      </c>
      <c r="F43" s="527">
        <v>330</v>
      </c>
      <c r="G43" s="530">
        <v>316</v>
      </c>
      <c r="H43" s="525">
        <v>316</v>
      </c>
      <c r="I43" s="255">
        <v>316</v>
      </c>
      <c r="J43" s="527">
        <v>680</v>
      </c>
      <c r="K43" s="530">
        <v>681</v>
      </c>
      <c r="L43" s="525">
        <v>681</v>
      </c>
      <c r="M43" s="255">
        <v>681</v>
      </c>
    </row>
    <row r="44" spans="2:13" x14ac:dyDescent="0.25">
      <c r="B44" s="528"/>
      <c r="C44" s="531"/>
      <c r="D44" s="526"/>
      <c r="E44" s="255">
        <v>149</v>
      </c>
      <c r="F44" s="528"/>
      <c r="G44" s="531"/>
      <c r="H44" s="526"/>
      <c r="I44" s="255">
        <v>320</v>
      </c>
      <c r="J44" s="528"/>
      <c r="K44" s="531"/>
      <c r="L44" s="526"/>
      <c r="M44" s="255">
        <v>690</v>
      </c>
    </row>
    <row r="45" spans="2:13" x14ac:dyDescent="0.25">
      <c r="B45" s="528"/>
      <c r="C45" s="531"/>
      <c r="D45" s="525">
        <v>150</v>
      </c>
      <c r="E45" s="255">
        <v>150</v>
      </c>
      <c r="F45" s="528"/>
      <c r="G45" s="531"/>
      <c r="H45" s="525">
        <v>324</v>
      </c>
      <c r="I45" s="255">
        <v>324</v>
      </c>
      <c r="J45" s="528"/>
      <c r="K45" s="531"/>
      <c r="L45" s="525">
        <v>698</v>
      </c>
      <c r="M45" s="255">
        <v>698</v>
      </c>
    </row>
    <row r="46" spans="2:13" x14ac:dyDescent="0.25">
      <c r="B46" s="528"/>
      <c r="C46" s="532"/>
      <c r="D46" s="526"/>
      <c r="E46" s="255">
        <v>152</v>
      </c>
      <c r="F46" s="528"/>
      <c r="G46" s="532"/>
      <c r="H46" s="526"/>
      <c r="I46" s="255">
        <v>328</v>
      </c>
      <c r="J46" s="528"/>
      <c r="K46" s="532"/>
      <c r="L46" s="526"/>
      <c r="M46" s="255">
        <v>706</v>
      </c>
    </row>
    <row r="47" spans="2:13" x14ac:dyDescent="0.25">
      <c r="B47" s="528"/>
      <c r="C47" s="530">
        <v>154</v>
      </c>
      <c r="D47" s="525">
        <v>154</v>
      </c>
      <c r="E47" s="255">
        <v>154</v>
      </c>
      <c r="F47" s="528"/>
      <c r="G47" s="530">
        <v>332</v>
      </c>
      <c r="H47" s="525">
        <v>332</v>
      </c>
      <c r="I47" s="255">
        <v>332</v>
      </c>
      <c r="J47" s="528"/>
      <c r="K47" s="530">
        <v>715</v>
      </c>
      <c r="L47" s="525">
        <v>715</v>
      </c>
      <c r="M47" s="255">
        <v>715</v>
      </c>
    </row>
    <row r="48" spans="2:13" x14ac:dyDescent="0.25">
      <c r="B48" s="528"/>
      <c r="C48" s="531"/>
      <c r="D48" s="526"/>
      <c r="E48" s="255">
        <v>156</v>
      </c>
      <c r="F48" s="528"/>
      <c r="G48" s="531"/>
      <c r="H48" s="526"/>
      <c r="I48" s="255">
        <v>336</v>
      </c>
      <c r="J48" s="528"/>
      <c r="K48" s="531"/>
      <c r="L48" s="526"/>
      <c r="M48" s="255">
        <v>723</v>
      </c>
    </row>
    <row r="49" spans="2:13" x14ac:dyDescent="0.25">
      <c r="B49" s="528"/>
      <c r="C49" s="531"/>
      <c r="D49" s="525">
        <v>158</v>
      </c>
      <c r="E49" s="255">
        <v>158</v>
      </c>
      <c r="F49" s="528"/>
      <c r="G49" s="531"/>
      <c r="H49" s="525">
        <v>340</v>
      </c>
      <c r="I49" s="255">
        <v>340</v>
      </c>
      <c r="J49" s="528"/>
      <c r="K49" s="531"/>
      <c r="L49" s="525">
        <v>732</v>
      </c>
      <c r="M49" s="255">
        <v>732</v>
      </c>
    </row>
    <row r="50" spans="2:13" x14ac:dyDescent="0.25">
      <c r="B50" s="529"/>
      <c r="C50" s="532"/>
      <c r="D50" s="526"/>
      <c r="E50" s="255">
        <v>160</v>
      </c>
      <c r="F50" s="529"/>
      <c r="G50" s="532"/>
      <c r="H50" s="526"/>
      <c r="I50" s="255">
        <v>344</v>
      </c>
      <c r="J50" s="529"/>
      <c r="K50" s="532"/>
      <c r="L50" s="526"/>
      <c r="M50" s="255">
        <v>741</v>
      </c>
    </row>
    <row r="51" spans="2:13" x14ac:dyDescent="0.25">
      <c r="B51" s="527">
        <v>160</v>
      </c>
      <c r="C51" s="530">
        <v>162</v>
      </c>
      <c r="D51" s="525">
        <v>162</v>
      </c>
      <c r="E51" s="255">
        <v>162</v>
      </c>
      <c r="F51" s="527">
        <v>360</v>
      </c>
      <c r="G51" s="530">
        <v>348</v>
      </c>
      <c r="H51" s="525">
        <v>348</v>
      </c>
      <c r="I51" s="255">
        <v>348</v>
      </c>
      <c r="J51" s="527">
        <v>750</v>
      </c>
      <c r="K51" s="530">
        <v>750</v>
      </c>
      <c r="L51" s="525">
        <v>750</v>
      </c>
      <c r="M51" s="255">
        <v>750</v>
      </c>
    </row>
    <row r="52" spans="2:13" x14ac:dyDescent="0.25">
      <c r="B52" s="528"/>
      <c r="C52" s="531"/>
      <c r="D52" s="526"/>
      <c r="E52" s="255">
        <v>164</v>
      </c>
      <c r="F52" s="528"/>
      <c r="G52" s="531"/>
      <c r="H52" s="526"/>
      <c r="I52" s="255">
        <v>352</v>
      </c>
      <c r="J52" s="528"/>
      <c r="K52" s="531"/>
      <c r="L52" s="526"/>
      <c r="M52" s="255">
        <v>759</v>
      </c>
    </row>
    <row r="53" spans="2:13" x14ac:dyDescent="0.25">
      <c r="B53" s="528"/>
      <c r="C53" s="531"/>
      <c r="D53" s="525">
        <v>165</v>
      </c>
      <c r="E53" s="255">
        <v>165</v>
      </c>
      <c r="F53" s="528"/>
      <c r="G53" s="531"/>
      <c r="H53" s="525">
        <v>357</v>
      </c>
      <c r="I53" s="255">
        <v>357</v>
      </c>
      <c r="J53" s="528"/>
      <c r="K53" s="531"/>
      <c r="L53" s="525">
        <v>768</v>
      </c>
      <c r="M53" s="255">
        <v>768</v>
      </c>
    </row>
    <row r="54" spans="2:13" x14ac:dyDescent="0.25">
      <c r="B54" s="528"/>
      <c r="C54" s="532"/>
      <c r="D54" s="526"/>
      <c r="E54" s="255">
        <v>167</v>
      </c>
      <c r="F54" s="528"/>
      <c r="G54" s="532"/>
      <c r="H54" s="526"/>
      <c r="I54" s="255">
        <v>361</v>
      </c>
      <c r="J54" s="528"/>
      <c r="K54" s="532"/>
      <c r="L54" s="526"/>
      <c r="M54" s="255">
        <v>777</v>
      </c>
    </row>
    <row r="55" spans="2:13" x14ac:dyDescent="0.25">
      <c r="B55" s="528"/>
      <c r="C55" s="530">
        <v>169</v>
      </c>
      <c r="D55" s="525">
        <v>169</v>
      </c>
      <c r="E55" s="255">
        <v>169</v>
      </c>
      <c r="F55" s="528"/>
      <c r="G55" s="530">
        <v>365</v>
      </c>
      <c r="H55" s="525">
        <v>365</v>
      </c>
      <c r="I55" s="255">
        <v>365</v>
      </c>
      <c r="J55" s="528"/>
      <c r="K55" s="530">
        <v>787</v>
      </c>
      <c r="L55" s="525">
        <v>787</v>
      </c>
      <c r="M55" s="255">
        <v>787</v>
      </c>
    </row>
    <row r="56" spans="2:13" x14ac:dyDescent="0.25">
      <c r="B56" s="528"/>
      <c r="C56" s="531"/>
      <c r="D56" s="526"/>
      <c r="E56" s="255">
        <v>172</v>
      </c>
      <c r="F56" s="528"/>
      <c r="G56" s="531"/>
      <c r="H56" s="526"/>
      <c r="I56" s="255">
        <v>370</v>
      </c>
      <c r="J56" s="528"/>
      <c r="K56" s="531"/>
      <c r="L56" s="526"/>
      <c r="M56" s="255">
        <v>796</v>
      </c>
    </row>
    <row r="57" spans="2:13" x14ac:dyDescent="0.25">
      <c r="B57" s="528"/>
      <c r="C57" s="531"/>
      <c r="D57" s="525">
        <v>174</v>
      </c>
      <c r="E57" s="255">
        <v>174</v>
      </c>
      <c r="F57" s="528"/>
      <c r="G57" s="531"/>
      <c r="H57" s="525">
        <v>374</v>
      </c>
      <c r="I57" s="255">
        <v>374</v>
      </c>
      <c r="J57" s="528"/>
      <c r="K57" s="531"/>
      <c r="L57" s="525">
        <v>806</v>
      </c>
      <c r="M57" s="255">
        <v>806</v>
      </c>
    </row>
    <row r="58" spans="2:13" x14ac:dyDescent="0.25">
      <c r="B58" s="529"/>
      <c r="C58" s="532"/>
      <c r="D58" s="526"/>
      <c r="E58" s="255">
        <v>176</v>
      </c>
      <c r="F58" s="529"/>
      <c r="G58" s="532"/>
      <c r="H58" s="526"/>
      <c r="I58" s="255">
        <v>379</v>
      </c>
      <c r="J58" s="529"/>
      <c r="K58" s="532"/>
      <c r="L58" s="526"/>
      <c r="M58" s="255">
        <v>816</v>
      </c>
    </row>
    <row r="59" spans="2:13" x14ac:dyDescent="0.25">
      <c r="B59" s="527">
        <v>180</v>
      </c>
      <c r="C59" s="530">
        <v>178</v>
      </c>
      <c r="D59" s="525">
        <v>178</v>
      </c>
      <c r="E59" s="255">
        <v>178</v>
      </c>
      <c r="F59" s="527">
        <v>390</v>
      </c>
      <c r="G59" s="530">
        <v>383</v>
      </c>
      <c r="H59" s="525">
        <v>383</v>
      </c>
      <c r="I59" s="255">
        <v>383</v>
      </c>
      <c r="J59" s="527">
        <v>820</v>
      </c>
      <c r="K59" s="530">
        <v>825</v>
      </c>
      <c r="L59" s="525">
        <v>825</v>
      </c>
      <c r="M59" s="255">
        <v>825</v>
      </c>
    </row>
    <row r="60" spans="2:13" x14ac:dyDescent="0.25">
      <c r="B60" s="528"/>
      <c r="C60" s="531"/>
      <c r="D60" s="526"/>
      <c r="E60" s="255">
        <v>180</v>
      </c>
      <c r="F60" s="528"/>
      <c r="G60" s="531"/>
      <c r="H60" s="526"/>
      <c r="I60" s="255">
        <v>388</v>
      </c>
      <c r="J60" s="528"/>
      <c r="K60" s="531"/>
      <c r="L60" s="526"/>
      <c r="M60" s="255">
        <v>835</v>
      </c>
    </row>
    <row r="61" spans="2:13" x14ac:dyDescent="0.25">
      <c r="B61" s="528"/>
      <c r="C61" s="531"/>
      <c r="D61" s="525">
        <v>182</v>
      </c>
      <c r="E61" s="255">
        <v>182</v>
      </c>
      <c r="F61" s="528"/>
      <c r="G61" s="531"/>
      <c r="H61" s="525">
        <v>392</v>
      </c>
      <c r="I61" s="255">
        <v>392</v>
      </c>
      <c r="J61" s="528"/>
      <c r="K61" s="531"/>
      <c r="L61" s="525">
        <v>845</v>
      </c>
      <c r="M61" s="255">
        <v>845</v>
      </c>
    </row>
    <row r="62" spans="2:13" x14ac:dyDescent="0.25">
      <c r="B62" s="528"/>
      <c r="C62" s="532"/>
      <c r="D62" s="526"/>
      <c r="E62" s="255">
        <v>184</v>
      </c>
      <c r="F62" s="528"/>
      <c r="G62" s="532"/>
      <c r="H62" s="526"/>
      <c r="I62" s="255">
        <v>397</v>
      </c>
      <c r="J62" s="528"/>
      <c r="K62" s="532"/>
      <c r="L62" s="526"/>
      <c r="M62" s="255">
        <v>856</v>
      </c>
    </row>
    <row r="63" spans="2:13" x14ac:dyDescent="0.25">
      <c r="B63" s="528"/>
      <c r="C63" s="530">
        <v>187</v>
      </c>
      <c r="D63" s="525">
        <v>187</v>
      </c>
      <c r="E63" s="255">
        <v>187</v>
      </c>
      <c r="F63" s="528"/>
      <c r="G63" s="530">
        <v>402</v>
      </c>
      <c r="H63" s="525">
        <v>402</v>
      </c>
      <c r="I63" s="255">
        <v>402</v>
      </c>
      <c r="J63" s="528"/>
      <c r="K63" s="530">
        <v>866</v>
      </c>
      <c r="L63" s="525">
        <v>866</v>
      </c>
      <c r="M63" s="255">
        <v>866</v>
      </c>
    </row>
    <row r="64" spans="2:13" x14ac:dyDescent="0.25">
      <c r="B64" s="528"/>
      <c r="C64" s="531"/>
      <c r="D64" s="526"/>
      <c r="E64" s="255">
        <v>189</v>
      </c>
      <c r="F64" s="528"/>
      <c r="G64" s="531"/>
      <c r="H64" s="526"/>
      <c r="I64" s="255">
        <v>407</v>
      </c>
      <c r="J64" s="528"/>
      <c r="K64" s="531"/>
      <c r="L64" s="526"/>
      <c r="M64" s="255">
        <v>876</v>
      </c>
    </row>
    <row r="65" spans="2:13" x14ac:dyDescent="0.25">
      <c r="B65" s="528"/>
      <c r="C65" s="531"/>
      <c r="D65" s="525">
        <v>191</v>
      </c>
      <c r="E65" s="255">
        <v>191</v>
      </c>
      <c r="F65" s="528"/>
      <c r="G65" s="531"/>
      <c r="H65" s="525">
        <v>412</v>
      </c>
      <c r="I65" s="255">
        <v>412</v>
      </c>
      <c r="J65" s="528"/>
      <c r="K65" s="531"/>
      <c r="L65" s="525">
        <v>887</v>
      </c>
      <c r="M65" s="255">
        <v>887</v>
      </c>
    </row>
    <row r="66" spans="2:13" x14ac:dyDescent="0.25">
      <c r="B66" s="529"/>
      <c r="C66" s="532"/>
      <c r="D66" s="526"/>
      <c r="E66" s="255">
        <v>193</v>
      </c>
      <c r="F66" s="529"/>
      <c r="G66" s="532"/>
      <c r="H66" s="526"/>
      <c r="I66" s="255">
        <v>417</v>
      </c>
      <c r="J66" s="529"/>
      <c r="K66" s="532"/>
      <c r="L66" s="526"/>
      <c r="M66" s="255">
        <v>898</v>
      </c>
    </row>
    <row r="67" spans="2:13" x14ac:dyDescent="0.25">
      <c r="B67" s="527">
        <v>200</v>
      </c>
      <c r="C67" s="530">
        <v>196</v>
      </c>
      <c r="D67" s="525">
        <v>196</v>
      </c>
      <c r="E67" s="255">
        <v>196</v>
      </c>
      <c r="F67" s="527">
        <v>430</v>
      </c>
      <c r="G67" s="530">
        <v>422</v>
      </c>
      <c r="H67" s="525">
        <v>422</v>
      </c>
      <c r="I67" s="255">
        <v>422</v>
      </c>
      <c r="J67" s="527">
        <v>910</v>
      </c>
      <c r="K67" s="530">
        <v>909</v>
      </c>
      <c r="L67" s="525">
        <v>909</v>
      </c>
      <c r="M67" s="255">
        <v>909</v>
      </c>
    </row>
    <row r="68" spans="2:13" x14ac:dyDescent="0.25">
      <c r="B68" s="528"/>
      <c r="C68" s="531"/>
      <c r="D68" s="526"/>
      <c r="E68" s="255">
        <v>198</v>
      </c>
      <c r="F68" s="528"/>
      <c r="G68" s="531"/>
      <c r="H68" s="526"/>
      <c r="I68" s="255">
        <v>427</v>
      </c>
      <c r="J68" s="528"/>
      <c r="K68" s="531"/>
      <c r="L68" s="526"/>
      <c r="M68" s="255">
        <v>920</v>
      </c>
    </row>
    <row r="69" spans="2:13" x14ac:dyDescent="0.25">
      <c r="B69" s="528"/>
      <c r="C69" s="531"/>
      <c r="D69" s="525">
        <v>200</v>
      </c>
      <c r="E69" s="255">
        <v>200</v>
      </c>
      <c r="F69" s="528"/>
      <c r="G69" s="531"/>
      <c r="H69" s="525">
        <v>432</v>
      </c>
      <c r="I69" s="255">
        <v>432</v>
      </c>
      <c r="J69" s="528"/>
      <c r="K69" s="531"/>
      <c r="L69" s="525">
        <v>931</v>
      </c>
      <c r="M69" s="255">
        <v>931</v>
      </c>
    </row>
    <row r="70" spans="2:13" x14ac:dyDescent="0.25">
      <c r="B70" s="528"/>
      <c r="C70" s="532"/>
      <c r="D70" s="526"/>
      <c r="E70" s="255">
        <v>203</v>
      </c>
      <c r="F70" s="528"/>
      <c r="G70" s="532"/>
      <c r="H70" s="526"/>
      <c r="I70" s="255">
        <v>437</v>
      </c>
      <c r="J70" s="528"/>
      <c r="K70" s="532"/>
      <c r="L70" s="526"/>
      <c r="M70" s="255">
        <v>942</v>
      </c>
    </row>
    <row r="71" spans="2:13" x14ac:dyDescent="0.25">
      <c r="B71" s="528"/>
      <c r="C71" s="530">
        <v>205</v>
      </c>
      <c r="D71" s="525">
        <v>205</v>
      </c>
      <c r="E71" s="255">
        <v>205</v>
      </c>
      <c r="F71" s="528"/>
      <c r="G71" s="530">
        <v>442</v>
      </c>
      <c r="H71" s="525">
        <v>442</v>
      </c>
      <c r="I71" s="255">
        <v>442</v>
      </c>
      <c r="J71" s="528"/>
      <c r="K71" s="530">
        <v>953</v>
      </c>
      <c r="L71" s="525">
        <v>953</v>
      </c>
      <c r="M71" s="255">
        <v>953</v>
      </c>
    </row>
    <row r="72" spans="2:13" x14ac:dyDescent="0.25">
      <c r="B72" s="528"/>
      <c r="C72" s="531"/>
      <c r="D72" s="526"/>
      <c r="E72" s="255">
        <v>208</v>
      </c>
      <c r="F72" s="528"/>
      <c r="G72" s="531"/>
      <c r="H72" s="526"/>
      <c r="I72" s="255">
        <v>448</v>
      </c>
      <c r="J72" s="528"/>
      <c r="K72" s="531"/>
      <c r="L72" s="526"/>
      <c r="M72" s="255">
        <v>965</v>
      </c>
    </row>
    <row r="73" spans="2:13" x14ac:dyDescent="0.25">
      <c r="B73" s="528"/>
      <c r="C73" s="531"/>
      <c r="D73" s="525">
        <v>210</v>
      </c>
      <c r="E73" s="255">
        <v>210</v>
      </c>
      <c r="F73" s="528"/>
      <c r="G73" s="531"/>
      <c r="H73" s="525">
        <v>453</v>
      </c>
      <c r="I73" s="255">
        <v>453</v>
      </c>
      <c r="J73" s="528"/>
      <c r="K73" s="531"/>
      <c r="L73" s="525">
        <v>976</v>
      </c>
      <c r="M73" s="255">
        <v>976</v>
      </c>
    </row>
    <row r="74" spans="2:13" x14ac:dyDescent="0.25">
      <c r="B74" s="529"/>
      <c r="C74" s="532"/>
      <c r="D74" s="526"/>
      <c r="E74" s="255">
        <v>213</v>
      </c>
      <c r="F74" s="529"/>
      <c r="G74" s="532"/>
      <c r="H74" s="526"/>
      <c r="I74" s="255">
        <v>459</v>
      </c>
      <c r="J74" s="529"/>
      <c r="K74" s="532"/>
      <c r="L74" s="526"/>
      <c r="M74" s="255">
        <v>988</v>
      </c>
    </row>
  </sheetData>
  <sheetProtection algorithmName="SHA-512" hashValue="kmAflXDjNNIsNNqzMKIfsmdkYQSLzb+tn0AGNFM5fJ9k1l4X6m1jn6g73l6uvOw4R/XVLhavmbnF3gVOxzSy0w==" saltValue="wPn/VIQi/hPMVSkVQVAHCA==" spinCount="100000" sheet="1" objects="1" scenarios="1"/>
  <mergeCells count="170">
    <mergeCell ref="B2:M2"/>
    <mergeCell ref="O2:Y2"/>
    <mergeCell ref="B11:B18"/>
    <mergeCell ref="C11:C14"/>
    <mergeCell ref="D11:D12"/>
    <mergeCell ref="F11:F18"/>
    <mergeCell ref="G11:G14"/>
    <mergeCell ref="H11:H12"/>
    <mergeCell ref="J11:J18"/>
    <mergeCell ref="K11:K14"/>
    <mergeCell ref="L11:L12"/>
    <mergeCell ref="D13:D14"/>
    <mergeCell ref="H13:H14"/>
    <mergeCell ref="L13:L14"/>
    <mergeCell ref="C15:C18"/>
    <mergeCell ref="D15:D16"/>
    <mergeCell ref="G15:G18"/>
    <mergeCell ref="H15:H16"/>
    <mergeCell ref="K15:K18"/>
    <mergeCell ref="L15:L16"/>
    <mergeCell ref="D17:D18"/>
    <mergeCell ref="H17:H18"/>
    <mergeCell ref="L17:L18"/>
    <mergeCell ref="B19:B26"/>
    <mergeCell ref="C19:C22"/>
    <mergeCell ref="D19:D20"/>
    <mergeCell ref="F19:F26"/>
    <mergeCell ref="G19:G22"/>
    <mergeCell ref="H19:H20"/>
    <mergeCell ref="J19:J26"/>
    <mergeCell ref="K19:K22"/>
    <mergeCell ref="L19:L20"/>
    <mergeCell ref="D21:D22"/>
    <mergeCell ref="H21:H22"/>
    <mergeCell ref="L21:L22"/>
    <mergeCell ref="C23:C26"/>
    <mergeCell ref="D23:D24"/>
    <mergeCell ref="G23:G26"/>
    <mergeCell ref="H23:H24"/>
    <mergeCell ref="K23:K26"/>
    <mergeCell ref="L23:L24"/>
    <mergeCell ref="D25:D26"/>
    <mergeCell ref="H25:H26"/>
    <mergeCell ref="L25:L26"/>
    <mergeCell ref="B27:B34"/>
    <mergeCell ref="C27:C30"/>
    <mergeCell ref="D27:D28"/>
    <mergeCell ref="F27:F34"/>
    <mergeCell ref="G27:G30"/>
    <mergeCell ref="H27:H28"/>
    <mergeCell ref="G35:G38"/>
    <mergeCell ref="H35:H36"/>
    <mergeCell ref="C39:C42"/>
    <mergeCell ref="C31:C34"/>
    <mergeCell ref="D31:D32"/>
    <mergeCell ref="G31:G34"/>
    <mergeCell ref="H31:H32"/>
    <mergeCell ref="K31:K34"/>
    <mergeCell ref="L31:L32"/>
    <mergeCell ref="D33:D34"/>
    <mergeCell ref="H33:H34"/>
    <mergeCell ref="L33:L34"/>
    <mergeCell ref="J27:J34"/>
    <mergeCell ref="K27:K30"/>
    <mergeCell ref="L27:L28"/>
    <mergeCell ref="D29:D30"/>
    <mergeCell ref="H29:H30"/>
    <mergeCell ref="L29:L30"/>
    <mergeCell ref="L39:L40"/>
    <mergeCell ref="D41:D42"/>
    <mergeCell ref="H41:H42"/>
    <mergeCell ref="L41:L42"/>
    <mergeCell ref="B43:B50"/>
    <mergeCell ref="C43:C46"/>
    <mergeCell ref="D43:D44"/>
    <mergeCell ref="F43:F50"/>
    <mergeCell ref="G43:G46"/>
    <mergeCell ref="H43:H44"/>
    <mergeCell ref="J35:J42"/>
    <mergeCell ref="K35:K38"/>
    <mergeCell ref="L35:L36"/>
    <mergeCell ref="D37:D38"/>
    <mergeCell ref="H37:H38"/>
    <mergeCell ref="L37:L38"/>
    <mergeCell ref="D39:D40"/>
    <mergeCell ref="G39:G42"/>
    <mergeCell ref="H39:H40"/>
    <mergeCell ref="K39:K42"/>
    <mergeCell ref="B35:B42"/>
    <mergeCell ref="C35:C38"/>
    <mergeCell ref="D35:D36"/>
    <mergeCell ref="F35:F42"/>
    <mergeCell ref="C47:C50"/>
    <mergeCell ref="D47:D48"/>
    <mergeCell ref="G47:G50"/>
    <mergeCell ref="H47:H48"/>
    <mergeCell ref="K47:K50"/>
    <mergeCell ref="L47:L48"/>
    <mergeCell ref="D49:D50"/>
    <mergeCell ref="H49:H50"/>
    <mergeCell ref="L49:L50"/>
    <mergeCell ref="J43:J50"/>
    <mergeCell ref="K43:K46"/>
    <mergeCell ref="L43:L44"/>
    <mergeCell ref="D45:D46"/>
    <mergeCell ref="H45:H46"/>
    <mergeCell ref="L45:L46"/>
    <mergeCell ref="C55:C58"/>
    <mergeCell ref="L55:L56"/>
    <mergeCell ref="D57:D58"/>
    <mergeCell ref="H57:H58"/>
    <mergeCell ref="L57:L58"/>
    <mergeCell ref="J51:J58"/>
    <mergeCell ref="K51:K54"/>
    <mergeCell ref="L51:L52"/>
    <mergeCell ref="D53:D54"/>
    <mergeCell ref="H53:H54"/>
    <mergeCell ref="L53:L54"/>
    <mergeCell ref="D55:D56"/>
    <mergeCell ref="G55:G58"/>
    <mergeCell ref="H55:H56"/>
    <mergeCell ref="K55:K58"/>
    <mergeCell ref="D71:D72"/>
    <mergeCell ref="G71:G74"/>
    <mergeCell ref="H71:H72"/>
    <mergeCell ref="K71:K74"/>
    <mergeCell ref="L65:L66"/>
    <mergeCell ref="J59:J66"/>
    <mergeCell ref="K59:K62"/>
    <mergeCell ref="L59:L60"/>
    <mergeCell ref="D61:D62"/>
    <mergeCell ref="H61:H62"/>
    <mergeCell ref="L61:L62"/>
    <mergeCell ref="L71:L72"/>
    <mergeCell ref="L73:L74"/>
    <mergeCell ref="J67:J74"/>
    <mergeCell ref="K67:K70"/>
    <mergeCell ref="K63:K66"/>
    <mergeCell ref="D67:D68"/>
    <mergeCell ref="F67:F74"/>
    <mergeCell ref="G67:G70"/>
    <mergeCell ref="H67:H68"/>
    <mergeCell ref="D63:D64"/>
    <mergeCell ref="G63:G66"/>
    <mergeCell ref="H63:H64"/>
    <mergeCell ref="D73:D74"/>
    <mergeCell ref="L63:L64"/>
    <mergeCell ref="D65:D66"/>
    <mergeCell ref="H65:H66"/>
    <mergeCell ref="B51:B58"/>
    <mergeCell ref="C51:C54"/>
    <mergeCell ref="D51:D52"/>
    <mergeCell ref="F51:F58"/>
    <mergeCell ref="L67:L68"/>
    <mergeCell ref="D69:D70"/>
    <mergeCell ref="H69:H70"/>
    <mergeCell ref="L69:L70"/>
    <mergeCell ref="B67:B74"/>
    <mergeCell ref="C67:C70"/>
    <mergeCell ref="C71:C74"/>
    <mergeCell ref="C63:C66"/>
    <mergeCell ref="H73:H74"/>
    <mergeCell ref="B59:B66"/>
    <mergeCell ref="C59:C62"/>
    <mergeCell ref="D59:D60"/>
    <mergeCell ref="F59:F66"/>
    <mergeCell ref="G59:G62"/>
    <mergeCell ref="H59:H60"/>
    <mergeCell ref="G51:G54"/>
    <mergeCell ref="H51:H52"/>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E256836E8651459990BF5B13FE0674" ma:contentTypeVersion="15" ma:contentTypeDescription="Create a new document." ma:contentTypeScope="" ma:versionID="fc96f0ad4aee4dee5c6d7ec836bc6c20">
  <xsd:schema xmlns:xsd="http://www.w3.org/2001/XMLSchema" xmlns:xs="http://www.w3.org/2001/XMLSchema" xmlns:p="http://schemas.microsoft.com/office/2006/metadata/properties" xmlns:ns2="581a80d1-d65a-4c55-ad9b-3f115bad915e" xmlns:ns3="bc0dbfbe-3d01-4193-9c77-df95750a0735" targetNamespace="http://schemas.microsoft.com/office/2006/metadata/properties" ma:root="true" ma:fieldsID="a7a3daecc8ef5755c3ad7019c38d6e4d" ns2:_="" ns3:_="">
    <xsd:import namespace="581a80d1-d65a-4c55-ad9b-3f115bad915e"/>
    <xsd:import namespace="bc0dbfbe-3d01-4193-9c77-df95750a0735"/>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1a80d1-d65a-4c55-ad9b-3f115bad915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c0dbfbe-3d01-4193-9c77-df95750a0735"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AutoTags" ma:index="15" nillable="true" ma:displayName="MediaServiceAutoTags" ma:description="" ma:internalName="MediaServiceAutoTags" ma:readOnly="true">
      <xsd:simpleType>
        <xsd:restriction base="dms:Text"/>
      </xsd:simpleType>
    </xsd:element>
    <xsd:element name="MediaServiceLocation" ma:index="16" nillable="true" ma:displayName="MediaServiceLocation"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0681CDF-E362-4DD8-827D-7E5FB527065F}">
  <ds:schemaRefs>
    <ds:schemaRef ds:uri="http://schemas.microsoft.com/DataMashup"/>
  </ds:schemaRefs>
</ds:datastoreItem>
</file>

<file path=customXml/itemProps2.xml><?xml version="1.0" encoding="utf-8"?>
<ds:datastoreItem xmlns:ds="http://schemas.openxmlformats.org/officeDocument/2006/customXml" ds:itemID="{F30FF0D5-012C-496E-BB10-AB9577A283D4}">
  <ds:schemaRef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581a80d1-d65a-4c55-ad9b-3f115bad915e"/>
    <ds:schemaRef ds:uri="http://purl.org/dc/dcmitype/"/>
    <ds:schemaRef ds:uri="http://schemas.openxmlformats.org/package/2006/metadata/core-properties"/>
    <ds:schemaRef ds:uri="bc0dbfbe-3d01-4193-9c77-df95750a0735"/>
    <ds:schemaRef ds:uri="http://schemas.microsoft.com/office/2006/metadata/properties"/>
  </ds:schemaRefs>
</ds:datastoreItem>
</file>

<file path=customXml/itemProps3.xml><?xml version="1.0" encoding="utf-8"?>
<ds:datastoreItem xmlns:ds="http://schemas.openxmlformats.org/officeDocument/2006/customXml" ds:itemID="{9ECCA028-848F-4FA6-A533-189A1C5D5844}">
  <ds:schemaRefs>
    <ds:schemaRef ds:uri="http://schemas.microsoft.com/sharepoint/v3/contenttype/forms"/>
  </ds:schemaRefs>
</ds:datastoreItem>
</file>

<file path=customXml/itemProps4.xml><?xml version="1.0" encoding="utf-8"?>
<ds:datastoreItem xmlns:ds="http://schemas.openxmlformats.org/officeDocument/2006/customXml" ds:itemID="{A8B3C744-0FD8-4926-8033-D838CF0591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1a80d1-d65a-4c55-ad9b-3f115bad915e"/>
    <ds:schemaRef ds:uri="bc0dbfbe-3d01-4193-9c77-df95750a0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Çalışma Sayfaları</vt:lpstr>
      </vt:variant>
      <vt:variant>
        <vt:i4>11</vt:i4>
      </vt:variant>
      <vt:variant>
        <vt:lpstr>Adlandırılmış Aralıklar</vt:lpstr>
      </vt:variant>
      <vt:variant>
        <vt:i4>12</vt:i4>
      </vt:variant>
    </vt:vector>
  </HeadingPairs>
  <TitlesOfParts>
    <vt:vector size="23" baseType="lpstr">
      <vt:lpstr>Cover_sheet</vt:lpstr>
      <vt:lpstr>OTP_Config_Report</vt:lpstr>
      <vt:lpstr>Load_OTP_&amp;_Apply</vt:lpstr>
      <vt:lpstr>OTP_conf_file_generation</vt:lpstr>
      <vt:lpstr>OTP_conf_summary</vt:lpstr>
      <vt:lpstr>OTP_conf_main_reg</vt:lpstr>
      <vt:lpstr>OTP_conf_main_bits</vt:lpstr>
      <vt:lpstr>OTP_conf_failsafe_reg</vt:lpstr>
      <vt:lpstr>OTP_conf_failsafe_bits</vt:lpstr>
      <vt:lpstr>FS85_VPRE_VBOOST_Components</vt:lpstr>
      <vt:lpstr>Normalized_R_C_Values</vt:lpstr>
      <vt:lpstr>Revision</vt:lpstr>
      <vt:lpstr>vABIST</vt:lpstr>
      <vt:lpstr>VBOOST</vt:lpstr>
      <vt:lpstr>vBUCK1</vt:lpstr>
      <vt:lpstr>vBUCK2</vt:lpstr>
      <vt:lpstr>vBUCK3</vt:lpstr>
      <vt:lpstr>vLDO1</vt:lpstr>
      <vt:lpstr>vLDO2</vt:lpstr>
      <vt:lpstr>VPRE</vt:lpstr>
      <vt:lpstr>vRST</vt:lpstr>
      <vt:lpstr>OTP_conf_summary!Yazdırma_Alanı</vt:lpstr>
      <vt:lpstr>OTP_Config_Report!Yazdırma_Alanı</vt:lpstr>
    </vt:vector>
  </TitlesOfParts>
  <Company>NXP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Maxime CLAIRET</dc:creator>
  <cp:lastModifiedBy>dpc</cp:lastModifiedBy>
  <cp:lastPrinted>2021-08-31T08:38:56Z</cp:lastPrinted>
  <dcterms:created xsi:type="dcterms:W3CDTF">2015-10-28T18:09:17Z</dcterms:created>
  <dcterms:modified xsi:type="dcterms:W3CDTF">2021-11-05T15:59:59Z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0x0101000FE256836E8651459990BF5B13FE0674</vt:lpwstr>
  </property>
</Properties>
</file>